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U:\Sales\Templates\"/>
    </mc:Choice>
  </mc:AlternateContent>
  <xr:revisionPtr revIDLastSave="0" documentId="13_ncr:1_{46ABFEFA-7F52-4609-A27A-FF2ECBA6CEB7}" xr6:coauthVersionLast="47" xr6:coauthVersionMax="47" xr10:uidLastSave="{00000000-0000-0000-0000-000000000000}"/>
  <bookViews>
    <workbookView xWindow="-28920" yWindow="-120" windowWidth="29040" windowHeight="15840" tabRatio="771" activeTab="1" xr2:uid="{00000000-000D-0000-FFFF-FFFF00000000}"/>
  </bookViews>
  <sheets>
    <sheet name="Control Panel" sheetId="3" r:id="rId1"/>
    <sheet name="Report" sheetId="1" r:id="rId2"/>
    <sheet name="FH PT" sheetId="5" r:id="rId3"/>
    <sheet name="GN PT" sheetId="7" r:id="rId4"/>
    <sheet name="Assumptions" sheetId="4" state="hidden" r:id="rId5"/>
    <sheet name="FN PT" sheetId="6" r:id="rId6"/>
    <sheet name="AGY CMO" sheetId="8" r:id="rId7"/>
    <sheet name="NA RMBS" sheetId="9" r:id="rId8"/>
    <sheet name="Disclaimer" sheetId="2" r:id="rId9"/>
  </sheets>
  <functionGroups builtInGroupCount="19"/>
  <definedNames>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_xlnm.Print_Area" localSheetId="6">'AGY CMO'!$B$1:$AU$8</definedName>
    <definedName name="_xlnm.Print_Area" localSheetId="8">Disclaimer!$A$1:$A$2</definedName>
    <definedName name="_xlnm.Print_Area" localSheetId="2">'FH PT'!$B$1:$AU$8</definedName>
    <definedName name="_xlnm.Print_Area" localSheetId="5">'FN PT'!$B$1:$AU$71</definedName>
    <definedName name="_xlnm.Print_Area" localSheetId="3">'GN PT'!$B$1:$AU$8</definedName>
    <definedName name="_xlnm.Print_Area" localSheetId="7">'NA RMBS'!$B$1:$AU$8</definedName>
    <definedName name="_xlnm.Print_Area" localSheetId="1">Report!$B$1:$AU$71</definedName>
    <definedName name="_xlnm.Print_Titles" localSheetId="6">'AGY CMO'!$1:$8</definedName>
    <definedName name="_xlnm.Print_Titles" localSheetId="2">'FH PT'!$1:$8</definedName>
    <definedName name="_xlnm.Print_Titles" localSheetId="5">'FN PT'!$1:$8</definedName>
    <definedName name="_xlnm.Print_Titles" localSheetId="3">'GN PT'!$1:$8</definedName>
    <definedName name="_xlnm.Print_Titles" localSheetId="7">'NA RMBS'!$1:$8</definedName>
    <definedName name="_xlnm.Print_Titles" localSheetId="1">Report!$1:$8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69" i="1" l="1"/>
  <c r="AT69" i="1"/>
  <c r="AS69" i="1"/>
  <c r="AR69" i="1"/>
  <c r="AM69" i="1"/>
  <c r="AL69" i="1"/>
  <c r="AJ69" i="1"/>
  <c r="AI69" i="1"/>
  <c r="AH69" i="1"/>
  <c r="AG69" i="1"/>
  <c r="AF69" i="1"/>
  <c r="AE69" i="1"/>
  <c r="AD69" i="1"/>
  <c r="AC69" i="1"/>
  <c r="AB69" i="1"/>
  <c r="X69" i="1"/>
  <c r="W69" i="1"/>
  <c r="V69" i="1"/>
  <c r="U69" i="1"/>
  <c r="T69" i="1"/>
  <c r="S69" i="1"/>
  <c r="R69" i="1"/>
  <c r="Q69" i="1"/>
  <c r="P69" i="1"/>
  <c r="O69" i="1"/>
  <c r="N69" i="1"/>
  <c r="M69" i="1"/>
  <c r="L69" i="1"/>
  <c r="K69" i="1"/>
  <c r="J69" i="1"/>
  <c r="I69" i="1"/>
  <c r="H69" i="1"/>
  <c r="G69" i="1"/>
  <c r="F69" i="1"/>
  <c r="E69" i="1"/>
  <c r="AU58" i="1"/>
  <c r="AT58" i="1"/>
  <c r="AS58" i="1"/>
  <c r="AR58" i="1"/>
  <c r="AM58" i="1"/>
  <c r="AL58" i="1"/>
  <c r="AJ58" i="1"/>
  <c r="AI58" i="1"/>
  <c r="AH58" i="1"/>
  <c r="AG58" i="1"/>
  <c r="AF58" i="1"/>
  <c r="AE58" i="1"/>
  <c r="AD58" i="1"/>
  <c r="AC58" i="1"/>
  <c r="AB58" i="1"/>
  <c r="AA58" i="1"/>
  <c r="Z58" i="1"/>
  <c r="Y58" i="1"/>
  <c r="X58" i="1"/>
  <c r="W58" i="1"/>
  <c r="V58" i="1"/>
  <c r="U58" i="1"/>
  <c r="T58" i="1"/>
  <c r="S58" i="1"/>
  <c r="R58" i="1"/>
  <c r="Q58" i="1"/>
  <c r="P58" i="1"/>
  <c r="O58" i="1"/>
  <c r="N58" i="1"/>
  <c r="M58" i="1"/>
  <c r="L58" i="1"/>
  <c r="K58" i="1"/>
  <c r="J58" i="1"/>
  <c r="I58" i="1"/>
  <c r="H58" i="1"/>
  <c r="G58" i="1"/>
  <c r="F58" i="1"/>
  <c r="E58" i="1"/>
  <c r="AU52" i="1"/>
  <c r="AT52" i="1"/>
  <c r="AS52" i="1"/>
  <c r="AR52" i="1"/>
  <c r="AM52" i="1"/>
  <c r="AL52" i="1"/>
  <c r="AJ52" i="1"/>
  <c r="AI52" i="1"/>
  <c r="AH52" i="1"/>
  <c r="AG52" i="1"/>
  <c r="AF52" i="1"/>
  <c r="AE52" i="1"/>
  <c r="AD52" i="1"/>
  <c r="AC52" i="1"/>
  <c r="AB52" i="1"/>
  <c r="AA52" i="1"/>
  <c r="Z52" i="1"/>
  <c r="Y52" i="1"/>
  <c r="X52" i="1"/>
  <c r="W52" i="1"/>
  <c r="V52" i="1"/>
  <c r="U52" i="1"/>
  <c r="T52" i="1"/>
  <c r="S52" i="1"/>
  <c r="R52" i="1"/>
  <c r="Q52" i="1"/>
  <c r="P52" i="1"/>
  <c r="O52" i="1"/>
  <c r="N52" i="1"/>
  <c r="M52" i="1"/>
  <c r="L52" i="1"/>
  <c r="K52" i="1"/>
  <c r="J52" i="1"/>
  <c r="I52" i="1"/>
  <c r="H52" i="1"/>
  <c r="G52" i="1"/>
  <c r="F52" i="1"/>
  <c r="E52" i="1"/>
  <c r="AU44" i="1"/>
  <c r="AT44" i="1"/>
  <c r="AS44" i="1"/>
  <c r="AR44" i="1"/>
  <c r="AM44" i="1"/>
  <c r="AL44" i="1"/>
  <c r="AJ44" i="1"/>
  <c r="AI44" i="1"/>
  <c r="AH44" i="1"/>
  <c r="AG44" i="1"/>
  <c r="AF44" i="1"/>
  <c r="AE44" i="1"/>
  <c r="AD44" i="1"/>
  <c r="AC44" i="1"/>
  <c r="AB44" i="1"/>
  <c r="AA44" i="1"/>
  <c r="Z44" i="1"/>
  <c r="Y44" i="1"/>
  <c r="X44" i="1"/>
  <c r="W44" i="1"/>
  <c r="V44" i="1"/>
  <c r="U44" i="1"/>
  <c r="T44" i="1"/>
  <c r="S44" i="1"/>
  <c r="R44" i="1"/>
  <c r="Q44" i="1"/>
  <c r="P44" i="1"/>
  <c r="O44" i="1"/>
  <c r="N44" i="1"/>
  <c r="M44" i="1"/>
  <c r="L44" i="1"/>
  <c r="K44" i="1"/>
  <c r="J44" i="1"/>
  <c r="I44" i="1"/>
  <c r="H44" i="1"/>
  <c r="G44" i="1"/>
  <c r="F44" i="1"/>
  <c r="E44" i="1"/>
  <c r="AU30" i="1"/>
  <c r="AT30" i="1"/>
  <c r="AS30" i="1"/>
  <c r="AR30" i="1"/>
  <c r="AM30" i="1"/>
  <c r="AL30" i="1"/>
  <c r="AJ30" i="1"/>
  <c r="AI30" i="1"/>
  <c r="AH30" i="1"/>
  <c r="AG30" i="1"/>
  <c r="AF30" i="1"/>
  <c r="AE30" i="1"/>
  <c r="AD30" i="1"/>
  <c r="AC30" i="1"/>
  <c r="AB30" i="1"/>
  <c r="AA30" i="1"/>
  <c r="Z30" i="1"/>
  <c r="Y30" i="1"/>
  <c r="X30" i="1"/>
  <c r="W30" i="1"/>
  <c r="V30" i="1"/>
  <c r="U30" i="1"/>
  <c r="T30" i="1"/>
  <c r="S30" i="1"/>
  <c r="R30" i="1"/>
  <c r="Q30" i="1"/>
  <c r="P30" i="1"/>
  <c r="O30" i="1"/>
  <c r="N30" i="1"/>
  <c r="M30" i="1"/>
  <c r="L30" i="1"/>
  <c r="K30" i="1"/>
  <c r="J30" i="1"/>
  <c r="I30" i="1"/>
  <c r="H30" i="1"/>
  <c r="G30" i="1"/>
  <c r="F30" i="1"/>
  <c r="E30" i="1"/>
  <c r="AU25" i="1"/>
  <c r="AT25" i="1"/>
  <c r="AS25" i="1"/>
  <c r="AR25" i="1"/>
  <c r="AM25" i="1"/>
  <c r="AL25" i="1"/>
  <c r="AJ25" i="1"/>
  <c r="AI25" i="1"/>
  <c r="AH25" i="1"/>
  <c r="AG25" i="1"/>
  <c r="AF25" i="1"/>
  <c r="AE25" i="1"/>
  <c r="AD25" i="1"/>
  <c r="AC25" i="1"/>
  <c r="AB25" i="1"/>
  <c r="AA25" i="1"/>
  <c r="Z25" i="1"/>
  <c r="Y25" i="1"/>
  <c r="X25" i="1"/>
  <c r="W25" i="1"/>
  <c r="V25" i="1"/>
  <c r="U25" i="1"/>
  <c r="T25" i="1"/>
  <c r="S25" i="1"/>
  <c r="R25" i="1"/>
  <c r="Q25" i="1"/>
  <c r="P25" i="1"/>
  <c r="O25" i="1"/>
  <c r="N25" i="1"/>
  <c r="M25" i="1"/>
  <c r="L25" i="1"/>
  <c r="K25" i="1"/>
  <c r="J25" i="1"/>
  <c r="I25" i="1"/>
  <c r="H25" i="1"/>
  <c r="G25" i="1"/>
  <c r="F25" i="1"/>
  <c r="E25" i="1"/>
  <c r="AU23" i="1"/>
  <c r="AT23" i="1"/>
  <c r="AS23" i="1"/>
  <c r="AR23" i="1"/>
  <c r="AM23" i="1"/>
  <c r="AL23" i="1"/>
  <c r="AJ23" i="1"/>
  <c r="AI23" i="1"/>
  <c r="AH23" i="1"/>
  <c r="AG23" i="1"/>
  <c r="AF23" i="1"/>
  <c r="AE23" i="1"/>
  <c r="AD23" i="1"/>
  <c r="AC23" i="1"/>
  <c r="AB23" i="1"/>
  <c r="AA23" i="1"/>
  <c r="Z23" i="1"/>
  <c r="Y23" i="1"/>
  <c r="X23" i="1"/>
  <c r="W23" i="1"/>
  <c r="V23" i="1"/>
  <c r="U23" i="1"/>
  <c r="T23" i="1"/>
  <c r="S23" i="1"/>
  <c r="R23" i="1"/>
  <c r="Q23" i="1"/>
  <c r="P23" i="1"/>
  <c r="O23" i="1"/>
  <c r="N23" i="1"/>
  <c r="M23" i="1"/>
  <c r="L23" i="1"/>
  <c r="K23" i="1"/>
  <c r="J23" i="1"/>
  <c r="I23" i="1"/>
  <c r="H23" i="1"/>
  <c r="G23" i="1"/>
  <c r="F23" i="1"/>
  <c r="E23" i="1"/>
  <c r="AU18" i="1"/>
  <c r="AT18" i="1"/>
  <c r="AS18" i="1"/>
  <c r="AR18" i="1"/>
  <c r="AM18" i="1"/>
  <c r="AL18" i="1"/>
  <c r="AJ18" i="1"/>
  <c r="AI18" i="1"/>
  <c r="AH18" i="1"/>
  <c r="AG18" i="1"/>
  <c r="AF18" i="1"/>
  <c r="AE18" i="1"/>
  <c r="AD18" i="1"/>
  <c r="AC18" i="1"/>
  <c r="AB18" i="1"/>
  <c r="AA18" i="1"/>
  <c r="Z18" i="1"/>
  <c r="Y18" i="1"/>
  <c r="X18" i="1"/>
  <c r="W18" i="1"/>
  <c r="V18" i="1"/>
  <c r="U18" i="1"/>
  <c r="T18" i="1"/>
  <c r="S18" i="1"/>
  <c r="R18" i="1"/>
  <c r="Q18" i="1"/>
  <c r="P18" i="1"/>
  <c r="O18" i="1"/>
  <c r="N18" i="1"/>
  <c r="M18" i="1"/>
  <c r="L18" i="1"/>
  <c r="K18" i="1"/>
  <c r="J18" i="1"/>
  <c r="I18" i="1"/>
  <c r="H18" i="1"/>
  <c r="G18" i="1"/>
  <c r="F18" i="1"/>
  <c r="E18" i="1"/>
  <c r="AU15" i="1"/>
  <c r="AT15" i="1"/>
  <c r="AS15" i="1"/>
  <c r="AR15" i="1"/>
  <c r="AM15" i="1"/>
  <c r="AL15" i="1"/>
  <c r="AJ15" i="1"/>
  <c r="AI15" i="1"/>
  <c r="AH15" i="1"/>
  <c r="AG15" i="1"/>
  <c r="AF15" i="1"/>
  <c r="AE15" i="1"/>
  <c r="AD15" i="1"/>
  <c r="AC15" i="1"/>
  <c r="AB15" i="1"/>
  <c r="AA15" i="1"/>
  <c r="Z15" i="1"/>
  <c r="Y15" i="1"/>
  <c r="X15" i="1"/>
  <c r="W15" i="1"/>
  <c r="V15" i="1"/>
  <c r="U15" i="1"/>
  <c r="T15" i="1"/>
  <c r="S15" i="1"/>
  <c r="R15" i="1"/>
  <c r="Q15" i="1"/>
  <c r="P15" i="1"/>
  <c r="O15" i="1"/>
  <c r="N15" i="1"/>
  <c r="M15" i="1"/>
  <c r="L15" i="1"/>
  <c r="K15" i="1"/>
  <c r="J15" i="1"/>
  <c r="I15" i="1"/>
  <c r="H15" i="1"/>
  <c r="G15" i="1"/>
  <c r="F15" i="1"/>
  <c r="E15" i="1"/>
  <c r="AU13" i="1"/>
  <c r="AT13" i="1"/>
  <c r="AS13" i="1"/>
  <c r="AR13" i="1"/>
  <c r="AM13" i="1"/>
  <c r="AL13" i="1"/>
  <c r="AJ13" i="1"/>
  <c r="AI13" i="1"/>
  <c r="AH13" i="1"/>
  <c r="AG13" i="1"/>
  <c r="AF13" i="1"/>
  <c r="AE13" i="1"/>
  <c r="AD13" i="1"/>
  <c r="AC13" i="1"/>
  <c r="AB13" i="1"/>
  <c r="AA13" i="1"/>
  <c r="Z13" i="1"/>
  <c r="Y13" i="1"/>
  <c r="X13" i="1"/>
  <c r="W13" i="1"/>
  <c r="V13" i="1"/>
  <c r="U13" i="1"/>
  <c r="T13" i="1"/>
  <c r="S13" i="1"/>
  <c r="R13" i="1"/>
  <c r="Q13" i="1"/>
  <c r="P13" i="1"/>
  <c r="O13" i="1"/>
  <c r="N13" i="1"/>
  <c r="M13" i="1"/>
  <c r="L13" i="1"/>
  <c r="K13" i="1"/>
  <c r="J13" i="1"/>
  <c r="I13" i="1"/>
  <c r="H13" i="1"/>
  <c r="G13" i="1"/>
  <c r="F13" i="1"/>
  <c r="E13" i="1"/>
  <c r="AU11" i="1"/>
  <c r="AT11" i="1"/>
  <c r="AS11" i="1"/>
  <c r="AR11" i="1"/>
  <c r="AM11" i="1"/>
  <c r="AL11" i="1"/>
  <c r="AJ11" i="1"/>
  <c r="AI11" i="1"/>
  <c r="AH11" i="1"/>
  <c r="AG11" i="1"/>
  <c r="AF11" i="1"/>
  <c r="AE11" i="1"/>
  <c r="AD11" i="1"/>
  <c r="AC11" i="1"/>
  <c r="AB11" i="1"/>
  <c r="AA11" i="1"/>
  <c r="Z11" i="1"/>
  <c r="Y11" i="1"/>
  <c r="X11" i="1"/>
  <c r="W11" i="1"/>
  <c r="V11" i="1"/>
  <c r="U11" i="1"/>
  <c r="T11" i="1"/>
  <c r="S11" i="1"/>
  <c r="R11" i="1"/>
  <c r="Q11" i="1"/>
  <c r="P11" i="1"/>
  <c r="O11" i="1"/>
  <c r="N11" i="1"/>
  <c r="M11" i="1"/>
  <c r="L11" i="1"/>
  <c r="K11" i="1"/>
  <c r="J11" i="1"/>
  <c r="I11" i="1"/>
  <c r="H11" i="1"/>
  <c r="G11" i="1"/>
  <c r="F11" i="1"/>
  <c r="E11" i="1"/>
  <c r="AJ9" i="1"/>
  <c r="AJ71" i="1" s="1"/>
  <c r="AI9" i="1"/>
  <c r="AI71" i="1" s="1"/>
  <c r="AH9" i="1"/>
  <c r="AH71" i="1" s="1"/>
  <c r="AG9" i="1"/>
  <c r="AG71" i="1" s="1"/>
  <c r="AF9" i="1"/>
  <c r="AF71" i="1" s="1"/>
  <c r="AC9" i="1"/>
  <c r="AC71" i="1" s="1"/>
  <c r="J9" i="1"/>
  <c r="J71" i="1" s="1"/>
  <c r="AN32" i="3" a="1"/>
  <c r="G71" i="1" l="1"/>
  <c r="K71" i="1"/>
  <c r="O71" i="1"/>
  <c r="S71" i="1"/>
  <c r="W71" i="1"/>
  <c r="AK71" i="1"/>
  <c r="AS71" i="1"/>
  <c r="H71" i="1"/>
  <c r="L71" i="1"/>
  <c r="P71" i="1"/>
  <c r="T71" i="1"/>
  <c r="X71" i="1"/>
  <c r="AL71" i="1"/>
  <c r="AT71" i="1"/>
  <c r="Y71" i="1"/>
  <c r="AD71" i="1"/>
  <c r="E71" i="1"/>
  <c r="I71" i="1"/>
  <c r="M71" i="1"/>
  <c r="Q71" i="1"/>
  <c r="U71" i="1"/>
  <c r="Z71" i="1"/>
  <c r="AM71" i="1"/>
  <c r="AU71" i="1"/>
  <c r="AA71" i="1"/>
  <c r="AE71" i="1"/>
  <c r="F71" i="1"/>
  <c r="N71" i="1"/>
  <c r="R71" i="1"/>
  <c r="V71" i="1"/>
  <c r="AR71" i="1"/>
  <c r="AB71" i="1"/>
  <c r="AN32" i="3"/>
  <c r="AI55" i="3" a="1"/>
  <c r="AI55" i="3"/>
  <c r="AO54" i="3" a="1"/>
  <c r="AO54" i="3"/>
  <c r="AX60" i="3" a="1"/>
  <c r="AX60" i="3"/>
  <c r="BG60" i="3" a="1"/>
  <c r="BG60" i="3"/>
  <c r="BC32" i="3" a="1"/>
  <c r="BC32" i="3"/>
  <c r="BF39" i="3" a="1"/>
  <c r="BF39" i="3"/>
  <c r="AP55" i="3" a="1"/>
  <c r="AP55" i="3"/>
  <c r="AI48" i="3" a="1"/>
  <c r="AI48" i="3"/>
  <c r="BK27" i="3" a="1"/>
  <c r="BK27" i="3"/>
  <c r="BF54" i="3" a="1"/>
  <c r="BF54" i="3"/>
  <c r="AY48" i="3" a="1"/>
  <c r="AY48" i="3"/>
  <c r="BD29" i="3" a="1"/>
  <c r="BD29" i="3"/>
  <c r="AD54" i="3" a="1"/>
  <c r="AD54" i="3"/>
  <c r="BK38" i="3" a="1"/>
  <c r="BK38" i="3"/>
  <c r="AY32" i="3" a="1"/>
  <c r="AY32" i="3"/>
  <c r="AZ32" i="3" a="1"/>
  <c r="AZ32" i="3"/>
  <c r="AL54" i="3" a="1"/>
  <c r="AL54" i="3"/>
  <c r="AW32" i="3" a="1"/>
  <c r="AW32" i="3"/>
  <c r="AQ29" i="3" a="1"/>
  <c r="AQ29" i="3"/>
  <c r="BI20" i="3" a="1"/>
  <c r="BI20" i="3"/>
  <c r="AP60" i="3" a="1"/>
  <c r="AP60" i="3"/>
  <c r="BI32" i="3" a="1"/>
  <c r="BI32" i="3"/>
  <c r="AW29" i="3" a="1"/>
  <c r="AW29" i="3"/>
  <c r="BH29" i="3" a="1"/>
  <c r="BH29" i="3"/>
  <c r="AJ20" i="3" a="1"/>
  <c r="AJ20" i="3"/>
  <c r="BC55" i="3" a="1"/>
  <c r="BC55" i="3"/>
  <c r="BK55" i="3" a="1"/>
  <c r="BK55" i="3"/>
  <c r="AJ60" i="3" a="1"/>
  <c r="AJ60" i="3"/>
  <c r="AS38" i="3" a="1"/>
  <c r="AS38" i="3"/>
  <c r="AC32" i="3" a="1"/>
  <c r="AC32" i="3"/>
  <c r="AM27" i="3" a="1"/>
  <c r="AM27" i="3"/>
  <c r="BK39" i="3" a="1"/>
  <c r="BK39" i="3"/>
  <c r="AQ48" i="3" a="1"/>
  <c r="AQ48" i="3"/>
  <c r="AS60" i="3" a="1"/>
  <c r="AS60" i="3"/>
  <c r="AT60" i="3" a="1"/>
  <c r="AT60" i="3"/>
  <c r="BA27" i="3" a="1"/>
  <c r="BA27" i="3"/>
  <c r="AU29" i="3" a="1"/>
  <c r="AU29" i="3"/>
  <c r="BC60" i="3" a="1"/>
  <c r="BC60" i="3"/>
  <c r="BK60" i="3" a="1"/>
  <c r="BK60" i="3"/>
  <c r="AM55" i="3" a="1"/>
  <c r="AM55" i="3"/>
  <c r="BB38" i="3" a="1"/>
  <c r="BB38" i="3"/>
  <c r="BI38" i="3" a="1"/>
  <c r="BI38" i="3"/>
  <c r="BE60" i="3" a="1"/>
  <c r="BE60" i="3"/>
  <c r="BA55" i="3" a="1"/>
  <c r="BA55" i="3"/>
  <c r="BH27" i="3" a="1"/>
  <c r="BH27" i="3"/>
  <c r="AG54" i="3" a="1"/>
  <c r="AG54" i="3"/>
  <c r="AW48" i="3" a="1"/>
  <c r="AW48" i="3"/>
  <c r="AR54" i="3" a="1"/>
  <c r="AR54" i="3"/>
  <c r="AP39" i="3" a="1"/>
  <c r="AP39" i="3"/>
  <c r="AY54" i="3" a="1"/>
  <c r="AY54" i="3"/>
  <c r="BA29" i="3" a="1"/>
  <c r="BA29" i="3"/>
  <c r="BA20" i="3" a="1"/>
  <c r="BA20" i="3"/>
  <c r="AH20" i="3" a="1"/>
  <c r="AH20" i="3"/>
  <c r="AR20" i="3" a="1"/>
  <c r="AR20" i="3"/>
  <c r="AI60" i="3" a="1"/>
  <c r="AI60" i="3"/>
  <c r="AV38" i="3" a="1"/>
  <c r="AV38" i="3"/>
  <c r="AR55" i="3" a="1"/>
  <c r="AR55" i="3"/>
  <c r="AI29" i="3" a="1"/>
  <c r="AI29" i="3"/>
  <c r="BJ48" i="3" a="1"/>
  <c r="BJ48" i="3"/>
  <c r="BF32" i="3" a="1"/>
  <c r="BF32" i="3"/>
  <c r="AF29" i="3" a="1"/>
  <c r="AF29" i="3"/>
  <c r="BE54" i="3" a="1"/>
  <c r="BE54" i="3"/>
  <c r="AP38" i="3" a="1"/>
  <c r="AP38" i="3"/>
  <c r="AF48" i="3" a="1"/>
  <c r="AF48" i="3"/>
  <c r="AV60" i="3" a="1"/>
  <c r="AV60" i="3"/>
  <c r="AR38" i="3" a="1"/>
  <c r="AR38" i="3"/>
  <c r="AK29" i="3" a="1"/>
  <c r="AK29" i="3"/>
  <c r="AW38" i="3" a="1"/>
  <c r="AW38" i="3"/>
  <c r="BE39" i="3" a="1"/>
  <c r="BE39" i="3"/>
  <c r="AE29" i="3" a="1"/>
  <c r="AE29" i="3"/>
  <c r="BD27" i="3" a="1"/>
  <c r="BD27" i="3"/>
  <c r="AU48" i="3" a="1"/>
  <c r="AU48" i="3"/>
  <c r="AH32" i="3" a="1"/>
  <c r="AH32" i="3"/>
  <c r="AP54" i="3" a="1"/>
  <c r="AP54" i="3"/>
  <c r="BI60" i="3" a="1"/>
  <c r="BI60" i="3"/>
  <c r="AK38" i="3" a="1"/>
  <c r="AK38" i="3"/>
  <c r="BD32" i="3" a="1"/>
  <c r="BD32" i="3"/>
  <c r="AG38" i="3" a="1"/>
  <c r="AG38" i="3"/>
  <c r="AM39" i="3" a="1"/>
  <c r="AM39" i="3"/>
  <c r="AM20" i="3" a="1"/>
  <c r="AM20" i="3"/>
  <c r="AZ20" i="3" a="1"/>
  <c r="AZ20" i="3"/>
  <c r="AC54" i="3" a="1"/>
  <c r="AC54" i="3"/>
  <c r="BJ20" i="3" a="1"/>
  <c r="BJ20" i="3"/>
  <c r="AD38" i="3" a="1"/>
  <c r="AD38" i="3"/>
  <c r="BI27" i="3" a="1"/>
  <c r="BI27" i="3"/>
  <c r="AI54" i="3" a="1"/>
  <c r="AI54" i="3"/>
  <c r="AO27" i="3" a="1"/>
  <c r="AO27" i="3"/>
  <c r="AJ32" i="3" a="1"/>
  <c r="AJ32" i="3"/>
  <c r="BB29" i="3" a="1"/>
  <c r="BB29" i="3"/>
  <c r="AO55" i="3" a="1"/>
  <c r="AO55" i="3"/>
  <c r="AY29" i="3" a="1"/>
  <c r="AY29" i="3"/>
  <c r="AN20" i="3" a="1"/>
  <c r="AN20" i="3"/>
  <c r="AJ48" i="3" a="1"/>
  <c r="AJ48" i="3"/>
  <c r="BE29" i="3" a="1"/>
  <c r="BE29" i="3"/>
  <c r="BA39" i="3" a="1"/>
  <c r="BA39" i="3"/>
  <c r="BD55" i="3" a="1"/>
  <c r="BD55" i="3"/>
  <c r="AF54" i="3" a="1"/>
  <c r="AF54" i="3"/>
  <c r="AN60" i="3" a="1"/>
  <c r="AN60" i="3"/>
  <c r="AN29" i="3" a="1"/>
  <c r="AN29" i="3"/>
  <c r="AG55" i="3" a="1"/>
  <c r="AG55" i="3"/>
  <c r="BH60" i="3" a="1"/>
  <c r="BH60" i="3"/>
  <c r="AG20" i="3" a="1"/>
  <c r="AG20" i="3"/>
  <c r="AH54" i="3" a="1"/>
  <c r="AH54" i="3"/>
  <c r="AG27" i="3" a="1"/>
  <c r="AG27" i="3"/>
  <c r="AE32" i="3" a="1"/>
  <c r="AE32" i="3"/>
  <c r="BJ60" i="3" a="1"/>
  <c r="BJ60" i="3"/>
  <c r="AE55" i="3" a="1"/>
  <c r="AE55" i="3"/>
  <c r="AQ20" i="3" a="1"/>
  <c r="AQ20" i="3"/>
  <c r="AZ38" i="3" a="1"/>
  <c r="AZ38" i="3"/>
  <c r="BH54" i="3" a="1"/>
  <c r="BH54" i="3"/>
  <c r="BG54" i="3" a="1"/>
  <c r="BG54" i="3"/>
  <c r="AR32" i="3" a="1"/>
  <c r="AR32" i="3"/>
  <c r="AL38" i="3" a="1"/>
  <c r="AL38" i="3"/>
  <c r="AQ32" i="3" a="1"/>
  <c r="AQ32" i="3"/>
  <c r="AU39" i="3" a="1"/>
  <c r="AU39" i="3"/>
  <c r="AO48" i="3" a="1"/>
  <c r="AO48" i="3"/>
  <c r="BB54" i="3" a="1"/>
  <c r="BB54" i="3"/>
  <c r="AC29" i="3" a="1"/>
  <c r="AC29" i="3"/>
  <c r="AV27" i="3" a="1"/>
  <c r="AV27" i="3"/>
  <c r="AK20" i="3" a="1"/>
  <c r="AK20" i="3"/>
  <c r="AK27" i="3" a="1"/>
  <c r="AK27" i="3"/>
  <c r="BA54" i="3" a="1"/>
  <c r="BA54" i="3"/>
  <c r="AU27" i="3" a="1"/>
  <c r="AU27" i="3"/>
  <c r="AU32" i="3" a="1"/>
  <c r="AU32" i="3"/>
  <c r="AZ29" i="3" a="1"/>
  <c r="AZ29" i="3"/>
  <c r="AX55" i="3" a="1"/>
  <c r="AX55" i="3"/>
  <c r="BG55" i="3" a="1"/>
  <c r="BG55" i="3"/>
  <c r="AV48" i="3" a="1"/>
  <c r="AV48" i="3"/>
  <c r="BB55" i="3" a="1"/>
  <c r="BB55" i="3"/>
  <c r="BC39" i="3" a="1"/>
  <c r="BC39" i="3"/>
  <c r="AU55" i="3" a="1"/>
  <c r="AU55" i="3"/>
  <c r="AR48" i="3" a="1"/>
  <c r="AR48" i="3"/>
  <c r="AS55" i="3" a="1"/>
  <c r="AS55" i="3"/>
  <c r="BE20" i="3" a="1"/>
  <c r="BE20" i="3"/>
  <c r="AW55" i="3" a="1"/>
  <c r="AW55" i="3"/>
  <c r="AQ54" i="3" a="1"/>
  <c r="AQ54" i="3"/>
  <c r="AT39" i="3" a="1"/>
  <c r="AT39" i="3"/>
  <c r="AQ55" i="3" a="1"/>
  <c r="AQ55" i="3"/>
  <c r="BD54" i="3" a="1"/>
  <c r="BD54" i="3"/>
  <c r="BI48" i="3" a="1"/>
  <c r="BI48" i="3"/>
  <c r="AF38" i="3" a="1"/>
  <c r="AF38" i="3"/>
  <c r="AJ27" i="3" a="1"/>
  <c r="AJ27" i="3"/>
  <c r="BG39" i="3" a="1"/>
  <c r="BG39" i="3"/>
  <c r="AL60" i="3" a="1"/>
  <c r="AL60" i="3"/>
  <c r="AY38" i="3" a="1"/>
  <c r="AY38" i="3"/>
  <c r="AE54" i="3" a="1"/>
  <c r="AE54" i="3"/>
  <c r="AX29" i="3" a="1"/>
  <c r="AX29" i="3"/>
  <c r="BI39" i="3" a="1"/>
  <c r="BI39" i="3"/>
  <c r="AZ27" i="3" a="1"/>
  <c r="AZ27" i="3"/>
  <c r="AI32" i="3" a="1"/>
  <c r="AI32" i="3"/>
  <c r="BK20" i="3" a="1"/>
  <c r="BK20" i="3"/>
  <c r="AP29" i="3" a="1"/>
  <c r="AP29" i="3"/>
  <c r="AE27" i="3" a="1"/>
  <c r="AE27" i="3"/>
  <c r="AG32" i="3" a="1"/>
  <c r="AG32" i="3"/>
  <c r="AQ27" i="3" a="1"/>
  <c r="AQ27" i="3"/>
  <c r="BF60" i="3" a="1"/>
  <c r="BF60" i="3"/>
  <c r="AD27" i="3" a="1"/>
  <c r="AD27" i="3"/>
  <c r="BJ39" i="3" a="1"/>
  <c r="BJ39" i="3"/>
  <c r="AI27" i="3" a="1"/>
  <c r="AI27" i="3"/>
  <c r="AE48" i="3" a="1"/>
  <c r="AE48" i="3"/>
  <c r="AL27" i="3" a="1"/>
  <c r="AL27" i="3"/>
  <c r="AO29" i="3" a="1"/>
  <c r="AO29" i="3"/>
  <c r="AC38" i="3" a="1"/>
  <c r="AC38" i="3"/>
  <c r="AR39" i="3" a="1"/>
  <c r="AR39" i="3"/>
  <c r="BB27" i="3" a="1"/>
  <c r="BB27" i="3"/>
  <c r="BI55" i="3" a="1"/>
  <c r="BI55" i="3"/>
  <c r="BD48" i="3" a="1"/>
  <c r="BD48" i="3"/>
  <c r="AJ29" i="3" a="1"/>
  <c r="AJ29" i="3"/>
  <c r="BD20" i="3" a="1"/>
  <c r="BD20" i="3"/>
  <c r="AS39" i="3" a="1"/>
  <c r="AS39" i="3"/>
  <c r="AP20" i="3" a="1"/>
  <c r="AP20" i="3"/>
  <c r="BD39" i="3" a="1"/>
  <c r="BD39" i="3"/>
  <c r="AF32" i="3" a="1"/>
  <c r="AF32" i="3"/>
  <c r="AC60" i="3" a="1"/>
  <c r="AC60" i="3"/>
  <c r="AZ54" i="3" a="1"/>
  <c r="AZ54" i="3"/>
  <c r="BE32" i="3" a="1"/>
  <c r="BE32" i="3"/>
  <c r="AS20" i="3" a="1"/>
  <c r="AS20" i="3"/>
  <c r="AO39" i="3" a="1"/>
  <c r="AO39" i="3"/>
  <c r="AT38" i="3" a="1"/>
  <c r="AT38" i="3"/>
  <c r="AD39" i="3" a="1"/>
  <c r="AD39" i="3"/>
  <c r="AN39" i="3" a="1"/>
  <c r="AN39" i="3"/>
  <c r="BK54" i="3" a="1"/>
  <c r="BK54" i="3"/>
  <c r="AM54" i="3" a="1"/>
  <c r="AM54" i="3"/>
  <c r="AK60" i="3" a="1"/>
  <c r="AK60" i="3"/>
  <c r="BF29" i="3" a="1"/>
  <c r="BF29" i="3"/>
  <c r="BK48" i="3" a="1"/>
  <c r="BK48" i="3"/>
  <c r="AD29" i="3" a="1"/>
  <c r="AD29" i="3"/>
  <c r="AS32" i="3" a="1"/>
  <c r="AS32" i="3"/>
  <c r="BJ54" i="3" a="1"/>
  <c r="BJ54" i="3"/>
  <c r="AQ60" i="3" a="1"/>
  <c r="AQ60" i="3"/>
  <c r="AK39" i="3" a="1"/>
  <c r="AK39" i="3"/>
  <c r="AL32" i="3" a="1"/>
  <c r="AL32" i="3"/>
  <c r="AN38" i="3" a="1"/>
  <c r="AN38" i="3"/>
  <c r="AT54" i="3" a="1"/>
  <c r="AT54" i="3"/>
  <c r="AC39" i="3" a="1"/>
  <c r="AC39" i="3"/>
  <c r="AI20" i="3" a="1"/>
  <c r="AI20" i="3"/>
  <c r="BJ32" i="3" a="1"/>
  <c r="BJ32" i="3"/>
  <c r="AJ38" i="3" a="1"/>
  <c r="AJ38" i="3"/>
  <c r="AE60" i="3" a="1"/>
  <c r="AE60" i="3"/>
  <c r="BE55" i="3" a="1"/>
  <c r="BE55" i="3"/>
  <c r="AC55" i="3" a="1"/>
  <c r="AC55" i="3"/>
  <c r="AM38" i="3" a="1"/>
  <c r="AM38" i="3"/>
  <c r="AC20" i="3" a="1"/>
  <c r="AC20" i="3"/>
  <c r="BC38" i="3" a="1"/>
  <c r="BC38" i="3"/>
  <c r="AS29" i="3" a="1"/>
  <c r="AS29" i="3"/>
  <c r="AY20" i="3" a="1"/>
  <c r="AY20" i="3"/>
  <c r="AR29" i="3" a="1"/>
  <c r="AR29" i="3"/>
  <c r="BJ29" i="3" a="1"/>
  <c r="BJ29" i="3"/>
  <c r="AN55" i="3" a="1"/>
  <c r="AN55" i="3"/>
  <c r="AO32" i="3" a="1"/>
  <c r="AO32" i="3"/>
  <c r="AM60" i="3" a="1"/>
  <c r="AM60" i="3"/>
  <c r="AL20" i="3" a="1"/>
  <c r="AL20" i="3"/>
  <c r="AH55" i="3" a="1"/>
  <c r="AH55" i="3"/>
  <c r="AU20" i="3" a="1"/>
  <c r="AU20" i="3"/>
  <c r="BH32" i="3" a="1"/>
  <c r="BH32" i="3"/>
  <c r="BF38" i="3" a="1"/>
  <c r="BF38" i="3"/>
  <c r="AR60" i="3" a="1"/>
  <c r="AR60" i="3"/>
  <c r="BK32" i="3" a="1"/>
  <c r="BK32" i="3"/>
  <c r="AG39" i="3" a="1"/>
  <c r="AG39" i="3"/>
  <c r="AU38" i="3" a="1"/>
  <c r="AU38" i="3"/>
  <c r="BH20" i="3" a="1"/>
  <c r="BH20" i="3"/>
  <c r="AK54" i="3" a="1"/>
  <c r="AK54" i="3"/>
  <c r="BB39" i="3" a="1"/>
  <c r="BB39" i="3"/>
  <c r="BE27" i="3" a="1"/>
  <c r="BE27" i="3"/>
  <c r="AD48" i="3" a="1"/>
  <c r="AD48" i="3"/>
  <c r="AI38" i="3" a="1"/>
  <c r="AI38" i="3"/>
  <c r="AI39" i="3" a="1"/>
  <c r="AI39" i="3"/>
  <c r="AW60" i="3" a="1"/>
  <c r="AW60" i="3"/>
  <c r="AW27" i="3" a="1"/>
  <c r="AW27" i="3"/>
  <c r="AG60" i="3" a="1"/>
  <c r="AG60" i="3"/>
  <c r="AO38" i="3" a="1"/>
  <c r="AO38" i="3"/>
  <c r="BB32" i="3" a="1"/>
  <c r="BB32" i="3"/>
  <c r="BJ38" i="3" a="1"/>
  <c r="BJ38" i="3"/>
  <c r="AX38" i="3" a="1"/>
  <c r="AX38" i="3"/>
  <c r="AR27" i="3" a="1"/>
  <c r="AR27" i="3"/>
  <c r="AN27" i="3" a="1"/>
  <c r="AN27" i="3"/>
  <c r="AE38" i="3" a="1"/>
  <c r="AE38" i="3"/>
  <c r="AX20" i="3" a="1"/>
  <c r="AX20" i="3"/>
  <c r="AT55" i="3" a="1"/>
  <c r="AT55" i="3"/>
  <c r="AS27" i="3" a="1"/>
  <c r="AS27" i="3"/>
  <c r="AF39" i="3" a="1"/>
  <c r="AF39" i="3"/>
  <c r="AP32" i="3" a="1"/>
  <c r="AP32" i="3"/>
  <c r="BH38" i="3" a="1"/>
  <c r="BH38" i="3"/>
  <c r="AX27" i="3" a="1"/>
  <c r="AX27" i="3"/>
  <c r="BE48" i="3" a="1"/>
  <c r="BE48" i="3"/>
  <c r="BG48" i="3" a="1"/>
  <c r="BG48" i="3"/>
  <c r="AT27" i="3" a="1"/>
  <c r="AT27" i="3"/>
  <c r="AM48" i="3" a="1"/>
  <c r="AM48" i="3"/>
  <c r="AZ55" i="3" a="1"/>
  <c r="AZ55" i="3"/>
  <c r="BG27" i="3" a="1"/>
  <c r="BG27" i="3"/>
  <c r="BJ27" i="3" a="1"/>
  <c r="BJ27" i="3"/>
  <c r="AK55" i="3" a="1"/>
  <c r="AK55" i="3"/>
  <c r="BF27" i="3" a="1"/>
  <c r="BF27" i="3"/>
  <c r="AY60" i="3" a="1"/>
  <c r="AY60" i="3"/>
  <c r="AL39" i="3" a="1"/>
  <c r="AL39" i="3"/>
  <c r="BK29" i="3" a="1"/>
  <c r="BK29" i="3"/>
  <c r="BA60" i="3" a="1"/>
  <c r="BA60" i="3"/>
  <c r="BF20" i="3" a="1"/>
  <c r="BF20" i="3"/>
  <c r="BF48" i="3" a="1"/>
  <c r="BF48" i="3"/>
  <c r="AC27" i="3" a="1"/>
  <c r="AC27" i="3"/>
  <c r="AL48" i="3" a="1"/>
  <c r="AL48" i="3"/>
  <c r="BI29" i="3" a="1"/>
  <c r="BI29" i="3"/>
  <c r="AT48" i="3" a="1"/>
  <c r="AT48" i="3"/>
  <c r="AG29" i="3" a="1"/>
  <c r="AG29" i="3"/>
  <c r="AD55" i="3" a="1"/>
  <c r="AD55" i="3"/>
  <c r="BD38" i="3" a="1"/>
  <c r="BD38" i="3"/>
  <c r="AX39" i="3" a="1"/>
  <c r="AX39" i="3"/>
  <c r="AV29" i="3" a="1"/>
  <c r="AV29" i="3"/>
  <c r="AH38" i="3" a="1"/>
  <c r="AH38" i="3"/>
  <c r="BG29" i="3" a="1"/>
  <c r="BG29" i="3"/>
  <c r="AF60" i="3" a="1"/>
  <c r="AF60" i="3"/>
  <c r="AD20" i="3" a="1"/>
  <c r="AD20" i="3"/>
  <c r="AF27" i="3" a="1"/>
  <c r="AF27" i="3"/>
  <c r="AX54" i="3" a="1"/>
  <c r="AX54" i="3"/>
  <c r="AZ48" i="3" a="1"/>
  <c r="AZ48" i="3"/>
  <c r="AT20" i="3" a="1"/>
  <c r="AT20" i="3"/>
  <c r="AW39" i="3" a="1"/>
  <c r="AW39" i="3"/>
  <c r="AN54" i="3" a="1"/>
  <c r="AN54" i="3"/>
  <c r="BF55" i="3" a="1"/>
  <c r="BF55" i="3"/>
  <c r="AM32" i="3" a="1"/>
  <c r="AM32" i="3"/>
  <c r="BJ55" i="3" a="1"/>
  <c r="BJ55" i="3"/>
  <c r="AT32" i="3" a="1"/>
  <c r="AT32" i="3"/>
  <c r="BB48" i="3" a="1"/>
  <c r="BB48" i="3"/>
  <c r="BH48" i="3" a="1"/>
  <c r="BH48" i="3"/>
  <c r="AJ39" i="3" a="1"/>
  <c r="AJ39" i="3"/>
  <c r="AJ54" i="3" a="1"/>
  <c r="AJ54" i="3"/>
  <c r="AU60" i="3" a="1"/>
  <c r="AU60" i="3"/>
  <c r="AU54" i="3" a="1"/>
  <c r="AU54" i="3"/>
  <c r="AV20" i="3" a="1"/>
  <c r="AV20" i="3"/>
  <c r="AV54" i="3" a="1"/>
  <c r="AV54" i="3"/>
  <c r="AD32" i="3" a="1"/>
  <c r="AD32" i="3"/>
  <c r="AY55" i="3" a="1"/>
  <c r="AY55" i="3"/>
  <c r="AK48" i="3" a="1"/>
  <c r="AK48" i="3"/>
  <c r="AH39" i="3" a="1"/>
  <c r="AH39" i="3"/>
  <c r="AX32" i="3" a="1"/>
  <c r="AX32" i="3"/>
  <c r="AS48" i="3" a="1"/>
  <c r="AS48" i="3"/>
  <c r="AO20" i="3" a="1"/>
  <c r="AO20" i="3"/>
  <c r="AF20" i="3" a="1"/>
  <c r="AF20" i="3"/>
  <c r="AW54" i="3" a="1"/>
  <c r="AW54" i="3"/>
  <c r="BC29" i="3" a="1"/>
  <c r="BC29" i="3"/>
  <c r="BD60" i="3" a="1"/>
  <c r="BD60" i="3"/>
  <c r="BC48" i="3" a="1"/>
  <c r="BC48" i="3"/>
  <c r="AD60" i="3" a="1"/>
  <c r="AD60" i="3"/>
  <c r="AH60" i="3" a="1"/>
  <c r="AH60" i="3"/>
  <c r="AH48" i="3" a="1"/>
  <c r="AH48" i="3"/>
  <c r="AK32" i="3" a="1"/>
  <c r="AK32" i="3"/>
  <c r="BC20" i="3" a="1"/>
  <c r="BC20" i="3"/>
  <c r="AV55" i="3" a="1"/>
  <c r="AV55" i="3"/>
  <c r="BA32" i="3" a="1"/>
  <c r="BA32" i="3"/>
  <c r="BA48" i="3" a="1"/>
  <c r="BA48" i="3"/>
  <c r="AQ38" i="3" a="1"/>
  <c r="AQ38" i="3"/>
  <c r="AV32" i="3" a="1"/>
  <c r="AV32" i="3"/>
  <c r="AN48" i="3" a="1"/>
  <c r="AN48" i="3"/>
  <c r="AJ55" i="3" a="1"/>
  <c r="AJ55" i="3"/>
  <c r="AE20" i="3" a="1"/>
  <c r="AE20" i="3"/>
  <c r="BH39" i="3" a="1"/>
  <c r="BH39" i="3"/>
  <c r="AY39" i="3" a="1"/>
  <c r="AY39" i="3"/>
  <c r="AG48" i="3" a="1"/>
  <c r="AG48" i="3"/>
  <c r="AL55" i="3" a="1"/>
  <c r="AL55" i="3"/>
  <c r="BC27" i="3" a="1"/>
  <c r="BC27" i="3"/>
  <c r="AL29" i="3" a="1"/>
  <c r="AL29" i="3"/>
  <c r="AY27" i="3" a="1"/>
  <c r="AY27" i="3"/>
  <c r="AS54" i="3" a="1"/>
  <c r="AS54" i="3"/>
  <c r="AE39" i="3" a="1"/>
  <c r="AE39" i="3"/>
  <c r="AW20" i="3" a="1"/>
  <c r="AW20" i="3"/>
  <c r="BG38" i="3" a="1"/>
  <c r="BG38" i="3"/>
  <c r="AX48" i="3" a="1"/>
  <c r="AX48" i="3"/>
  <c r="AP27" i="3" a="1"/>
  <c r="AP27" i="3"/>
  <c r="AZ39" i="3" a="1"/>
  <c r="AZ39" i="3"/>
  <c r="AT29" i="3" a="1"/>
  <c r="AT29" i="3"/>
  <c r="AM29" i="3" a="1"/>
  <c r="AM29" i="3"/>
  <c r="BI54" i="3" a="1"/>
  <c r="BI54" i="3"/>
  <c r="BB60" i="3" a="1"/>
  <c r="BB60" i="3"/>
  <c r="BB20" i="3" a="1"/>
  <c r="BB20" i="3"/>
  <c r="AQ39" i="3" a="1"/>
  <c r="AQ39" i="3"/>
  <c r="AP48" i="3" a="1"/>
  <c r="AP48" i="3"/>
  <c r="BH55" i="3" a="1"/>
  <c r="BH55" i="3"/>
  <c r="BA38" i="3" a="1"/>
  <c r="BA38" i="3"/>
  <c r="AO60" i="3" a="1"/>
  <c r="AO60" i="3"/>
  <c r="BG32" i="3" a="1"/>
  <c r="BG32" i="3"/>
  <c r="AH29" i="3" a="1"/>
  <c r="AH29" i="3"/>
  <c r="AZ60" i="3" a="1"/>
  <c r="AZ60" i="3"/>
  <c r="AF55" i="3" a="1"/>
  <c r="AF55" i="3"/>
  <c r="BG20" i="3" a="1"/>
  <c r="BG20" i="3"/>
  <c r="BC54" i="3" a="1"/>
  <c r="BC54" i="3"/>
  <c r="AC48" i="3" a="1"/>
  <c r="AC48" i="3"/>
  <c r="BE38" i="3" a="1"/>
  <c r="BE38" i="3"/>
  <c r="AV39" i="3" a="1"/>
  <c r="AV39" i="3"/>
  <c r="AH27" i="3" a="1"/>
  <c r="AH27" i="3"/>
  <c r="BQ48" i="3"/>
  <c r="BP48" i="3"/>
  <c r="BO48" i="3"/>
  <c r="BN48" i="3"/>
  <c r="BM48" i="3"/>
  <c r="BL48" i="3"/>
  <c r="BQ60" i="3"/>
  <c r="BP60" i="3"/>
  <c r="BO60" i="3"/>
  <c r="BN60" i="3"/>
  <c r="BM60" i="3"/>
  <c r="BL60" i="3"/>
  <c r="BQ38" i="3"/>
  <c r="BP38" i="3"/>
  <c r="BO38" i="3"/>
  <c r="BN38" i="3"/>
  <c r="BM38" i="3"/>
  <c r="BL38" i="3"/>
  <c r="BQ20" i="3"/>
  <c r="BP20" i="3"/>
  <c r="BO20" i="3"/>
  <c r="BN20" i="3"/>
  <c r="BM20" i="3"/>
  <c r="BL20" i="3"/>
  <c r="BQ39" i="3"/>
  <c r="BP39" i="3"/>
  <c r="BO39" i="3"/>
  <c r="BN39" i="3"/>
  <c r="BM39" i="3"/>
  <c r="BL39" i="3"/>
  <c r="BQ55" i="3"/>
  <c r="BP55" i="3"/>
  <c r="BO55" i="3"/>
  <c r="BN55" i="3"/>
  <c r="BM55" i="3"/>
  <c r="BL55" i="3"/>
  <c r="BQ32" i="3"/>
  <c r="BP32" i="3"/>
  <c r="BO32" i="3"/>
  <c r="BN32" i="3"/>
  <c r="BM32" i="3"/>
  <c r="BL32" i="3"/>
  <c r="BQ27" i="3"/>
  <c r="BP27" i="3"/>
  <c r="BO27" i="3"/>
  <c r="BN27" i="3"/>
  <c r="BM27" i="3"/>
  <c r="BL27" i="3"/>
  <c r="BQ54" i="3"/>
  <c r="BP54" i="3"/>
  <c r="BO54" i="3"/>
  <c r="BN54" i="3"/>
  <c r="BM54" i="3"/>
  <c r="BL54" i="3"/>
  <c r="BQ29" i="3"/>
  <c r="BP29" i="3"/>
  <c r="BO29" i="3"/>
  <c r="BN29" i="3"/>
  <c r="BM29" i="3"/>
  <c r="BL29" i="3"/>
  <c r="AJ69" i="3" a="1"/>
  <c r="AJ69" i="3"/>
  <c r="AJ68" i="3" a="1"/>
  <c r="AJ68" i="3"/>
  <c r="AJ67" i="3" a="1"/>
  <c r="AJ67" i="3"/>
  <c r="AJ66" i="3" a="1"/>
  <c r="AJ66" i="3"/>
  <c r="AJ65" i="3" a="1"/>
  <c r="AJ65" i="3"/>
  <c r="AJ64" i="3" a="1"/>
  <c r="AJ64" i="3"/>
  <c r="AJ63" i="3" a="1"/>
  <c r="AJ63" i="3"/>
  <c r="AJ62" i="3" a="1"/>
  <c r="AJ62" i="3"/>
  <c r="AJ61" i="3" a="1"/>
  <c r="AJ61" i="3"/>
  <c r="AJ59" i="3" a="1"/>
  <c r="AJ59" i="3"/>
  <c r="AJ58" i="3" a="1"/>
  <c r="AJ58" i="3"/>
  <c r="AJ57" i="3" a="1"/>
  <c r="AJ57" i="3"/>
  <c r="AJ56" i="3" a="1"/>
  <c r="AJ56" i="3"/>
  <c r="AJ53" i="3" a="1"/>
  <c r="AJ53" i="3"/>
  <c r="AJ52" i="3" a="1"/>
  <c r="AJ52" i="3"/>
  <c r="AJ51" i="3" a="1"/>
  <c r="AJ51" i="3"/>
  <c r="AJ50" i="3" a="1"/>
  <c r="AJ50" i="3"/>
  <c r="AJ49" i="3" a="1"/>
  <c r="AJ49" i="3"/>
  <c r="AJ47" i="3" a="1"/>
  <c r="AJ47" i="3"/>
  <c r="AJ46" i="3" a="1"/>
  <c r="AJ46" i="3"/>
  <c r="AJ45" i="3" a="1"/>
  <c r="AJ45" i="3"/>
  <c r="AJ44" i="3" a="1"/>
  <c r="AJ44" i="3"/>
  <c r="AJ43" i="3" a="1"/>
  <c r="AJ43" i="3"/>
  <c r="AJ42" i="3" a="1"/>
  <c r="AJ42" i="3"/>
  <c r="AJ41" i="3" a="1"/>
  <c r="AJ41" i="3"/>
  <c r="AJ40" i="3" a="1"/>
  <c r="AJ40" i="3"/>
  <c r="AJ37" i="3" a="1"/>
  <c r="AJ37" i="3"/>
  <c r="AJ36" i="3" a="1"/>
  <c r="AJ36" i="3"/>
  <c r="AJ35" i="3" a="1"/>
  <c r="AJ35" i="3"/>
  <c r="AJ34" i="3" a="1"/>
  <c r="AJ34" i="3"/>
  <c r="AJ33" i="3" a="1"/>
  <c r="AJ33" i="3"/>
  <c r="AJ31" i="3" a="1"/>
  <c r="AJ31" i="3"/>
  <c r="AJ30" i="3" a="1"/>
  <c r="AJ30" i="3"/>
  <c r="AJ28" i="3" a="1"/>
  <c r="AJ28" i="3"/>
  <c r="AJ26" i="3" a="1"/>
  <c r="AJ26" i="3"/>
  <c r="AJ25" i="3" a="1"/>
  <c r="AJ25" i="3"/>
  <c r="AJ24" i="3" a="1"/>
  <c r="AJ24" i="3"/>
  <c r="AJ23" i="3" a="1"/>
  <c r="AJ23" i="3"/>
  <c r="AJ22" i="3" a="1"/>
  <c r="AJ22" i="3"/>
  <c r="AJ21" i="3" a="1"/>
  <c r="AJ21" i="3"/>
  <c r="AJ19" i="3" a="1"/>
  <c r="AJ19" i="3"/>
  <c r="AJ18" i="3" a="1"/>
  <c r="AJ18" i="3"/>
  <c r="AJ17" i="3" a="1"/>
  <c r="AJ17" i="3"/>
  <c r="AJ16" i="3" a="1"/>
  <c r="AJ16" i="3"/>
  <c r="BD69" i="3" a="1"/>
  <c r="BD69" i="3"/>
  <c r="BD68" i="3" a="1"/>
  <c r="BD68" i="3"/>
  <c r="BD67" i="3" a="1"/>
  <c r="BD67" i="3"/>
  <c r="BD66" i="3" a="1"/>
  <c r="BD66" i="3"/>
  <c r="BD65" i="3" a="1"/>
  <c r="BD65" i="3"/>
  <c r="BD64" i="3" a="1"/>
  <c r="BD64" i="3"/>
  <c r="BD63" i="3" a="1"/>
  <c r="BD63" i="3"/>
  <c r="BD62" i="3" a="1"/>
  <c r="BD62" i="3"/>
  <c r="BD61" i="3" a="1"/>
  <c r="BD61" i="3"/>
  <c r="BD59" i="3" a="1"/>
  <c r="BD59" i="3"/>
  <c r="BD58" i="3" a="1"/>
  <c r="BD58" i="3"/>
  <c r="BD57" i="3" a="1"/>
  <c r="BD57" i="3"/>
  <c r="BD56" i="3" a="1"/>
  <c r="BD56" i="3"/>
  <c r="BD53" i="3" a="1"/>
  <c r="BD53" i="3"/>
  <c r="BD52" i="3" a="1"/>
  <c r="BD52" i="3"/>
  <c r="BD51" i="3" a="1"/>
  <c r="BD51" i="3"/>
  <c r="BD50" i="3" a="1"/>
  <c r="BD50" i="3"/>
  <c r="BD49" i="3" a="1"/>
  <c r="BD49" i="3"/>
  <c r="BD47" i="3" a="1"/>
  <c r="BD47" i="3"/>
  <c r="BD46" i="3" a="1"/>
  <c r="BD46" i="3"/>
  <c r="BD45" i="3" a="1"/>
  <c r="BD45" i="3"/>
  <c r="BD44" i="3" a="1"/>
  <c r="BD44" i="3"/>
  <c r="BD43" i="3" a="1"/>
  <c r="BD43" i="3"/>
  <c r="BD42" i="3" a="1"/>
  <c r="BD42" i="3"/>
  <c r="BD41" i="3" a="1"/>
  <c r="BD41" i="3"/>
  <c r="BD40" i="3" a="1"/>
  <c r="BD40" i="3"/>
  <c r="BD37" i="3" a="1"/>
  <c r="BD37" i="3"/>
  <c r="BD36" i="3" a="1"/>
  <c r="BD36" i="3"/>
  <c r="BD35" i="3" a="1"/>
  <c r="BD35" i="3"/>
  <c r="BD34" i="3" a="1"/>
  <c r="BD34" i="3"/>
  <c r="BD33" i="3" a="1"/>
  <c r="BD33" i="3"/>
  <c r="BD31" i="3" a="1"/>
  <c r="BD31" i="3"/>
  <c r="BD30" i="3" a="1"/>
  <c r="BD30" i="3"/>
  <c r="BD28" i="3" a="1"/>
  <c r="BD28" i="3"/>
  <c r="BD26" i="3" a="1"/>
  <c r="BD26" i="3"/>
  <c r="BD25" i="3" a="1"/>
  <c r="BD25" i="3"/>
  <c r="BD24" i="3" a="1"/>
  <c r="BD24" i="3"/>
  <c r="BD23" i="3" a="1"/>
  <c r="BD23" i="3"/>
  <c r="BD22" i="3" a="1"/>
  <c r="BD22" i="3"/>
  <c r="BD21" i="3" a="1"/>
  <c r="BD21" i="3"/>
  <c r="BD19" i="3" a="1"/>
  <c r="BD19" i="3"/>
  <c r="BD18" i="3" a="1"/>
  <c r="BD18" i="3"/>
  <c r="BD17" i="3" a="1"/>
  <c r="BD17" i="3"/>
  <c r="BD16" i="3" a="1"/>
  <c r="BD16" i="3"/>
  <c r="AU69" i="3" a="1"/>
  <c r="AU69" i="3"/>
  <c r="AU68" i="3" a="1"/>
  <c r="AU68" i="3"/>
  <c r="AU67" i="3" a="1"/>
  <c r="AU67" i="3"/>
  <c r="AU66" i="3" a="1"/>
  <c r="AU66" i="3"/>
  <c r="AU65" i="3" a="1"/>
  <c r="AU65" i="3"/>
  <c r="AU64" i="3" a="1"/>
  <c r="AU64" i="3"/>
  <c r="AU63" i="3" a="1"/>
  <c r="AU63" i="3"/>
  <c r="AU62" i="3" a="1"/>
  <c r="AU62" i="3"/>
  <c r="AU61" i="3" a="1"/>
  <c r="AU61" i="3"/>
  <c r="AU59" i="3" a="1"/>
  <c r="AU59" i="3"/>
  <c r="AU58" i="3" a="1"/>
  <c r="AU58" i="3"/>
  <c r="AU57" i="3" a="1"/>
  <c r="AU57" i="3"/>
  <c r="AU56" i="3" a="1"/>
  <c r="AU56" i="3"/>
  <c r="AU53" i="3" a="1"/>
  <c r="AU53" i="3"/>
  <c r="AU52" i="3" a="1"/>
  <c r="AU52" i="3"/>
  <c r="AU51" i="3" a="1"/>
  <c r="AU51" i="3"/>
  <c r="AU50" i="3" a="1"/>
  <c r="AU50" i="3"/>
  <c r="AU49" i="3" a="1"/>
  <c r="AU49" i="3"/>
  <c r="AU47" i="3" a="1"/>
  <c r="AU47" i="3"/>
  <c r="AU46" i="3" a="1"/>
  <c r="AU46" i="3"/>
  <c r="AU45" i="3" a="1"/>
  <c r="AU45" i="3"/>
  <c r="AU44" i="3" a="1"/>
  <c r="AU44" i="3"/>
  <c r="AU43" i="3" a="1"/>
  <c r="AU43" i="3"/>
  <c r="AU42" i="3" a="1"/>
  <c r="AU42" i="3"/>
  <c r="AU41" i="3" a="1"/>
  <c r="AU41" i="3"/>
  <c r="AU40" i="3" a="1"/>
  <c r="AU40" i="3"/>
  <c r="AU37" i="3" a="1"/>
  <c r="AU37" i="3"/>
  <c r="AU36" i="3" a="1"/>
  <c r="AU36" i="3"/>
  <c r="AU35" i="3" a="1"/>
  <c r="AU35" i="3"/>
  <c r="AU34" i="3" a="1"/>
  <c r="AU34" i="3"/>
  <c r="AU33" i="3" a="1"/>
  <c r="AU33" i="3"/>
  <c r="AU31" i="3" a="1"/>
  <c r="AU31" i="3"/>
  <c r="AU30" i="3" a="1"/>
  <c r="AU30" i="3"/>
  <c r="AU28" i="3" a="1"/>
  <c r="AU28" i="3"/>
  <c r="AU26" i="3" a="1"/>
  <c r="AU26" i="3"/>
  <c r="AU25" i="3" a="1"/>
  <c r="AU25" i="3"/>
  <c r="AU24" i="3" a="1"/>
  <c r="AU24" i="3"/>
  <c r="AU23" i="3" a="1"/>
  <c r="AU23" i="3"/>
  <c r="AU22" i="3" a="1"/>
  <c r="AU22" i="3"/>
  <c r="AU21" i="3" a="1"/>
  <c r="AU21" i="3"/>
  <c r="AU19" i="3" a="1"/>
  <c r="AU19" i="3"/>
  <c r="AU18" i="3" a="1"/>
  <c r="AU18" i="3"/>
  <c r="AU17" i="3" a="1"/>
  <c r="AU17" i="3"/>
  <c r="AU16" i="3" a="1"/>
  <c r="AU16" i="3"/>
  <c r="BK69" i="3" a="1"/>
  <c r="BK69" i="3"/>
  <c r="BK68" i="3" a="1"/>
  <c r="BK68" i="3"/>
  <c r="BK67" i="3" a="1"/>
  <c r="BK67" i="3"/>
  <c r="BK66" i="3" a="1"/>
  <c r="BK66" i="3"/>
  <c r="BK65" i="3" a="1"/>
  <c r="BK65" i="3"/>
  <c r="BK64" i="3" a="1"/>
  <c r="BK64" i="3"/>
  <c r="BK63" i="3" a="1"/>
  <c r="BK63" i="3"/>
  <c r="BK62" i="3" a="1"/>
  <c r="BK62" i="3"/>
  <c r="BK61" i="3" a="1"/>
  <c r="BK61" i="3"/>
  <c r="BK59" i="3" a="1"/>
  <c r="BK59" i="3"/>
  <c r="BK58" i="3" a="1"/>
  <c r="BK58" i="3"/>
  <c r="BK57" i="3" a="1"/>
  <c r="BK57" i="3"/>
  <c r="BK56" i="3" a="1"/>
  <c r="BK56" i="3"/>
  <c r="BK53" i="3" a="1"/>
  <c r="BK53" i="3"/>
  <c r="BK52" i="3" a="1"/>
  <c r="BK52" i="3"/>
  <c r="BK51" i="3" a="1"/>
  <c r="BK51" i="3"/>
  <c r="BK50" i="3" a="1"/>
  <c r="BK50" i="3"/>
  <c r="BK49" i="3" a="1"/>
  <c r="BK49" i="3"/>
  <c r="BK47" i="3" a="1"/>
  <c r="BK47" i="3"/>
  <c r="BK46" i="3" a="1"/>
  <c r="BK46" i="3"/>
  <c r="BK45" i="3" a="1"/>
  <c r="BK45" i="3"/>
  <c r="BK44" i="3" a="1"/>
  <c r="BK44" i="3"/>
  <c r="BK43" i="3" a="1"/>
  <c r="BK43" i="3"/>
  <c r="BK42" i="3" a="1"/>
  <c r="BK42" i="3"/>
  <c r="BK41" i="3" a="1"/>
  <c r="BK41" i="3"/>
  <c r="BK40" i="3" a="1"/>
  <c r="BK40" i="3"/>
  <c r="BK37" i="3" a="1"/>
  <c r="BK37" i="3"/>
  <c r="BK36" i="3" a="1"/>
  <c r="BK36" i="3"/>
  <c r="BK35" i="3" a="1"/>
  <c r="BK35" i="3"/>
  <c r="BK34" i="3" a="1"/>
  <c r="BK34" i="3"/>
  <c r="BK33" i="3" a="1"/>
  <c r="BK33" i="3"/>
  <c r="BK31" i="3" a="1"/>
  <c r="BK31" i="3"/>
  <c r="BK30" i="3" a="1"/>
  <c r="BK30" i="3"/>
  <c r="BK28" i="3" a="1"/>
  <c r="BK28" i="3"/>
  <c r="BK26" i="3" a="1"/>
  <c r="BK26" i="3"/>
  <c r="BK25" i="3" a="1"/>
  <c r="BK25" i="3"/>
  <c r="BK24" i="3" a="1"/>
  <c r="BK24" i="3"/>
  <c r="BK23" i="3" a="1"/>
  <c r="BK23" i="3"/>
  <c r="BK22" i="3" a="1"/>
  <c r="BK22" i="3"/>
  <c r="BK21" i="3" a="1"/>
  <c r="BK21" i="3"/>
  <c r="BK19" i="3" a="1"/>
  <c r="BK19" i="3"/>
  <c r="BK18" i="3" a="1"/>
  <c r="BK18" i="3"/>
  <c r="BK17" i="3" a="1"/>
  <c r="BK17" i="3"/>
  <c r="BK16" i="3" a="1"/>
  <c r="BK16" i="3"/>
  <c r="BF69" i="3" a="1"/>
  <c r="BF69" i="3"/>
  <c r="BF68" i="3" a="1"/>
  <c r="BF68" i="3"/>
  <c r="BF67" i="3" a="1"/>
  <c r="BF67" i="3"/>
  <c r="BF66" i="3" a="1"/>
  <c r="BF66" i="3"/>
  <c r="BF65" i="3" a="1"/>
  <c r="BF65" i="3"/>
  <c r="BF64" i="3" a="1"/>
  <c r="BF64" i="3"/>
  <c r="BF63" i="3" a="1"/>
  <c r="BF63" i="3"/>
  <c r="BF62" i="3" a="1"/>
  <c r="BF62" i="3"/>
  <c r="BF61" i="3" a="1"/>
  <c r="BF61" i="3"/>
  <c r="BF59" i="3" a="1"/>
  <c r="BF59" i="3"/>
  <c r="BF58" i="3" a="1"/>
  <c r="BF58" i="3"/>
  <c r="BF57" i="3" a="1"/>
  <c r="BF57" i="3"/>
  <c r="BF56" i="3" a="1"/>
  <c r="BF56" i="3"/>
  <c r="BF53" i="3" a="1"/>
  <c r="BF53" i="3"/>
  <c r="BF52" i="3" a="1"/>
  <c r="BF52" i="3"/>
  <c r="BF51" i="3" a="1"/>
  <c r="BF51" i="3"/>
  <c r="BF50" i="3" a="1"/>
  <c r="BF50" i="3"/>
  <c r="BF49" i="3" a="1"/>
  <c r="BF49" i="3"/>
  <c r="BF47" i="3" a="1"/>
  <c r="BF47" i="3"/>
  <c r="BF46" i="3" a="1"/>
  <c r="BF46" i="3"/>
  <c r="BF45" i="3" a="1"/>
  <c r="BF45" i="3"/>
  <c r="BF44" i="3" a="1"/>
  <c r="BF44" i="3"/>
  <c r="BF43" i="3" a="1"/>
  <c r="BF43" i="3"/>
  <c r="BF42" i="3" a="1"/>
  <c r="BF42" i="3"/>
  <c r="BF41" i="3" a="1"/>
  <c r="BF41" i="3"/>
  <c r="BF40" i="3" a="1"/>
  <c r="BF40" i="3"/>
  <c r="BF37" i="3" a="1"/>
  <c r="BF37" i="3"/>
  <c r="BF36" i="3" a="1"/>
  <c r="BF36" i="3"/>
  <c r="BF35" i="3" a="1"/>
  <c r="BF35" i="3"/>
  <c r="BF34" i="3" a="1"/>
  <c r="BF34" i="3"/>
  <c r="BF33" i="3" a="1"/>
  <c r="BF33" i="3"/>
  <c r="BF31" i="3" a="1"/>
  <c r="BF31" i="3"/>
  <c r="BF30" i="3" a="1"/>
  <c r="BF30" i="3"/>
  <c r="BF28" i="3" a="1"/>
  <c r="BF28" i="3"/>
  <c r="BF26" i="3" a="1"/>
  <c r="BF26" i="3"/>
  <c r="BF25" i="3" a="1"/>
  <c r="BF25" i="3"/>
  <c r="BF24" i="3" a="1"/>
  <c r="BF24" i="3"/>
  <c r="BF23" i="3" a="1"/>
  <c r="BF23" i="3"/>
  <c r="BF22" i="3" a="1"/>
  <c r="BF22" i="3"/>
  <c r="BF21" i="3" a="1"/>
  <c r="BF21" i="3"/>
  <c r="BF19" i="3" a="1"/>
  <c r="BF19" i="3"/>
  <c r="BF18" i="3" a="1"/>
  <c r="BF18" i="3"/>
  <c r="BF17" i="3" a="1"/>
  <c r="BF17" i="3"/>
  <c r="BF16" i="3" a="1"/>
  <c r="BF16" i="3"/>
  <c r="BH69" i="3" a="1"/>
  <c r="BH69" i="3"/>
  <c r="BH68" i="3" a="1"/>
  <c r="BH68" i="3"/>
  <c r="BH67" i="3" a="1"/>
  <c r="BH67" i="3"/>
  <c r="BH66" i="3" a="1"/>
  <c r="BH66" i="3"/>
  <c r="BH65" i="3" a="1"/>
  <c r="BH65" i="3"/>
  <c r="BH64" i="3" a="1"/>
  <c r="BH64" i="3"/>
  <c r="BH63" i="3" a="1"/>
  <c r="BH63" i="3"/>
  <c r="BH62" i="3" a="1"/>
  <c r="BH62" i="3"/>
  <c r="BH61" i="3" a="1"/>
  <c r="BH61" i="3"/>
  <c r="BH59" i="3" a="1"/>
  <c r="BH59" i="3"/>
  <c r="BH58" i="3" a="1"/>
  <c r="BH58" i="3"/>
  <c r="BH57" i="3" a="1"/>
  <c r="BH57" i="3"/>
  <c r="BH56" i="3" a="1"/>
  <c r="BH56" i="3"/>
  <c r="BH53" i="3" a="1"/>
  <c r="BH53" i="3"/>
  <c r="BH52" i="3" a="1"/>
  <c r="BH52" i="3"/>
  <c r="BH51" i="3" a="1"/>
  <c r="BH51" i="3"/>
  <c r="BH50" i="3" a="1"/>
  <c r="BH50" i="3"/>
  <c r="BH49" i="3" a="1"/>
  <c r="BH49" i="3"/>
  <c r="BH47" i="3" a="1"/>
  <c r="BH47" i="3"/>
  <c r="BH46" i="3" a="1"/>
  <c r="BH46" i="3"/>
  <c r="BH45" i="3" a="1"/>
  <c r="BH45" i="3"/>
  <c r="BH44" i="3" a="1"/>
  <c r="BH44" i="3"/>
  <c r="BH43" i="3" a="1"/>
  <c r="BH43" i="3"/>
  <c r="BH42" i="3" a="1"/>
  <c r="BH42" i="3"/>
  <c r="BH41" i="3" a="1"/>
  <c r="BH41" i="3"/>
  <c r="BH40" i="3" a="1"/>
  <c r="BH40" i="3"/>
  <c r="BH37" i="3" a="1"/>
  <c r="BH37" i="3"/>
  <c r="BH36" i="3" a="1"/>
  <c r="BH36" i="3"/>
  <c r="BH35" i="3" a="1"/>
  <c r="BH35" i="3"/>
  <c r="BH34" i="3" a="1"/>
  <c r="BH34" i="3"/>
  <c r="BH33" i="3" a="1"/>
  <c r="BH33" i="3"/>
  <c r="BH31" i="3" a="1"/>
  <c r="BH31" i="3"/>
  <c r="BH30" i="3" a="1"/>
  <c r="BH30" i="3"/>
  <c r="BH28" i="3" a="1"/>
  <c r="BH28" i="3"/>
  <c r="BH26" i="3" a="1"/>
  <c r="BH26" i="3"/>
  <c r="BH25" i="3" a="1"/>
  <c r="BH25" i="3"/>
  <c r="BH24" i="3" a="1"/>
  <c r="BH24" i="3"/>
  <c r="BH23" i="3" a="1"/>
  <c r="BH23" i="3"/>
  <c r="BH22" i="3" a="1"/>
  <c r="BH22" i="3"/>
  <c r="BH21" i="3" a="1"/>
  <c r="BH21" i="3"/>
  <c r="BH19" i="3" a="1"/>
  <c r="BH19" i="3"/>
  <c r="BH18" i="3" a="1"/>
  <c r="BH18" i="3"/>
  <c r="BH17" i="3" a="1"/>
  <c r="BH17" i="3"/>
  <c r="BH16" i="3" a="1"/>
  <c r="BH16" i="3"/>
  <c r="BE69" i="3" a="1"/>
  <c r="BE69" i="3"/>
  <c r="BE68" i="3" a="1"/>
  <c r="BE68" i="3"/>
  <c r="BE67" i="3" a="1"/>
  <c r="BE67" i="3"/>
  <c r="BE66" i="3" a="1"/>
  <c r="BE66" i="3"/>
  <c r="BE65" i="3" a="1"/>
  <c r="BE65" i="3"/>
  <c r="BE64" i="3" a="1"/>
  <c r="BE64" i="3"/>
  <c r="BE63" i="3" a="1"/>
  <c r="BE63" i="3"/>
  <c r="BE62" i="3" a="1"/>
  <c r="BE62" i="3"/>
  <c r="BE61" i="3" a="1"/>
  <c r="BE61" i="3"/>
  <c r="BE59" i="3" a="1"/>
  <c r="BE59" i="3"/>
  <c r="BE58" i="3" a="1"/>
  <c r="BE58" i="3"/>
  <c r="BE57" i="3" a="1"/>
  <c r="BE57" i="3"/>
  <c r="BE56" i="3" a="1"/>
  <c r="BE56" i="3"/>
  <c r="BE53" i="3" a="1"/>
  <c r="BE53" i="3"/>
  <c r="BE52" i="3" a="1"/>
  <c r="BE52" i="3"/>
  <c r="BE51" i="3" a="1"/>
  <c r="BE51" i="3"/>
  <c r="BE50" i="3" a="1"/>
  <c r="BE50" i="3"/>
  <c r="BE49" i="3" a="1"/>
  <c r="BE49" i="3"/>
  <c r="BE47" i="3" a="1"/>
  <c r="BE47" i="3"/>
  <c r="BE46" i="3" a="1"/>
  <c r="BE46" i="3"/>
  <c r="BE45" i="3" a="1"/>
  <c r="BE45" i="3"/>
  <c r="BE44" i="3" a="1"/>
  <c r="BE44" i="3"/>
  <c r="BE43" i="3" a="1"/>
  <c r="BE43" i="3"/>
  <c r="BE42" i="3" a="1"/>
  <c r="BE42" i="3"/>
  <c r="BE41" i="3" a="1"/>
  <c r="BE41" i="3"/>
  <c r="BE40" i="3" a="1"/>
  <c r="BE40" i="3"/>
  <c r="BE37" i="3" a="1"/>
  <c r="BE37" i="3"/>
  <c r="BE36" i="3" a="1"/>
  <c r="BE36" i="3"/>
  <c r="BE35" i="3" a="1"/>
  <c r="BE35" i="3"/>
  <c r="BE34" i="3" a="1"/>
  <c r="BE34" i="3"/>
  <c r="BE33" i="3" a="1"/>
  <c r="BE33" i="3"/>
  <c r="BE31" i="3" a="1"/>
  <c r="BE31" i="3"/>
  <c r="BE30" i="3" a="1"/>
  <c r="BE30" i="3"/>
  <c r="BE28" i="3" a="1"/>
  <c r="BE28" i="3"/>
  <c r="BE26" i="3" a="1"/>
  <c r="BE26" i="3"/>
  <c r="BE25" i="3" a="1"/>
  <c r="BE25" i="3"/>
  <c r="BE24" i="3" a="1"/>
  <c r="BE24" i="3"/>
  <c r="BE23" i="3" a="1"/>
  <c r="BE23" i="3"/>
  <c r="BE22" i="3" a="1"/>
  <c r="BE22" i="3"/>
  <c r="BE21" i="3" a="1"/>
  <c r="BE21" i="3"/>
  <c r="BE19" i="3" a="1"/>
  <c r="BE19" i="3"/>
  <c r="BE18" i="3" a="1"/>
  <c r="BE18" i="3"/>
  <c r="BE17" i="3" a="1"/>
  <c r="BE17" i="3"/>
  <c r="BE16" i="3" a="1"/>
  <c r="BE16" i="3"/>
  <c r="AF69" i="3" a="1"/>
  <c r="AF69" i="3"/>
  <c r="BN69" i="3"/>
  <c r="AF68" i="3" a="1"/>
  <c r="AF68" i="3"/>
  <c r="BN68" i="3"/>
  <c r="AF67" i="3" a="1"/>
  <c r="AF67" i="3"/>
  <c r="BN67" i="3"/>
  <c r="AF66" i="3" a="1"/>
  <c r="AF66" i="3"/>
  <c r="BN66" i="3"/>
  <c r="AF65" i="3" a="1"/>
  <c r="AF65" i="3"/>
  <c r="BN65" i="3"/>
  <c r="AF64" i="3" a="1"/>
  <c r="AF64" i="3"/>
  <c r="BN64" i="3"/>
  <c r="AF63" i="3" a="1"/>
  <c r="AF63" i="3"/>
  <c r="BN63" i="3"/>
  <c r="AF62" i="3" a="1"/>
  <c r="AF62" i="3"/>
  <c r="BN62" i="3"/>
  <c r="AF61" i="3" a="1"/>
  <c r="AF61" i="3"/>
  <c r="BN61" i="3"/>
  <c r="AF59" i="3" a="1"/>
  <c r="AF59" i="3"/>
  <c r="BN59" i="3"/>
  <c r="AF58" i="3" a="1"/>
  <c r="AF58" i="3"/>
  <c r="BN58" i="3"/>
  <c r="AF57" i="3" a="1"/>
  <c r="AF57" i="3"/>
  <c r="BN57" i="3"/>
  <c r="AF56" i="3" a="1"/>
  <c r="AF56" i="3"/>
  <c r="BN56" i="3"/>
  <c r="AF53" i="3" a="1"/>
  <c r="AF53" i="3"/>
  <c r="BN53" i="3"/>
  <c r="AF52" i="3" a="1"/>
  <c r="AF52" i="3"/>
  <c r="BN52" i="3"/>
  <c r="AF51" i="3" a="1"/>
  <c r="AF51" i="3"/>
  <c r="BN51" i="3"/>
  <c r="AF50" i="3" a="1"/>
  <c r="AF50" i="3"/>
  <c r="BN50" i="3"/>
  <c r="AF49" i="3" a="1"/>
  <c r="AF49" i="3"/>
  <c r="BN49" i="3"/>
  <c r="AF47" i="3" a="1"/>
  <c r="AF47" i="3"/>
  <c r="BN47" i="3"/>
  <c r="AF46" i="3" a="1"/>
  <c r="AF46" i="3"/>
  <c r="BN46" i="3"/>
  <c r="AF45" i="3" a="1"/>
  <c r="AF45" i="3"/>
  <c r="BN45" i="3"/>
  <c r="AF44" i="3" a="1"/>
  <c r="AF44" i="3"/>
  <c r="BN44" i="3"/>
  <c r="AF43" i="3" a="1"/>
  <c r="AF43" i="3"/>
  <c r="BN43" i="3"/>
  <c r="AF42" i="3" a="1"/>
  <c r="AF42" i="3"/>
  <c r="BN42" i="3"/>
  <c r="AF41" i="3" a="1"/>
  <c r="AF41" i="3"/>
  <c r="BN41" i="3"/>
  <c r="AF40" i="3" a="1"/>
  <c r="AF40" i="3"/>
  <c r="BN40" i="3"/>
  <c r="AF37" i="3" a="1"/>
  <c r="AF37" i="3"/>
  <c r="BN37" i="3"/>
  <c r="AF36" i="3" a="1"/>
  <c r="AF36" i="3"/>
  <c r="BN36" i="3"/>
  <c r="AF35" i="3" a="1"/>
  <c r="AF35" i="3"/>
  <c r="BN35" i="3"/>
  <c r="AF34" i="3" a="1"/>
  <c r="AF34" i="3"/>
  <c r="BN34" i="3"/>
  <c r="AF33" i="3" a="1"/>
  <c r="AF33" i="3"/>
  <c r="BN33" i="3"/>
  <c r="AF31" i="3" a="1"/>
  <c r="AF31" i="3"/>
  <c r="BN31" i="3"/>
  <c r="AF30" i="3" a="1"/>
  <c r="AF30" i="3"/>
  <c r="BN30" i="3"/>
  <c r="AF28" i="3" a="1"/>
  <c r="AF28" i="3"/>
  <c r="BN28" i="3"/>
  <c r="AF26" i="3" a="1"/>
  <c r="AF26" i="3"/>
  <c r="BN26" i="3"/>
  <c r="AF25" i="3" a="1"/>
  <c r="AF25" i="3"/>
  <c r="BN25" i="3"/>
  <c r="AF24" i="3" a="1"/>
  <c r="AF24" i="3"/>
  <c r="BN24" i="3"/>
  <c r="AF23" i="3" a="1"/>
  <c r="AF23" i="3"/>
  <c r="BN23" i="3"/>
  <c r="AF22" i="3" a="1"/>
  <c r="AF22" i="3"/>
  <c r="BN22" i="3"/>
  <c r="AF21" i="3" a="1"/>
  <c r="AF21" i="3"/>
  <c r="BN21" i="3"/>
  <c r="AF19" i="3" a="1"/>
  <c r="AF19" i="3"/>
  <c r="BN19" i="3"/>
  <c r="AF18" i="3" a="1"/>
  <c r="AF18" i="3"/>
  <c r="BN18" i="3"/>
  <c r="AF17" i="3" a="1"/>
  <c r="AF17" i="3"/>
  <c r="BN17" i="3"/>
  <c r="AF16" i="3" a="1"/>
  <c r="AF16" i="3"/>
  <c r="BN16" i="3"/>
  <c r="AV69" i="3" a="1"/>
  <c r="AV69" i="3"/>
  <c r="AV68" i="3" a="1"/>
  <c r="AV68" i="3"/>
  <c r="AV67" i="3" a="1"/>
  <c r="AV67" i="3"/>
  <c r="AV66" i="3" a="1"/>
  <c r="AV66" i="3"/>
  <c r="AV65" i="3" a="1"/>
  <c r="AV65" i="3"/>
  <c r="AV64" i="3" a="1"/>
  <c r="AV64" i="3"/>
  <c r="AV63" i="3" a="1"/>
  <c r="AV63" i="3"/>
  <c r="AV62" i="3" a="1"/>
  <c r="AV62" i="3"/>
  <c r="AV61" i="3" a="1"/>
  <c r="AV61" i="3"/>
  <c r="AV59" i="3" a="1"/>
  <c r="AV59" i="3"/>
  <c r="AV58" i="3" a="1"/>
  <c r="AV58" i="3"/>
  <c r="AV57" i="3" a="1"/>
  <c r="AV57" i="3"/>
  <c r="AV56" i="3" a="1"/>
  <c r="AV56" i="3"/>
  <c r="AV53" i="3" a="1"/>
  <c r="AV53" i="3"/>
  <c r="AV52" i="3" a="1"/>
  <c r="AV52" i="3"/>
  <c r="AV51" i="3" a="1"/>
  <c r="AV51" i="3"/>
  <c r="AV50" i="3" a="1"/>
  <c r="AV50" i="3"/>
  <c r="AV49" i="3" a="1"/>
  <c r="AV49" i="3"/>
  <c r="AV47" i="3" a="1"/>
  <c r="AV47" i="3"/>
  <c r="AV46" i="3" a="1"/>
  <c r="AV46" i="3"/>
  <c r="AV45" i="3" a="1"/>
  <c r="AV45" i="3"/>
  <c r="AV44" i="3" a="1"/>
  <c r="AV44" i="3"/>
  <c r="AV43" i="3" a="1"/>
  <c r="AV43" i="3"/>
  <c r="AV42" i="3" a="1"/>
  <c r="AV42" i="3"/>
  <c r="AV41" i="3" a="1"/>
  <c r="AV41" i="3"/>
  <c r="AV40" i="3" a="1"/>
  <c r="AV40" i="3"/>
  <c r="AV37" i="3" a="1"/>
  <c r="AV37" i="3"/>
  <c r="AV36" i="3" a="1"/>
  <c r="AV36" i="3"/>
  <c r="AV35" i="3" a="1"/>
  <c r="AV35" i="3"/>
  <c r="AV34" i="3" a="1"/>
  <c r="AV34" i="3"/>
  <c r="AV33" i="3" a="1"/>
  <c r="AV33" i="3"/>
  <c r="AV31" i="3" a="1"/>
  <c r="AV31" i="3"/>
  <c r="AV30" i="3" a="1"/>
  <c r="AV30" i="3"/>
  <c r="AV28" i="3" a="1"/>
  <c r="AV28" i="3"/>
  <c r="AV26" i="3" a="1"/>
  <c r="AV26" i="3"/>
  <c r="AV25" i="3" a="1"/>
  <c r="AV25" i="3"/>
  <c r="AV24" i="3" a="1"/>
  <c r="AV24" i="3"/>
  <c r="AV23" i="3" a="1"/>
  <c r="AV23" i="3"/>
  <c r="AV22" i="3" a="1"/>
  <c r="AV22" i="3"/>
  <c r="AV21" i="3" a="1"/>
  <c r="AV21" i="3"/>
  <c r="AV19" i="3" a="1"/>
  <c r="AV19" i="3"/>
  <c r="AV18" i="3" a="1"/>
  <c r="AV18" i="3"/>
  <c r="AV17" i="3" a="1"/>
  <c r="AV17" i="3"/>
  <c r="AV16" i="3" a="1"/>
  <c r="AV16" i="3"/>
  <c r="BI69" i="3" a="1"/>
  <c r="BI69" i="3"/>
  <c r="BI68" i="3" a="1"/>
  <c r="BI68" i="3"/>
  <c r="BI67" i="3" a="1"/>
  <c r="BI67" i="3"/>
  <c r="BI66" i="3" a="1"/>
  <c r="BI66" i="3"/>
  <c r="BI65" i="3" a="1"/>
  <c r="BI65" i="3"/>
  <c r="BI64" i="3" a="1"/>
  <c r="BI64" i="3"/>
  <c r="BI63" i="3" a="1"/>
  <c r="BI63" i="3"/>
  <c r="BI62" i="3" a="1"/>
  <c r="BI62" i="3"/>
  <c r="BI61" i="3" a="1"/>
  <c r="BI61" i="3"/>
  <c r="BI59" i="3" a="1"/>
  <c r="BI59" i="3"/>
  <c r="BI58" i="3" a="1"/>
  <c r="BI58" i="3"/>
  <c r="BI57" i="3" a="1"/>
  <c r="BI57" i="3"/>
  <c r="BI56" i="3" a="1"/>
  <c r="BI56" i="3"/>
  <c r="BI53" i="3" a="1"/>
  <c r="BI53" i="3"/>
  <c r="BI52" i="3" a="1"/>
  <c r="BI52" i="3"/>
  <c r="BI51" i="3" a="1"/>
  <c r="BI51" i="3"/>
  <c r="BI50" i="3" a="1"/>
  <c r="BI50" i="3"/>
  <c r="BI49" i="3" a="1"/>
  <c r="BI49" i="3"/>
  <c r="BI47" i="3" a="1"/>
  <c r="BI47" i="3"/>
  <c r="BI46" i="3" a="1"/>
  <c r="BI46" i="3"/>
  <c r="BI45" i="3" a="1"/>
  <c r="BI45" i="3"/>
  <c r="BI44" i="3" a="1"/>
  <c r="BI44" i="3"/>
  <c r="BI43" i="3" a="1"/>
  <c r="BI43" i="3"/>
  <c r="BI42" i="3" a="1"/>
  <c r="BI42" i="3"/>
  <c r="BI41" i="3" a="1"/>
  <c r="BI41" i="3"/>
  <c r="BI40" i="3" a="1"/>
  <c r="BI40" i="3"/>
  <c r="BI37" i="3" a="1"/>
  <c r="BI37" i="3"/>
  <c r="BI36" i="3" a="1"/>
  <c r="BI36" i="3"/>
  <c r="BI35" i="3" a="1"/>
  <c r="BI35" i="3"/>
  <c r="BI34" i="3" a="1"/>
  <c r="BI34" i="3"/>
  <c r="BI33" i="3" a="1"/>
  <c r="BI33" i="3"/>
  <c r="BI31" i="3" a="1"/>
  <c r="BI31" i="3"/>
  <c r="BI30" i="3" a="1"/>
  <c r="BI30" i="3"/>
  <c r="BI28" i="3" a="1"/>
  <c r="BI28" i="3"/>
  <c r="BI26" i="3" a="1"/>
  <c r="BI26" i="3"/>
  <c r="BI25" i="3" a="1"/>
  <c r="BI25" i="3"/>
  <c r="BI24" i="3" a="1"/>
  <c r="BI24" i="3"/>
  <c r="BI23" i="3" a="1"/>
  <c r="BI23" i="3"/>
  <c r="BI22" i="3" a="1"/>
  <c r="BI22" i="3"/>
  <c r="BI21" i="3" a="1"/>
  <c r="BI21" i="3"/>
  <c r="BI19" i="3" a="1"/>
  <c r="BI19" i="3"/>
  <c r="BI18" i="3" a="1"/>
  <c r="BI18" i="3"/>
  <c r="BI17" i="3" a="1"/>
  <c r="BI17" i="3"/>
  <c r="BI16" i="3" a="1"/>
  <c r="BI16" i="3"/>
  <c r="AQ69" i="3" a="1"/>
  <c r="AQ69" i="3"/>
  <c r="AQ68" i="3" a="1"/>
  <c r="AQ68" i="3"/>
  <c r="AQ67" i="3" a="1"/>
  <c r="AQ67" i="3"/>
  <c r="AQ66" i="3" a="1"/>
  <c r="AQ66" i="3"/>
  <c r="AQ65" i="3" a="1"/>
  <c r="AQ65" i="3"/>
  <c r="AQ64" i="3" a="1"/>
  <c r="AQ64" i="3"/>
  <c r="AQ63" i="3" a="1"/>
  <c r="AQ63" i="3"/>
  <c r="AQ62" i="3" a="1"/>
  <c r="AQ62" i="3"/>
  <c r="AQ61" i="3" a="1"/>
  <c r="AQ61" i="3"/>
  <c r="AQ59" i="3" a="1"/>
  <c r="AQ59" i="3"/>
  <c r="AQ58" i="3" a="1"/>
  <c r="AQ58" i="3"/>
  <c r="AQ57" i="3" a="1"/>
  <c r="AQ57" i="3"/>
  <c r="AQ56" i="3" a="1"/>
  <c r="AQ56" i="3"/>
  <c r="AQ53" i="3" a="1"/>
  <c r="AQ53" i="3"/>
  <c r="AQ52" i="3" a="1"/>
  <c r="AQ52" i="3"/>
  <c r="AQ51" i="3" a="1"/>
  <c r="AQ51" i="3"/>
  <c r="AQ50" i="3" a="1"/>
  <c r="AQ50" i="3"/>
  <c r="AQ49" i="3" a="1"/>
  <c r="AQ49" i="3"/>
  <c r="AQ47" i="3" a="1"/>
  <c r="AQ47" i="3"/>
  <c r="AQ46" i="3" a="1"/>
  <c r="AQ46" i="3"/>
  <c r="AQ45" i="3" a="1"/>
  <c r="AQ45" i="3"/>
  <c r="AQ44" i="3" a="1"/>
  <c r="AQ44" i="3"/>
  <c r="AQ43" i="3" a="1"/>
  <c r="AQ43" i="3"/>
  <c r="AQ42" i="3" a="1"/>
  <c r="AQ42" i="3"/>
  <c r="AQ41" i="3" a="1"/>
  <c r="AQ41" i="3"/>
  <c r="AQ40" i="3" a="1"/>
  <c r="AQ40" i="3"/>
  <c r="AQ37" i="3" a="1"/>
  <c r="AQ37" i="3"/>
  <c r="AQ36" i="3" a="1"/>
  <c r="AQ36" i="3"/>
  <c r="AQ35" i="3" a="1"/>
  <c r="AQ35" i="3"/>
  <c r="AQ34" i="3" a="1"/>
  <c r="AQ34" i="3"/>
  <c r="AQ33" i="3" a="1"/>
  <c r="AQ33" i="3"/>
  <c r="AQ31" i="3" a="1"/>
  <c r="AQ31" i="3"/>
  <c r="AQ30" i="3" a="1"/>
  <c r="AQ30" i="3"/>
  <c r="AQ28" i="3" a="1"/>
  <c r="AQ28" i="3"/>
  <c r="AQ26" i="3" a="1"/>
  <c r="AQ26" i="3"/>
  <c r="AQ25" i="3" a="1"/>
  <c r="AQ25" i="3"/>
  <c r="AQ24" i="3" a="1"/>
  <c r="AQ24" i="3"/>
  <c r="AQ23" i="3" a="1"/>
  <c r="AQ23" i="3"/>
  <c r="AQ22" i="3" a="1"/>
  <c r="AQ22" i="3"/>
  <c r="AQ21" i="3" a="1"/>
  <c r="AQ21" i="3"/>
  <c r="AQ19" i="3" a="1"/>
  <c r="AQ19" i="3"/>
  <c r="AQ18" i="3" a="1"/>
  <c r="AQ18" i="3"/>
  <c r="AQ17" i="3" a="1"/>
  <c r="AQ17" i="3"/>
  <c r="AQ16" i="3" a="1"/>
  <c r="AQ16" i="3"/>
  <c r="AK69" i="3" a="1"/>
  <c r="AK69" i="3"/>
  <c r="AK68" i="3" a="1"/>
  <c r="AK68" i="3"/>
  <c r="AK67" i="3" a="1"/>
  <c r="AK67" i="3"/>
  <c r="AK66" i="3" a="1"/>
  <c r="AK66" i="3"/>
  <c r="AK65" i="3" a="1"/>
  <c r="AK65" i="3"/>
  <c r="AK64" i="3" a="1"/>
  <c r="AK64" i="3"/>
  <c r="AK63" i="3" a="1"/>
  <c r="AK63" i="3"/>
  <c r="AK62" i="3" a="1"/>
  <c r="AK62" i="3"/>
  <c r="AK61" i="3" a="1"/>
  <c r="AK61" i="3"/>
  <c r="AK59" i="3" a="1"/>
  <c r="AK59" i="3"/>
  <c r="AK58" i="3" a="1"/>
  <c r="AK58" i="3"/>
  <c r="AK57" i="3" a="1"/>
  <c r="AK57" i="3"/>
  <c r="AK56" i="3" a="1"/>
  <c r="AK56" i="3"/>
  <c r="AK53" i="3" a="1"/>
  <c r="AK53" i="3"/>
  <c r="AK52" i="3" a="1"/>
  <c r="AK52" i="3"/>
  <c r="AK51" i="3" a="1"/>
  <c r="AK51" i="3"/>
  <c r="AK50" i="3" a="1"/>
  <c r="AK50" i="3"/>
  <c r="AK49" i="3" a="1"/>
  <c r="AK49" i="3"/>
  <c r="AK47" i="3" a="1"/>
  <c r="AK47" i="3"/>
  <c r="AK46" i="3" a="1"/>
  <c r="AK46" i="3"/>
  <c r="AK45" i="3" a="1"/>
  <c r="AK45" i="3"/>
  <c r="AK44" i="3" a="1"/>
  <c r="AK44" i="3"/>
  <c r="AK43" i="3" a="1"/>
  <c r="AK43" i="3"/>
  <c r="AK42" i="3" a="1"/>
  <c r="AK42" i="3"/>
  <c r="AK41" i="3" a="1"/>
  <c r="AK41" i="3"/>
  <c r="AK40" i="3" a="1"/>
  <c r="AK40" i="3"/>
  <c r="AK37" i="3" a="1"/>
  <c r="AK37" i="3"/>
  <c r="AK36" i="3" a="1"/>
  <c r="AK36" i="3"/>
  <c r="AK35" i="3" a="1"/>
  <c r="AK35" i="3"/>
  <c r="AK34" i="3" a="1"/>
  <c r="AK34" i="3"/>
  <c r="AK33" i="3" a="1"/>
  <c r="AK33" i="3"/>
  <c r="AK31" i="3" a="1"/>
  <c r="AK31" i="3"/>
  <c r="AK30" i="3" a="1"/>
  <c r="AK30" i="3"/>
  <c r="AK28" i="3" a="1"/>
  <c r="AK28" i="3"/>
  <c r="AK26" i="3" a="1"/>
  <c r="AK26" i="3"/>
  <c r="AK25" i="3" a="1"/>
  <c r="AK25" i="3"/>
  <c r="AK24" i="3" a="1"/>
  <c r="AK24" i="3"/>
  <c r="AK23" i="3" a="1"/>
  <c r="AK23" i="3"/>
  <c r="AK22" i="3" a="1"/>
  <c r="AK22" i="3"/>
  <c r="AK21" i="3" a="1"/>
  <c r="AK21" i="3"/>
  <c r="AK19" i="3" a="1"/>
  <c r="AK19" i="3"/>
  <c r="AK18" i="3" a="1"/>
  <c r="AK18" i="3"/>
  <c r="AK17" i="3" a="1"/>
  <c r="AK17" i="3"/>
  <c r="AK16" i="3" a="1"/>
  <c r="AK16" i="3"/>
  <c r="AI69" i="3" a="1"/>
  <c r="AI69" i="3"/>
  <c r="BQ69" i="3"/>
  <c r="AI68" i="3" a="1"/>
  <c r="AI68" i="3"/>
  <c r="BQ68" i="3"/>
  <c r="AI67" i="3" a="1"/>
  <c r="AI67" i="3"/>
  <c r="BQ67" i="3"/>
  <c r="AI66" i="3" a="1"/>
  <c r="AI66" i="3"/>
  <c r="BQ66" i="3"/>
  <c r="AI65" i="3" a="1"/>
  <c r="AI65" i="3"/>
  <c r="BQ65" i="3"/>
  <c r="AI64" i="3" a="1"/>
  <c r="AI64" i="3"/>
  <c r="BQ64" i="3"/>
  <c r="AI63" i="3" a="1"/>
  <c r="AI63" i="3"/>
  <c r="BQ63" i="3"/>
  <c r="AI62" i="3" a="1"/>
  <c r="AI62" i="3"/>
  <c r="BQ62" i="3"/>
  <c r="AI61" i="3" a="1"/>
  <c r="AI61" i="3"/>
  <c r="BQ61" i="3"/>
  <c r="AI59" i="3" a="1"/>
  <c r="AI59" i="3"/>
  <c r="BQ59" i="3"/>
  <c r="AI58" i="3" a="1"/>
  <c r="AI58" i="3"/>
  <c r="BQ58" i="3"/>
  <c r="AI57" i="3" a="1"/>
  <c r="AI57" i="3"/>
  <c r="BQ57" i="3"/>
  <c r="AI56" i="3" a="1"/>
  <c r="AI56" i="3"/>
  <c r="BQ56" i="3"/>
  <c r="AI53" i="3" a="1"/>
  <c r="AI53" i="3"/>
  <c r="BQ53" i="3"/>
  <c r="AI52" i="3" a="1"/>
  <c r="AI52" i="3"/>
  <c r="BQ52" i="3"/>
  <c r="AI51" i="3" a="1"/>
  <c r="AI51" i="3"/>
  <c r="BQ51" i="3"/>
  <c r="AI50" i="3" a="1"/>
  <c r="AI50" i="3"/>
  <c r="BQ50" i="3"/>
  <c r="AI49" i="3" a="1"/>
  <c r="AI49" i="3"/>
  <c r="BQ49" i="3"/>
  <c r="AI47" i="3" a="1"/>
  <c r="AI47" i="3"/>
  <c r="BQ47" i="3"/>
  <c r="AI46" i="3" a="1"/>
  <c r="AI46" i="3"/>
  <c r="BQ46" i="3"/>
  <c r="AI45" i="3" a="1"/>
  <c r="AI45" i="3"/>
  <c r="BQ45" i="3"/>
  <c r="AI44" i="3" a="1"/>
  <c r="AI44" i="3"/>
  <c r="BQ44" i="3"/>
  <c r="AI43" i="3" a="1"/>
  <c r="AI43" i="3"/>
  <c r="BQ43" i="3"/>
  <c r="AI42" i="3" a="1"/>
  <c r="AI42" i="3"/>
  <c r="BQ42" i="3"/>
  <c r="AI41" i="3" a="1"/>
  <c r="AI41" i="3"/>
  <c r="BQ41" i="3"/>
  <c r="AI40" i="3" a="1"/>
  <c r="AI40" i="3"/>
  <c r="BQ40" i="3"/>
  <c r="AI37" i="3" a="1"/>
  <c r="AI37" i="3"/>
  <c r="BQ37" i="3"/>
  <c r="AI36" i="3" a="1"/>
  <c r="AI36" i="3"/>
  <c r="BQ36" i="3"/>
  <c r="AI35" i="3" a="1"/>
  <c r="AI35" i="3"/>
  <c r="BQ35" i="3"/>
  <c r="AI34" i="3" a="1"/>
  <c r="AI34" i="3"/>
  <c r="BQ34" i="3"/>
  <c r="AI33" i="3" a="1"/>
  <c r="AI33" i="3"/>
  <c r="BQ33" i="3"/>
  <c r="AI31" i="3" a="1"/>
  <c r="AI31" i="3"/>
  <c r="BQ31" i="3"/>
  <c r="AI30" i="3" a="1"/>
  <c r="AI30" i="3"/>
  <c r="BQ30" i="3"/>
  <c r="AI28" i="3" a="1"/>
  <c r="AI28" i="3"/>
  <c r="BQ28" i="3"/>
  <c r="AI26" i="3" a="1"/>
  <c r="AI26" i="3"/>
  <c r="BQ26" i="3"/>
  <c r="AI25" i="3" a="1"/>
  <c r="AI25" i="3"/>
  <c r="BQ25" i="3"/>
  <c r="AI24" i="3" a="1"/>
  <c r="AI24" i="3"/>
  <c r="BQ24" i="3"/>
  <c r="AI23" i="3" a="1"/>
  <c r="AI23" i="3"/>
  <c r="BQ23" i="3"/>
  <c r="AI22" i="3" a="1"/>
  <c r="AI22" i="3"/>
  <c r="BQ22" i="3"/>
  <c r="AI21" i="3" a="1"/>
  <c r="AI21" i="3"/>
  <c r="BQ21" i="3"/>
  <c r="AI19" i="3" a="1"/>
  <c r="AI19" i="3"/>
  <c r="BQ19" i="3"/>
  <c r="AI18" i="3" a="1"/>
  <c r="AI18" i="3"/>
  <c r="BQ18" i="3"/>
  <c r="AI17" i="3" a="1"/>
  <c r="AI17" i="3"/>
  <c r="BQ17" i="3"/>
  <c r="AI16" i="3" a="1"/>
  <c r="AI16" i="3"/>
  <c r="BQ16" i="3"/>
  <c r="AT69" i="3" a="1"/>
  <c r="AT69" i="3"/>
  <c r="AT68" i="3" a="1"/>
  <c r="AT68" i="3"/>
  <c r="AT67" i="3" a="1"/>
  <c r="AT67" i="3"/>
  <c r="AT66" i="3" a="1"/>
  <c r="AT66" i="3"/>
  <c r="AT65" i="3" a="1"/>
  <c r="AT65" i="3"/>
  <c r="AT64" i="3" a="1"/>
  <c r="AT64" i="3"/>
  <c r="AT63" i="3" a="1"/>
  <c r="AT63" i="3"/>
  <c r="AT62" i="3" a="1"/>
  <c r="AT62" i="3"/>
  <c r="AT61" i="3" a="1"/>
  <c r="AT61" i="3"/>
  <c r="AT59" i="3" a="1"/>
  <c r="AT59" i="3"/>
  <c r="AT58" i="3" a="1"/>
  <c r="AT58" i="3"/>
  <c r="AT57" i="3" a="1"/>
  <c r="AT57" i="3"/>
  <c r="AT56" i="3" a="1"/>
  <c r="AT56" i="3"/>
  <c r="AT53" i="3" a="1"/>
  <c r="AT53" i="3"/>
  <c r="AT52" i="3" a="1"/>
  <c r="AT52" i="3"/>
  <c r="AT51" i="3" a="1"/>
  <c r="AT51" i="3"/>
  <c r="AT50" i="3" a="1"/>
  <c r="AT50" i="3"/>
  <c r="AT49" i="3" a="1"/>
  <c r="AT49" i="3"/>
  <c r="AT47" i="3" a="1"/>
  <c r="AT47" i="3"/>
  <c r="AT46" i="3" a="1"/>
  <c r="AT46" i="3"/>
  <c r="AT45" i="3" a="1"/>
  <c r="AT45" i="3"/>
  <c r="AT44" i="3" a="1"/>
  <c r="AT44" i="3"/>
  <c r="AT43" i="3" a="1"/>
  <c r="AT43" i="3"/>
  <c r="AT42" i="3" a="1"/>
  <c r="AT42" i="3"/>
  <c r="AT41" i="3" a="1"/>
  <c r="AT41" i="3"/>
  <c r="AT40" i="3" a="1"/>
  <c r="AT40" i="3"/>
  <c r="AT37" i="3" a="1"/>
  <c r="AT37" i="3"/>
  <c r="AT36" i="3" a="1"/>
  <c r="AT36" i="3"/>
  <c r="AT35" i="3" a="1"/>
  <c r="AT35" i="3"/>
  <c r="AT34" i="3" a="1"/>
  <c r="AT34" i="3"/>
  <c r="AT33" i="3" a="1"/>
  <c r="AT33" i="3"/>
  <c r="AT31" i="3" a="1"/>
  <c r="AT31" i="3"/>
  <c r="AT30" i="3" a="1"/>
  <c r="AT30" i="3"/>
  <c r="AT28" i="3" a="1"/>
  <c r="AT28" i="3"/>
  <c r="AT26" i="3" a="1"/>
  <c r="AT26" i="3"/>
  <c r="AT25" i="3" a="1"/>
  <c r="AT25" i="3"/>
  <c r="AT24" i="3" a="1"/>
  <c r="AT24" i="3"/>
  <c r="AT23" i="3" a="1"/>
  <c r="AT23" i="3"/>
  <c r="AT22" i="3" a="1"/>
  <c r="AT22" i="3"/>
  <c r="AT21" i="3" a="1"/>
  <c r="AT21" i="3"/>
  <c r="AT19" i="3" a="1"/>
  <c r="AT19" i="3"/>
  <c r="AT18" i="3" a="1"/>
  <c r="AT18" i="3"/>
  <c r="AT17" i="3" a="1"/>
  <c r="AT17" i="3"/>
  <c r="AT16" i="3" a="1"/>
  <c r="AT16" i="3"/>
  <c r="AS69" i="3" a="1"/>
  <c r="AS69" i="3"/>
  <c r="AS68" i="3" a="1"/>
  <c r="AS68" i="3"/>
  <c r="AS67" i="3" a="1"/>
  <c r="AS67" i="3"/>
  <c r="AS66" i="3" a="1"/>
  <c r="AS66" i="3"/>
  <c r="AS65" i="3" a="1"/>
  <c r="AS65" i="3"/>
  <c r="AS64" i="3" a="1"/>
  <c r="AS64" i="3"/>
  <c r="AS63" i="3" a="1"/>
  <c r="AS63" i="3"/>
  <c r="AS62" i="3" a="1"/>
  <c r="AS62" i="3"/>
  <c r="AS61" i="3" a="1"/>
  <c r="AS61" i="3"/>
  <c r="AS59" i="3" a="1"/>
  <c r="AS59" i="3"/>
  <c r="AS58" i="3" a="1"/>
  <c r="AS58" i="3"/>
  <c r="AS57" i="3" a="1"/>
  <c r="AS57" i="3"/>
  <c r="AS56" i="3" a="1"/>
  <c r="AS56" i="3"/>
  <c r="AS53" i="3" a="1"/>
  <c r="AS53" i="3"/>
  <c r="AS52" i="3" a="1"/>
  <c r="AS52" i="3"/>
  <c r="AS51" i="3" a="1"/>
  <c r="AS51" i="3"/>
  <c r="AS50" i="3" a="1"/>
  <c r="AS50" i="3"/>
  <c r="AS49" i="3" a="1"/>
  <c r="AS49" i="3"/>
  <c r="AS47" i="3" a="1"/>
  <c r="AS47" i="3"/>
  <c r="AS46" i="3" a="1"/>
  <c r="AS46" i="3"/>
  <c r="AS45" i="3" a="1"/>
  <c r="AS45" i="3"/>
  <c r="AS44" i="3" a="1"/>
  <c r="AS44" i="3"/>
  <c r="AS43" i="3" a="1"/>
  <c r="AS43" i="3"/>
  <c r="AS42" i="3" a="1"/>
  <c r="AS42" i="3"/>
  <c r="AS41" i="3" a="1"/>
  <c r="AS41" i="3"/>
  <c r="AS40" i="3" a="1"/>
  <c r="AS40" i="3"/>
  <c r="AS37" i="3" a="1"/>
  <c r="AS37" i="3"/>
  <c r="AS36" i="3" a="1"/>
  <c r="AS36" i="3"/>
  <c r="AS35" i="3" a="1"/>
  <c r="AS35" i="3"/>
  <c r="AS34" i="3" a="1"/>
  <c r="AS34" i="3"/>
  <c r="AS33" i="3" a="1"/>
  <c r="AS33" i="3"/>
  <c r="AS31" i="3" a="1"/>
  <c r="AS31" i="3"/>
  <c r="AS30" i="3" a="1"/>
  <c r="AS30" i="3"/>
  <c r="AS28" i="3" a="1"/>
  <c r="AS28" i="3"/>
  <c r="AS26" i="3" a="1"/>
  <c r="AS26" i="3"/>
  <c r="AS25" i="3" a="1"/>
  <c r="AS25" i="3"/>
  <c r="AS24" i="3" a="1"/>
  <c r="AS24" i="3"/>
  <c r="AS23" i="3" a="1"/>
  <c r="AS23" i="3"/>
  <c r="AS22" i="3" a="1"/>
  <c r="AS22" i="3"/>
  <c r="AS21" i="3" a="1"/>
  <c r="AS21" i="3"/>
  <c r="AS19" i="3" a="1"/>
  <c r="AS19" i="3"/>
  <c r="AS18" i="3" a="1"/>
  <c r="AS18" i="3"/>
  <c r="AS17" i="3" a="1"/>
  <c r="AS17" i="3"/>
  <c r="AS16" i="3" a="1"/>
  <c r="AS16" i="3"/>
  <c r="AR69" i="3" a="1"/>
  <c r="AR69" i="3"/>
  <c r="AR68" i="3" a="1"/>
  <c r="AR68" i="3"/>
  <c r="AR67" i="3" a="1"/>
  <c r="AR67" i="3"/>
  <c r="AR66" i="3" a="1"/>
  <c r="AR66" i="3"/>
  <c r="AR65" i="3" a="1"/>
  <c r="AR65" i="3"/>
  <c r="AR64" i="3" a="1"/>
  <c r="AR64" i="3"/>
  <c r="AR63" i="3" a="1"/>
  <c r="AR63" i="3"/>
  <c r="AR62" i="3" a="1"/>
  <c r="AR62" i="3"/>
  <c r="AR61" i="3" a="1"/>
  <c r="AR61" i="3"/>
  <c r="AR59" i="3" a="1"/>
  <c r="AR59" i="3"/>
  <c r="AR58" i="3" a="1"/>
  <c r="AR58" i="3"/>
  <c r="AR57" i="3" a="1"/>
  <c r="AR57" i="3"/>
  <c r="AR56" i="3" a="1"/>
  <c r="AR56" i="3"/>
  <c r="AR53" i="3" a="1"/>
  <c r="AR53" i="3"/>
  <c r="AR52" i="3" a="1"/>
  <c r="AR52" i="3"/>
  <c r="AR51" i="3" a="1"/>
  <c r="AR51" i="3"/>
  <c r="AR50" i="3" a="1"/>
  <c r="AR50" i="3"/>
  <c r="AR49" i="3" a="1"/>
  <c r="AR49" i="3"/>
  <c r="AR47" i="3" a="1"/>
  <c r="AR47" i="3"/>
  <c r="AR46" i="3" a="1"/>
  <c r="AR46" i="3"/>
  <c r="AR45" i="3" a="1"/>
  <c r="AR45" i="3"/>
  <c r="AR44" i="3" a="1"/>
  <c r="AR44" i="3"/>
  <c r="AR43" i="3" a="1"/>
  <c r="AR43" i="3"/>
  <c r="AR42" i="3" a="1"/>
  <c r="AR42" i="3"/>
  <c r="AR41" i="3" a="1"/>
  <c r="AR41" i="3"/>
  <c r="AR40" i="3" a="1"/>
  <c r="AR40" i="3"/>
  <c r="AR37" i="3" a="1"/>
  <c r="AR37" i="3"/>
  <c r="AR36" i="3" a="1"/>
  <c r="AR36" i="3"/>
  <c r="AR35" i="3" a="1"/>
  <c r="AR35" i="3"/>
  <c r="AR34" i="3" a="1"/>
  <c r="AR34" i="3"/>
  <c r="AR33" i="3" a="1"/>
  <c r="AR33" i="3"/>
  <c r="AR31" i="3" a="1"/>
  <c r="AR31" i="3"/>
  <c r="AR30" i="3" a="1"/>
  <c r="AR30" i="3"/>
  <c r="AR28" i="3" a="1"/>
  <c r="AR28" i="3"/>
  <c r="AR26" i="3" a="1"/>
  <c r="AR26" i="3"/>
  <c r="AR25" i="3" a="1"/>
  <c r="AR25" i="3"/>
  <c r="AR24" i="3" a="1"/>
  <c r="AR24" i="3"/>
  <c r="AR23" i="3" a="1"/>
  <c r="AR23" i="3"/>
  <c r="AR22" i="3" a="1"/>
  <c r="AR22" i="3"/>
  <c r="AR21" i="3" a="1"/>
  <c r="AR21" i="3"/>
  <c r="AR19" i="3" a="1"/>
  <c r="AR19" i="3"/>
  <c r="AR18" i="3" a="1"/>
  <c r="AR18" i="3"/>
  <c r="AR17" i="3" a="1"/>
  <c r="AR17" i="3"/>
  <c r="AR16" i="3" a="1"/>
  <c r="AR16" i="3"/>
  <c r="BB69" i="3" a="1"/>
  <c r="BB69" i="3"/>
  <c r="BB68" i="3" a="1"/>
  <c r="BB68" i="3"/>
  <c r="BB67" i="3" a="1"/>
  <c r="BB67" i="3"/>
  <c r="BB66" i="3" a="1"/>
  <c r="BB66" i="3"/>
  <c r="BB65" i="3" a="1"/>
  <c r="BB65" i="3"/>
  <c r="BB64" i="3" a="1"/>
  <c r="BB64" i="3"/>
  <c r="BB63" i="3" a="1"/>
  <c r="BB63" i="3"/>
  <c r="BB62" i="3" a="1"/>
  <c r="BB62" i="3"/>
  <c r="BB61" i="3" a="1"/>
  <c r="BB61" i="3"/>
  <c r="BB59" i="3" a="1"/>
  <c r="BB59" i="3"/>
  <c r="BB58" i="3" a="1"/>
  <c r="BB58" i="3"/>
  <c r="BB57" i="3" a="1"/>
  <c r="BB57" i="3"/>
  <c r="BB56" i="3" a="1"/>
  <c r="BB56" i="3"/>
  <c r="BB53" i="3" a="1"/>
  <c r="BB53" i="3"/>
  <c r="BB52" i="3" a="1"/>
  <c r="BB52" i="3"/>
  <c r="BB51" i="3" a="1"/>
  <c r="BB51" i="3"/>
  <c r="BB50" i="3" a="1"/>
  <c r="BB50" i="3"/>
  <c r="BB49" i="3" a="1"/>
  <c r="BB49" i="3"/>
  <c r="BB47" i="3" a="1"/>
  <c r="BB47" i="3"/>
  <c r="BB46" i="3" a="1"/>
  <c r="BB46" i="3"/>
  <c r="BB45" i="3" a="1"/>
  <c r="BB45" i="3"/>
  <c r="BB44" i="3" a="1"/>
  <c r="BB44" i="3"/>
  <c r="BB43" i="3" a="1"/>
  <c r="BB43" i="3"/>
  <c r="BB42" i="3" a="1"/>
  <c r="BB42" i="3"/>
  <c r="BB41" i="3" a="1"/>
  <c r="BB41" i="3"/>
  <c r="BB40" i="3" a="1"/>
  <c r="BB40" i="3"/>
  <c r="BB37" i="3" a="1"/>
  <c r="BB37" i="3"/>
  <c r="BB36" i="3" a="1"/>
  <c r="BB36" i="3"/>
  <c r="BB35" i="3" a="1"/>
  <c r="BB35" i="3"/>
  <c r="BB34" i="3" a="1"/>
  <c r="BB34" i="3"/>
  <c r="BB33" i="3" a="1"/>
  <c r="BB33" i="3"/>
  <c r="BB31" i="3" a="1"/>
  <c r="BB31" i="3"/>
  <c r="BB30" i="3" a="1"/>
  <c r="BB30" i="3"/>
  <c r="BB28" i="3" a="1"/>
  <c r="BB28" i="3"/>
  <c r="BB26" i="3" a="1"/>
  <c r="BB26" i="3"/>
  <c r="BB25" i="3" a="1"/>
  <c r="BB25" i="3"/>
  <c r="BB24" i="3" a="1"/>
  <c r="BB24" i="3"/>
  <c r="BB23" i="3" a="1"/>
  <c r="BB23" i="3"/>
  <c r="BB22" i="3" a="1"/>
  <c r="BB22" i="3"/>
  <c r="BB21" i="3" a="1"/>
  <c r="BB21" i="3"/>
  <c r="BB19" i="3" a="1"/>
  <c r="BB19" i="3"/>
  <c r="BB18" i="3" a="1"/>
  <c r="BB18" i="3"/>
  <c r="BB17" i="3" a="1"/>
  <c r="BB17" i="3"/>
  <c r="BB16" i="3" a="1"/>
  <c r="BB16" i="3"/>
  <c r="AM69" i="3" a="1"/>
  <c r="AM69" i="3"/>
  <c r="AM68" i="3" a="1"/>
  <c r="AM68" i="3"/>
  <c r="AM67" i="3" a="1"/>
  <c r="AM67" i="3"/>
  <c r="AM66" i="3" a="1"/>
  <c r="AM66" i="3"/>
  <c r="AM65" i="3" a="1"/>
  <c r="AM65" i="3"/>
  <c r="AM64" i="3" a="1"/>
  <c r="AM64" i="3"/>
  <c r="AM63" i="3" a="1"/>
  <c r="AM63" i="3"/>
  <c r="AM62" i="3" a="1"/>
  <c r="AM62" i="3"/>
  <c r="AM61" i="3" a="1"/>
  <c r="AM61" i="3"/>
  <c r="AM59" i="3" a="1"/>
  <c r="AM59" i="3"/>
  <c r="AM58" i="3" a="1"/>
  <c r="AM58" i="3"/>
  <c r="AM57" i="3" a="1"/>
  <c r="AM57" i="3"/>
  <c r="AM56" i="3" a="1"/>
  <c r="AM56" i="3"/>
  <c r="AM53" i="3" a="1"/>
  <c r="AM53" i="3"/>
  <c r="AM52" i="3" a="1"/>
  <c r="AM52" i="3"/>
  <c r="AM51" i="3" a="1"/>
  <c r="AM51" i="3"/>
  <c r="AM50" i="3" a="1"/>
  <c r="AM50" i="3"/>
  <c r="AM49" i="3" a="1"/>
  <c r="AM49" i="3"/>
  <c r="AM47" i="3" a="1"/>
  <c r="AM47" i="3"/>
  <c r="AM46" i="3" a="1"/>
  <c r="AM46" i="3"/>
  <c r="AM45" i="3" a="1"/>
  <c r="AM45" i="3"/>
  <c r="AM44" i="3" a="1"/>
  <c r="AM44" i="3"/>
  <c r="AM43" i="3" a="1"/>
  <c r="AM43" i="3"/>
  <c r="AM42" i="3" a="1"/>
  <c r="AM42" i="3"/>
  <c r="AM41" i="3" a="1"/>
  <c r="AM41" i="3"/>
  <c r="AM40" i="3" a="1"/>
  <c r="AM40" i="3"/>
  <c r="AM37" i="3" a="1"/>
  <c r="AM37" i="3"/>
  <c r="AM36" i="3" a="1"/>
  <c r="AM36" i="3"/>
  <c r="AM35" i="3" a="1"/>
  <c r="AM35" i="3"/>
  <c r="AM34" i="3" a="1"/>
  <c r="AM34" i="3"/>
  <c r="AM33" i="3" a="1"/>
  <c r="AM33" i="3"/>
  <c r="AM31" i="3" a="1"/>
  <c r="AM31" i="3"/>
  <c r="AM30" i="3" a="1"/>
  <c r="AM30" i="3"/>
  <c r="AM28" i="3" a="1"/>
  <c r="AM28" i="3"/>
  <c r="AM26" i="3" a="1"/>
  <c r="AM26" i="3"/>
  <c r="AM25" i="3" a="1"/>
  <c r="AM25" i="3"/>
  <c r="AM24" i="3" a="1"/>
  <c r="AM24" i="3"/>
  <c r="AM23" i="3" a="1"/>
  <c r="AM23" i="3"/>
  <c r="AM22" i="3" a="1"/>
  <c r="AM22" i="3"/>
  <c r="AM21" i="3" a="1"/>
  <c r="AM21" i="3"/>
  <c r="AM19" i="3" a="1"/>
  <c r="AM19" i="3"/>
  <c r="AM18" i="3" a="1"/>
  <c r="AM18" i="3"/>
  <c r="AM17" i="3" a="1"/>
  <c r="AM17" i="3"/>
  <c r="AM16" i="3" a="1"/>
  <c r="AM16" i="3"/>
  <c r="BG69" i="3" a="1"/>
  <c r="BG69" i="3"/>
  <c r="BG68" i="3" a="1"/>
  <c r="BG68" i="3"/>
  <c r="BG67" i="3" a="1"/>
  <c r="BG67" i="3"/>
  <c r="BG66" i="3" a="1"/>
  <c r="BG66" i="3"/>
  <c r="BG65" i="3" a="1"/>
  <c r="BG65" i="3"/>
  <c r="BG64" i="3" a="1"/>
  <c r="BG64" i="3"/>
  <c r="BG63" i="3" a="1"/>
  <c r="BG63" i="3"/>
  <c r="BG62" i="3" a="1"/>
  <c r="BG62" i="3"/>
  <c r="BG61" i="3" a="1"/>
  <c r="BG61" i="3"/>
  <c r="BG59" i="3" a="1"/>
  <c r="BG59" i="3"/>
  <c r="BG58" i="3" a="1"/>
  <c r="BG58" i="3"/>
  <c r="BG57" i="3" a="1"/>
  <c r="BG57" i="3"/>
  <c r="BG56" i="3" a="1"/>
  <c r="BG56" i="3"/>
  <c r="BG53" i="3" a="1"/>
  <c r="BG53" i="3"/>
  <c r="BG52" i="3" a="1"/>
  <c r="BG52" i="3"/>
  <c r="BG51" i="3" a="1"/>
  <c r="BG51" i="3"/>
  <c r="BG50" i="3" a="1"/>
  <c r="BG50" i="3"/>
  <c r="BG49" i="3" a="1"/>
  <c r="BG49" i="3"/>
  <c r="BG47" i="3" a="1"/>
  <c r="BG47" i="3"/>
  <c r="BG46" i="3" a="1"/>
  <c r="BG46" i="3"/>
  <c r="BG45" i="3" a="1"/>
  <c r="BG45" i="3"/>
  <c r="BG44" i="3" a="1"/>
  <c r="BG44" i="3"/>
  <c r="BG43" i="3" a="1"/>
  <c r="BG43" i="3"/>
  <c r="BG42" i="3" a="1"/>
  <c r="BG42" i="3"/>
  <c r="BG41" i="3" a="1"/>
  <c r="BG41" i="3"/>
  <c r="BG40" i="3" a="1"/>
  <c r="BG40" i="3"/>
  <c r="BG37" i="3" a="1"/>
  <c r="BG37" i="3"/>
  <c r="BG36" i="3" a="1"/>
  <c r="BG36" i="3"/>
  <c r="BG35" i="3" a="1"/>
  <c r="BG35" i="3"/>
  <c r="BG34" i="3" a="1"/>
  <c r="BG34" i="3"/>
  <c r="BG33" i="3" a="1"/>
  <c r="BG33" i="3"/>
  <c r="BG31" i="3" a="1"/>
  <c r="BG31" i="3"/>
  <c r="BG30" i="3" a="1"/>
  <c r="BG30" i="3"/>
  <c r="BG28" i="3" a="1"/>
  <c r="BG28" i="3"/>
  <c r="BG26" i="3" a="1"/>
  <c r="BG26" i="3"/>
  <c r="BG25" i="3" a="1"/>
  <c r="BG25" i="3"/>
  <c r="BG24" i="3" a="1"/>
  <c r="BG24" i="3"/>
  <c r="BG23" i="3" a="1"/>
  <c r="BG23" i="3"/>
  <c r="BG22" i="3" a="1"/>
  <c r="BG22" i="3"/>
  <c r="BG21" i="3" a="1"/>
  <c r="BG21" i="3"/>
  <c r="BG19" i="3" a="1"/>
  <c r="BG19" i="3"/>
  <c r="BG18" i="3" a="1"/>
  <c r="BG18" i="3"/>
  <c r="BG17" i="3" a="1"/>
  <c r="BG17" i="3"/>
  <c r="BG16" i="3" a="1"/>
  <c r="BG16" i="3"/>
  <c r="AD69" i="3" a="1"/>
  <c r="AD69" i="3"/>
  <c r="BL69" i="3"/>
  <c r="AD68" i="3" a="1"/>
  <c r="AD68" i="3"/>
  <c r="BL68" i="3"/>
  <c r="AD67" i="3" a="1"/>
  <c r="AD67" i="3"/>
  <c r="BL67" i="3"/>
  <c r="AD66" i="3" a="1"/>
  <c r="AD66" i="3"/>
  <c r="BL66" i="3"/>
  <c r="AD65" i="3" a="1"/>
  <c r="AD65" i="3"/>
  <c r="BL65" i="3"/>
  <c r="AD64" i="3" a="1"/>
  <c r="AD64" i="3"/>
  <c r="BL64" i="3"/>
  <c r="AD63" i="3" a="1"/>
  <c r="AD63" i="3"/>
  <c r="BL63" i="3"/>
  <c r="AD62" i="3" a="1"/>
  <c r="AD62" i="3"/>
  <c r="BL62" i="3"/>
  <c r="AD61" i="3" a="1"/>
  <c r="AD61" i="3"/>
  <c r="BL61" i="3"/>
  <c r="AD59" i="3" a="1"/>
  <c r="AD59" i="3"/>
  <c r="BL59" i="3"/>
  <c r="AD58" i="3" a="1"/>
  <c r="AD58" i="3"/>
  <c r="BL58" i="3"/>
  <c r="AD57" i="3" a="1"/>
  <c r="AD57" i="3"/>
  <c r="BL57" i="3"/>
  <c r="AD56" i="3" a="1"/>
  <c r="AD56" i="3"/>
  <c r="BL56" i="3"/>
  <c r="AD53" i="3" a="1"/>
  <c r="AD53" i="3"/>
  <c r="BL53" i="3"/>
  <c r="AD52" i="3" a="1"/>
  <c r="AD52" i="3"/>
  <c r="BL52" i="3"/>
  <c r="AD51" i="3" a="1"/>
  <c r="AD51" i="3"/>
  <c r="BL51" i="3"/>
  <c r="AD50" i="3" a="1"/>
  <c r="AD50" i="3"/>
  <c r="BL50" i="3"/>
  <c r="AD49" i="3" a="1"/>
  <c r="AD49" i="3"/>
  <c r="BL49" i="3"/>
  <c r="AD47" i="3" a="1"/>
  <c r="AD47" i="3"/>
  <c r="BL47" i="3"/>
  <c r="AD46" i="3" a="1"/>
  <c r="AD46" i="3"/>
  <c r="BL46" i="3"/>
  <c r="AD45" i="3" a="1"/>
  <c r="AD45" i="3"/>
  <c r="BL45" i="3"/>
  <c r="AD44" i="3" a="1"/>
  <c r="AD44" i="3"/>
  <c r="BL44" i="3"/>
  <c r="AD43" i="3" a="1"/>
  <c r="AD43" i="3"/>
  <c r="BL43" i="3"/>
  <c r="AD42" i="3" a="1"/>
  <c r="AD42" i="3"/>
  <c r="BL42" i="3"/>
  <c r="AD41" i="3" a="1"/>
  <c r="AD41" i="3"/>
  <c r="BL41" i="3"/>
  <c r="AD40" i="3" a="1"/>
  <c r="AD40" i="3"/>
  <c r="BL40" i="3"/>
  <c r="AD37" i="3" a="1"/>
  <c r="AD37" i="3"/>
  <c r="BL37" i="3"/>
  <c r="AD36" i="3" a="1"/>
  <c r="AD36" i="3"/>
  <c r="BL36" i="3"/>
  <c r="AD35" i="3" a="1"/>
  <c r="AD35" i="3"/>
  <c r="BL35" i="3"/>
  <c r="AD34" i="3" a="1"/>
  <c r="AD34" i="3"/>
  <c r="BL34" i="3"/>
  <c r="AD33" i="3" a="1"/>
  <c r="AD33" i="3"/>
  <c r="BL33" i="3"/>
  <c r="AD31" i="3" a="1"/>
  <c r="AD31" i="3"/>
  <c r="BL31" i="3"/>
  <c r="AD30" i="3" a="1"/>
  <c r="AD30" i="3"/>
  <c r="BL30" i="3"/>
  <c r="AD28" i="3" a="1"/>
  <c r="AD28" i="3"/>
  <c r="BL28" i="3"/>
  <c r="AD26" i="3" a="1"/>
  <c r="AD26" i="3"/>
  <c r="BL26" i="3"/>
  <c r="AD25" i="3" a="1"/>
  <c r="AD25" i="3"/>
  <c r="BL25" i="3"/>
  <c r="AD24" i="3" a="1"/>
  <c r="AD24" i="3"/>
  <c r="BL24" i="3"/>
  <c r="AD23" i="3" a="1"/>
  <c r="AD23" i="3"/>
  <c r="BL23" i="3"/>
  <c r="AD22" i="3" a="1"/>
  <c r="AD22" i="3"/>
  <c r="BL22" i="3"/>
  <c r="AD21" i="3" a="1"/>
  <c r="AD21" i="3"/>
  <c r="BL21" i="3"/>
  <c r="AD19" i="3" a="1"/>
  <c r="AD19" i="3"/>
  <c r="BL19" i="3"/>
  <c r="AD18" i="3" a="1"/>
  <c r="AD18" i="3"/>
  <c r="BL18" i="3"/>
  <c r="AD17" i="3" a="1"/>
  <c r="AD17" i="3"/>
  <c r="BL17" i="3"/>
  <c r="AD16" i="3" a="1"/>
  <c r="AD16" i="3"/>
  <c r="BL16" i="3"/>
  <c r="AO69" i="3" a="1"/>
  <c r="AO69" i="3"/>
  <c r="AO68" i="3" a="1"/>
  <c r="AO68" i="3"/>
  <c r="AO67" i="3" a="1"/>
  <c r="AO67" i="3"/>
  <c r="AO66" i="3" a="1"/>
  <c r="AO66" i="3"/>
  <c r="AO65" i="3" a="1"/>
  <c r="AO65" i="3"/>
  <c r="AO64" i="3" a="1"/>
  <c r="AO64" i="3"/>
  <c r="AO63" i="3" a="1"/>
  <c r="AO63" i="3"/>
  <c r="AO62" i="3" a="1"/>
  <c r="AO62" i="3"/>
  <c r="AO61" i="3" a="1"/>
  <c r="AO61" i="3"/>
  <c r="AO59" i="3" a="1"/>
  <c r="AO59" i="3"/>
  <c r="AO58" i="3" a="1"/>
  <c r="AO58" i="3"/>
  <c r="AO57" i="3" a="1"/>
  <c r="AO57" i="3"/>
  <c r="AO56" i="3" a="1"/>
  <c r="AO56" i="3"/>
  <c r="AO53" i="3" a="1"/>
  <c r="AO53" i="3"/>
  <c r="AO52" i="3" a="1"/>
  <c r="AO52" i="3"/>
  <c r="AO51" i="3" a="1"/>
  <c r="AO51" i="3"/>
  <c r="AO50" i="3" a="1"/>
  <c r="AO50" i="3"/>
  <c r="AO49" i="3" a="1"/>
  <c r="AO49" i="3"/>
  <c r="AO47" i="3" a="1"/>
  <c r="AO47" i="3"/>
  <c r="AO46" i="3" a="1"/>
  <c r="AO46" i="3"/>
  <c r="AO45" i="3" a="1"/>
  <c r="AO45" i="3"/>
  <c r="AO44" i="3" a="1"/>
  <c r="AO44" i="3"/>
  <c r="AO43" i="3" a="1"/>
  <c r="AO43" i="3"/>
  <c r="AO42" i="3" a="1"/>
  <c r="AO42" i="3"/>
  <c r="AO41" i="3" a="1"/>
  <c r="AO41" i="3"/>
  <c r="AO40" i="3" a="1"/>
  <c r="AO40" i="3"/>
  <c r="AO37" i="3" a="1"/>
  <c r="AO37" i="3"/>
  <c r="AO36" i="3" a="1"/>
  <c r="AO36" i="3"/>
  <c r="AO35" i="3" a="1"/>
  <c r="AO35" i="3"/>
  <c r="AO34" i="3" a="1"/>
  <c r="AO34" i="3"/>
  <c r="AO33" i="3" a="1"/>
  <c r="AO33" i="3"/>
  <c r="AO31" i="3" a="1"/>
  <c r="AO31" i="3"/>
  <c r="AO30" i="3" a="1"/>
  <c r="AO30" i="3"/>
  <c r="AO28" i="3" a="1"/>
  <c r="AO28" i="3"/>
  <c r="AO26" i="3" a="1"/>
  <c r="AO26" i="3"/>
  <c r="AO25" i="3" a="1"/>
  <c r="AO25" i="3"/>
  <c r="AO24" i="3" a="1"/>
  <c r="AO24" i="3"/>
  <c r="AO23" i="3" a="1"/>
  <c r="AO23" i="3"/>
  <c r="AO22" i="3" a="1"/>
  <c r="AO22" i="3"/>
  <c r="AO21" i="3" a="1"/>
  <c r="AO21" i="3"/>
  <c r="AO19" i="3" a="1"/>
  <c r="AO19" i="3"/>
  <c r="AO18" i="3" a="1"/>
  <c r="AO18" i="3"/>
  <c r="AO17" i="3" a="1"/>
  <c r="AO17" i="3"/>
  <c r="AO16" i="3" a="1"/>
  <c r="AO16" i="3"/>
  <c r="AZ69" i="3" a="1"/>
  <c r="AZ69" i="3"/>
  <c r="AZ68" i="3" a="1"/>
  <c r="AZ68" i="3"/>
  <c r="AZ67" i="3" a="1"/>
  <c r="AZ67" i="3"/>
  <c r="AZ66" i="3" a="1"/>
  <c r="AZ66" i="3"/>
  <c r="AZ65" i="3" a="1"/>
  <c r="AZ65" i="3"/>
  <c r="AZ64" i="3" a="1"/>
  <c r="AZ64" i="3"/>
  <c r="AZ63" i="3" a="1"/>
  <c r="AZ63" i="3"/>
  <c r="AZ62" i="3" a="1"/>
  <c r="AZ62" i="3"/>
  <c r="AZ61" i="3" a="1"/>
  <c r="AZ61" i="3"/>
  <c r="AZ59" i="3" a="1"/>
  <c r="AZ59" i="3"/>
  <c r="AZ58" i="3" a="1"/>
  <c r="AZ58" i="3"/>
  <c r="AZ57" i="3" a="1"/>
  <c r="AZ57" i="3"/>
  <c r="AZ56" i="3" a="1"/>
  <c r="AZ56" i="3"/>
  <c r="AZ53" i="3" a="1"/>
  <c r="AZ53" i="3"/>
  <c r="AZ52" i="3" a="1"/>
  <c r="AZ52" i="3"/>
  <c r="AZ51" i="3" a="1"/>
  <c r="AZ51" i="3"/>
  <c r="AZ50" i="3" a="1"/>
  <c r="AZ50" i="3"/>
  <c r="AZ49" i="3" a="1"/>
  <c r="AZ49" i="3"/>
  <c r="AZ47" i="3" a="1"/>
  <c r="AZ47" i="3"/>
  <c r="AZ46" i="3" a="1"/>
  <c r="AZ46" i="3"/>
  <c r="AZ45" i="3" a="1"/>
  <c r="AZ45" i="3"/>
  <c r="AZ44" i="3" a="1"/>
  <c r="AZ44" i="3"/>
  <c r="AZ43" i="3" a="1"/>
  <c r="AZ43" i="3"/>
  <c r="AZ42" i="3" a="1"/>
  <c r="AZ42" i="3"/>
  <c r="AZ41" i="3" a="1"/>
  <c r="AZ41" i="3"/>
  <c r="AZ40" i="3" a="1"/>
  <c r="AZ40" i="3"/>
  <c r="AZ37" i="3" a="1"/>
  <c r="AZ37" i="3"/>
  <c r="AZ36" i="3" a="1"/>
  <c r="AZ36" i="3"/>
  <c r="AZ35" i="3" a="1"/>
  <c r="AZ35" i="3"/>
  <c r="AZ34" i="3" a="1"/>
  <c r="AZ34" i="3"/>
  <c r="AZ33" i="3" a="1"/>
  <c r="AZ33" i="3"/>
  <c r="AZ31" i="3" a="1"/>
  <c r="AZ31" i="3"/>
  <c r="AZ30" i="3" a="1"/>
  <c r="AZ30" i="3"/>
  <c r="AZ28" i="3" a="1"/>
  <c r="AZ28" i="3"/>
  <c r="AZ26" i="3" a="1"/>
  <c r="AZ26" i="3"/>
  <c r="AZ25" i="3" a="1"/>
  <c r="AZ25" i="3"/>
  <c r="AZ24" i="3" a="1"/>
  <c r="AZ24" i="3"/>
  <c r="AZ23" i="3" a="1"/>
  <c r="AZ23" i="3"/>
  <c r="AZ22" i="3" a="1"/>
  <c r="AZ22" i="3"/>
  <c r="AZ21" i="3" a="1"/>
  <c r="AZ21" i="3"/>
  <c r="AZ19" i="3" a="1"/>
  <c r="AZ19" i="3"/>
  <c r="AZ18" i="3" a="1"/>
  <c r="AZ18" i="3"/>
  <c r="AZ17" i="3" a="1"/>
  <c r="AZ17" i="3"/>
  <c r="AZ16" i="3" a="1"/>
  <c r="AZ16" i="3"/>
  <c r="AP69" i="3" a="1"/>
  <c r="AP69" i="3"/>
  <c r="AP68" i="3" a="1"/>
  <c r="AP68" i="3"/>
  <c r="AP67" i="3" a="1"/>
  <c r="AP67" i="3"/>
  <c r="AP66" i="3" a="1"/>
  <c r="AP66" i="3"/>
  <c r="AP65" i="3" a="1"/>
  <c r="AP65" i="3"/>
  <c r="AP64" i="3" a="1"/>
  <c r="AP64" i="3"/>
  <c r="AP63" i="3" a="1"/>
  <c r="AP63" i="3"/>
  <c r="AP62" i="3" a="1"/>
  <c r="AP62" i="3"/>
  <c r="AP61" i="3" a="1"/>
  <c r="AP61" i="3"/>
  <c r="AP59" i="3" a="1"/>
  <c r="AP59" i="3"/>
  <c r="AP58" i="3" a="1"/>
  <c r="AP58" i="3"/>
  <c r="AP57" i="3" a="1"/>
  <c r="AP57" i="3"/>
  <c r="AP56" i="3" a="1"/>
  <c r="AP56" i="3"/>
  <c r="AP53" i="3" a="1"/>
  <c r="AP53" i="3"/>
  <c r="AP52" i="3" a="1"/>
  <c r="AP52" i="3"/>
  <c r="AP51" i="3" a="1"/>
  <c r="AP51" i="3"/>
  <c r="AP50" i="3" a="1"/>
  <c r="AP50" i="3"/>
  <c r="AP49" i="3" a="1"/>
  <c r="AP49" i="3"/>
  <c r="AP47" i="3" a="1"/>
  <c r="AP47" i="3"/>
  <c r="AP46" i="3" a="1"/>
  <c r="AP46" i="3"/>
  <c r="AP45" i="3" a="1"/>
  <c r="AP45" i="3"/>
  <c r="AP44" i="3" a="1"/>
  <c r="AP44" i="3"/>
  <c r="AP43" i="3" a="1"/>
  <c r="AP43" i="3"/>
  <c r="AP42" i="3" a="1"/>
  <c r="AP42" i="3"/>
  <c r="AP41" i="3" a="1"/>
  <c r="AP41" i="3"/>
  <c r="AP40" i="3" a="1"/>
  <c r="AP40" i="3"/>
  <c r="AP37" i="3" a="1"/>
  <c r="AP37" i="3"/>
  <c r="AP36" i="3" a="1"/>
  <c r="AP36" i="3"/>
  <c r="AP35" i="3" a="1"/>
  <c r="AP35" i="3"/>
  <c r="AP34" i="3" a="1"/>
  <c r="AP34" i="3"/>
  <c r="AP33" i="3" a="1"/>
  <c r="AP33" i="3"/>
  <c r="AP31" i="3" a="1"/>
  <c r="AP31" i="3"/>
  <c r="AP30" i="3" a="1"/>
  <c r="AP30" i="3"/>
  <c r="AP28" i="3" a="1"/>
  <c r="AP28" i="3"/>
  <c r="AP26" i="3" a="1"/>
  <c r="AP26" i="3"/>
  <c r="AP25" i="3" a="1"/>
  <c r="AP25" i="3"/>
  <c r="AP24" i="3" a="1"/>
  <c r="AP24" i="3"/>
  <c r="AP23" i="3" a="1"/>
  <c r="AP23" i="3"/>
  <c r="AP22" i="3" a="1"/>
  <c r="AP22" i="3"/>
  <c r="AP21" i="3" a="1"/>
  <c r="AP21" i="3"/>
  <c r="AP19" i="3" a="1"/>
  <c r="AP19" i="3"/>
  <c r="AP18" i="3" a="1"/>
  <c r="AP18" i="3"/>
  <c r="AP17" i="3" a="1"/>
  <c r="AP17" i="3"/>
  <c r="AP16" i="3" a="1"/>
  <c r="AP16" i="3"/>
  <c r="AW69" i="3" a="1"/>
  <c r="AW69" i="3"/>
  <c r="AW68" i="3" a="1"/>
  <c r="AW68" i="3"/>
  <c r="AW67" i="3" a="1"/>
  <c r="AW67" i="3"/>
  <c r="AW66" i="3" a="1"/>
  <c r="AW66" i="3"/>
  <c r="AW65" i="3" a="1"/>
  <c r="AW65" i="3"/>
  <c r="AW64" i="3" a="1"/>
  <c r="AW64" i="3"/>
  <c r="AW63" i="3" a="1"/>
  <c r="AW63" i="3"/>
  <c r="AW62" i="3" a="1"/>
  <c r="AW62" i="3"/>
  <c r="AW61" i="3" a="1"/>
  <c r="AW61" i="3"/>
  <c r="AW59" i="3" a="1"/>
  <c r="AW59" i="3"/>
  <c r="AW58" i="3" a="1"/>
  <c r="AW58" i="3"/>
  <c r="AW57" i="3" a="1"/>
  <c r="AW57" i="3"/>
  <c r="AW56" i="3" a="1"/>
  <c r="AW56" i="3"/>
  <c r="AW53" i="3" a="1"/>
  <c r="AW53" i="3"/>
  <c r="AW52" i="3" a="1"/>
  <c r="AW52" i="3"/>
  <c r="AW51" i="3" a="1"/>
  <c r="AW51" i="3"/>
  <c r="AW50" i="3" a="1"/>
  <c r="AW50" i="3"/>
  <c r="AW49" i="3" a="1"/>
  <c r="AW49" i="3"/>
  <c r="AW47" i="3" a="1"/>
  <c r="AW47" i="3"/>
  <c r="AW46" i="3" a="1"/>
  <c r="AW46" i="3"/>
  <c r="AW45" i="3" a="1"/>
  <c r="AW45" i="3"/>
  <c r="AW44" i="3" a="1"/>
  <c r="AW44" i="3"/>
  <c r="AW43" i="3" a="1"/>
  <c r="AW43" i="3"/>
  <c r="AW42" i="3" a="1"/>
  <c r="AW42" i="3"/>
  <c r="AW41" i="3" a="1"/>
  <c r="AW41" i="3"/>
  <c r="AW40" i="3" a="1"/>
  <c r="AW40" i="3"/>
  <c r="AW37" i="3" a="1"/>
  <c r="AW37" i="3"/>
  <c r="AW36" i="3" a="1"/>
  <c r="AW36" i="3"/>
  <c r="AW35" i="3" a="1"/>
  <c r="AW35" i="3"/>
  <c r="AW34" i="3" a="1"/>
  <c r="AW34" i="3"/>
  <c r="AW33" i="3" a="1"/>
  <c r="AW33" i="3"/>
  <c r="AW31" i="3" a="1"/>
  <c r="AW31" i="3"/>
  <c r="AW30" i="3" a="1"/>
  <c r="AW30" i="3"/>
  <c r="AW28" i="3" a="1"/>
  <c r="AW28" i="3"/>
  <c r="AW26" i="3" a="1"/>
  <c r="AW26" i="3"/>
  <c r="AW25" i="3" a="1"/>
  <c r="AW25" i="3"/>
  <c r="AW24" i="3" a="1"/>
  <c r="AW24" i="3"/>
  <c r="AW23" i="3" a="1"/>
  <c r="AW23" i="3"/>
  <c r="AW22" i="3" a="1"/>
  <c r="AW22" i="3"/>
  <c r="AW21" i="3" a="1"/>
  <c r="AW21" i="3"/>
  <c r="AW19" i="3" a="1"/>
  <c r="AW19" i="3"/>
  <c r="AW18" i="3" a="1"/>
  <c r="AW18" i="3"/>
  <c r="AW17" i="3" a="1"/>
  <c r="AW17" i="3"/>
  <c r="AW16" i="3" a="1"/>
  <c r="AW16" i="3"/>
  <c r="BC69" i="3" a="1"/>
  <c r="BC69" i="3"/>
  <c r="BC68" i="3" a="1"/>
  <c r="BC68" i="3"/>
  <c r="BC67" i="3" a="1"/>
  <c r="BC67" i="3"/>
  <c r="BC66" i="3" a="1"/>
  <c r="BC66" i="3"/>
  <c r="BC65" i="3" a="1"/>
  <c r="BC65" i="3"/>
  <c r="BC64" i="3" a="1"/>
  <c r="BC64" i="3"/>
  <c r="BC63" i="3" a="1"/>
  <c r="BC63" i="3"/>
  <c r="BC62" i="3" a="1"/>
  <c r="BC62" i="3"/>
  <c r="BC61" i="3" a="1"/>
  <c r="BC61" i="3"/>
  <c r="BC59" i="3" a="1"/>
  <c r="BC59" i="3"/>
  <c r="BC58" i="3" a="1"/>
  <c r="BC58" i="3"/>
  <c r="BC57" i="3" a="1"/>
  <c r="BC57" i="3"/>
  <c r="BC56" i="3" a="1"/>
  <c r="BC56" i="3"/>
  <c r="BC53" i="3" a="1"/>
  <c r="BC53" i="3"/>
  <c r="BC52" i="3" a="1"/>
  <c r="BC52" i="3"/>
  <c r="BC51" i="3" a="1"/>
  <c r="BC51" i="3"/>
  <c r="BC50" i="3" a="1"/>
  <c r="BC50" i="3"/>
  <c r="BC49" i="3" a="1"/>
  <c r="BC49" i="3"/>
  <c r="BC47" i="3" a="1"/>
  <c r="BC47" i="3"/>
  <c r="BC46" i="3" a="1"/>
  <c r="BC46" i="3"/>
  <c r="BC45" i="3" a="1"/>
  <c r="BC45" i="3"/>
  <c r="BC44" i="3" a="1"/>
  <c r="BC44" i="3"/>
  <c r="BC43" i="3" a="1"/>
  <c r="BC43" i="3"/>
  <c r="BC42" i="3" a="1"/>
  <c r="BC42" i="3"/>
  <c r="BC41" i="3" a="1"/>
  <c r="BC41" i="3"/>
  <c r="BC40" i="3" a="1"/>
  <c r="BC40" i="3"/>
  <c r="BC37" i="3" a="1"/>
  <c r="BC37" i="3"/>
  <c r="BC36" i="3" a="1"/>
  <c r="BC36" i="3"/>
  <c r="BC35" i="3" a="1"/>
  <c r="BC35" i="3"/>
  <c r="BC34" i="3" a="1"/>
  <c r="BC34" i="3"/>
  <c r="BC33" i="3" a="1"/>
  <c r="BC33" i="3"/>
  <c r="BC31" i="3" a="1"/>
  <c r="BC31" i="3"/>
  <c r="BC30" i="3" a="1"/>
  <c r="BC30" i="3"/>
  <c r="BC28" i="3" a="1"/>
  <c r="BC28" i="3"/>
  <c r="BC26" i="3" a="1"/>
  <c r="BC26" i="3"/>
  <c r="BC25" i="3" a="1"/>
  <c r="BC25" i="3"/>
  <c r="BC24" i="3" a="1"/>
  <c r="BC24" i="3"/>
  <c r="BC23" i="3" a="1"/>
  <c r="BC23" i="3"/>
  <c r="BC22" i="3" a="1"/>
  <c r="BC22" i="3"/>
  <c r="BC21" i="3" a="1"/>
  <c r="BC21" i="3"/>
  <c r="BC19" i="3" a="1"/>
  <c r="BC19" i="3"/>
  <c r="BC18" i="3" a="1"/>
  <c r="BC18" i="3"/>
  <c r="BC17" i="3" a="1"/>
  <c r="BC17" i="3"/>
  <c r="BC16" i="3" a="1"/>
  <c r="BC16" i="3"/>
  <c r="AC69" i="3" a="1"/>
  <c r="AC69" i="3"/>
  <c r="AC68" i="3" a="1"/>
  <c r="AC68" i="3"/>
  <c r="AC67" i="3" a="1"/>
  <c r="AC67" i="3"/>
  <c r="AC66" i="3" a="1"/>
  <c r="AC66" i="3"/>
  <c r="AC65" i="3" a="1"/>
  <c r="AC65" i="3"/>
  <c r="AC64" i="3" a="1"/>
  <c r="AC64" i="3"/>
  <c r="AC63" i="3" a="1"/>
  <c r="AC63" i="3"/>
  <c r="AC62" i="3" a="1"/>
  <c r="AC62" i="3"/>
  <c r="AC61" i="3" a="1"/>
  <c r="AC61" i="3"/>
  <c r="AC59" i="3" a="1"/>
  <c r="AC59" i="3"/>
  <c r="AC58" i="3" a="1"/>
  <c r="AC58" i="3"/>
  <c r="AC57" i="3" a="1"/>
  <c r="AC57" i="3"/>
  <c r="AC56" i="3" a="1"/>
  <c r="AC56" i="3"/>
  <c r="AC53" i="3" a="1"/>
  <c r="AC53" i="3"/>
  <c r="AC52" i="3" a="1"/>
  <c r="AC52" i="3"/>
  <c r="AC51" i="3" a="1"/>
  <c r="AC51" i="3"/>
  <c r="AC50" i="3" a="1"/>
  <c r="AC50" i="3"/>
  <c r="AC49" i="3" a="1"/>
  <c r="AC49" i="3"/>
  <c r="AC47" i="3" a="1"/>
  <c r="AC47" i="3"/>
  <c r="AC46" i="3" a="1"/>
  <c r="AC46" i="3"/>
  <c r="AC45" i="3" a="1"/>
  <c r="AC45" i="3"/>
  <c r="AC44" i="3" a="1"/>
  <c r="AC44" i="3"/>
  <c r="AC43" i="3" a="1"/>
  <c r="AC43" i="3"/>
  <c r="AC42" i="3" a="1"/>
  <c r="AC42" i="3"/>
  <c r="AC41" i="3" a="1"/>
  <c r="AC41" i="3"/>
  <c r="AC40" i="3" a="1"/>
  <c r="AC40" i="3"/>
  <c r="AC37" i="3" a="1"/>
  <c r="AC37" i="3"/>
  <c r="AC36" i="3" a="1"/>
  <c r="AC36" i="3"/>
  <c r="AC35" i="3" a="1"/>
  <c r="AC35" i="3"/>
  <c r="AC34" i="3" a="1"/>
  <c r="AC34" i="3"/>
  <c r="AC33" i="3" a="1"/>
  <c r="AC33" i="3"/>
  <c r="AC31" i="3" a="1"/>
  <c r="AC31" i="3"/>
  <c r="AC30" i="3" a="1"/>
  <c r="AC30" i="3"/>
  <c r="AC28" i="3" a="1"/>
  <c r="AC28" i="3"/>
  <c r="AC26" i="3" a="1"/>
  <c r="AC26" i="3"/>
  <c r="AC25" i="3" a="1"/>
  <c r="AC25" i="3"/>
  <c r="AC24" i="3" a="1"/>
  <c r="AC24" i="3"/>
  <c r="AC23" i="3" a="1"/>
  <c r="AC23" i="3"/>
  <c r="AC22" i="3" a="1"/>
  <c r="AC22" i="3"/>
  <c r="AC21" i="3" a="1"/>
  <c r="AC21" i="3"/>
  <c r="AC19" i="3" a="1"/>
  <c r="AC19" i="3"/>
  <c r="AC18" i="3" a="1"/>
  <c r="AC18" i="3"/>
  <c r="AC17" i="3" a="1"/>
  <c r="AC17" i="3"/>
  <c r="AC16" i="3" a="1"/>
  <c r="AC16" i="3"/>
  <c r="AH69" i="3" a="1"/>
  <c r="AH69" i="3"/>
  <c r="BP69" i="3"/>
  <c r="AH68" i="3" a="1"/>
  <c r="AH68" i="3"/>
  <c r="BP68" i="3"/>
  <c r="AH67" i="3" a="1"/>
  <c r="AH67" i="3"/>
  <c r="BP67" i="3"/>
  <c r="AH66" i="3" a="1"/>
  <c r="AH66" i="3"/>
  <c r="BP66" i="3"/>
  <c r="AH65" i="3" a="1"/>
  <c r="AH65" i="3"/>
  <c r="BP65" i="3"/>
  <c r="AH64" i="3" a="1"/>
  <c r="AH64" i="3"/>
  <c r="BP64" i="3"/>
  <c r="AH63" i="3" a="1"/>
  <c r="AH63" i="3"/>
  <c r="BP63" i="3"/>
  <c r="AH62" i="3" a="1"/>
  <c r="AH62" i="3"/>
  <c r="BP62" i="3"/>
  <c r="AH61" i="3" a="1"/>
  <c r="AH61" i="3"/>
  <c r="BP61" i="3"/>
  <c r="AH59" i="3" a="1"/>
  <c r="AH59" i="3"/>
  <c r="BP59" i="3"/>
  <c r="AH58" i="3" a="1"/>
  <c r="AH58" i="3"/>
  <c r="BP58" i="3"/>
  <c r="AH57" i="3" a="1"/>
  <c r="AH57" i="3"/>
  <c r="BP57" i="3"/>
  <c r="AH56" i="3" a="1"/>
  <c r="AH56" i="3"/>
  <c r="BP56" i="3"/>
  <c r="AH53" i="3" a="1"/>
  <c r="AH53" i="3"/>
  <c r="BP53" i="3"/>
  <c r="AH52" i="3" a="1"/>
  <c r="AH52" i="3"/>
  <c r="BP52" i="3"/>
  <c r="AH51" i="3" a="1"/>
  <c r="AH51" i="3"/>
  <c r="BP51" i="3"/>
  <c r="AH50" i="3" a="1"/>
  <c r="AH50" i="3"/>
  <c r="BP50" i="3"/>
  <c r="AH49" i="3" a="1"/>
  <c r="AH49" i="3"/>
  <c r="BP49" i="3"/>
  <c r="AH47" i="3" a="1"/>
  <c r="AH47" i="3"/>
  <c r="BP47" i="3"/>
  <c r="AH46" i="3" a="1"/>
  <c r="AH46" i="3"/>
  <c r="BP46" i="3"/>
  <c r="AH45" i="3" a="1"/>
  <c r="AH45" i="3"/>
  <c r="BP45" i="3"/>
  <c r="AH44" i="3" a="1"/>
  <c r="AH44" i="3"/>
  <c r="BP44" i="3"/>
  <c r="AH43" i="3" a="1"/>
  <c r="AH43" i="3"/>
  <c r="BP43" i="3"/>
  <c r="AH42" i="3" a="1"/>
  <c r="AH42" i="3"/>
  <c r="BP42" i="3"/>
  <c r="AH41" i="3" a="1"/>
  <c r="AH41" i="3"/>
  <c r="BP41" i="3"/>
  <c r="AH40" i="3" a="1"/>
  <c r="AH40" i="3"/>
  <c r="BP40" i="3"/>
  <c r="AH37" i="3" a="1"/>
  <c r="AH37" i="3"/>
  <c r="BP37" i="3"/>
  <c r="AH36" i="3" a="1"/>
  <c r="AH36" i="3"/>
  <c r="BP36" i="3"/>
  <c r="AH35" i="3" a="1"/>
  <c r="AH35" i="3"/>
  <c r="BP35" i="3"/>
  <c r="AH34" i="3" a="1"/>
  <c r="AH34" i="3"/>
  <c r="BP34" i="3"/>
  <c r="AH33" i="3" a="1"/>
  <c r="AH33" i="3"/>
  <c r="BP33" i="3"/>
  <c r="AH31" i="3" a="1"/>
  <c r="AH31" i="3"/>
  <c r="BP31" i="3"/>
  <c r="AH30" i="3" a="1"/>
  <c r="AH30" i="3"/>
  <c r="BP30" i="3"/>
  <c r="AH28" i="3" a="1"/>
  <c r="AH28" i="3"/>
  <c r="BP28" i="3"/>
  <c r="AH26" i="3" a="1"/>
  <c r="AH26" i="3"/>
  <c r="BP26" i="3"/>
  <c r="AH25" i="3" a="1"/>
  <c r="AH25" i="3"/>
  <c r="BP25" i="3"/>
  <c r="AH24" i="3" a="1"/>
  <c r="AH24" i="3"/>
  <c r="BP24" i="3"/>
  <c r="AH23" i="3" a="1"/>
  <c r="AH23" i="3"/>
  <c r="BP23" i="3"/>
  <c r="AH22" i="3" a="1"/>
  <c r="AH22" i="3"/>
  <c r="BP22" i="3"/>
  <c r="AH21" i="3" a="1"/>
  <c r="AH21" i="3"/>
  <c r="BP21" i="3"/>
  <c r="AH19" i="3" a="1"/>
  <c r="AH19" i="3"/>
  <c r="BP19" i="3"/>
  <c r="AH18" i="3" a="1"/>
  <c r="AH18" i="3"/>
  <c r="BP18" i="3"/>
  <c r="AH17" i="3" a="1"/>
  <c r="AH17" i="3"/>
  <c r="BP17" i="3"/>
  <c r="AH16" i="3" a="1"/>
  <c r="AH16" i="3"/>
  <c r="BP16" i="3"/>
  <c r="BA69" i="3" a="1"/>
  <c r="BA69" i="3"/>
  <c r="BA68" i="3" a="1"/>
  <c r="BA68" i="3"/>
  <c r="BA67" i="3" a="1"/>
  <c r="BA67" i="3"/>
  <c r="BA66" i="3" a="1"/>
  <c r="BA66" i="3"/>
  <c r="BA65" i="3" a="1"/>
  <c r="BA65" i="3"/>
  <c r="BA64" i="3" a="1"/>
  <c r="BA64" i="3"/>
  <c r="BA63" i="3" a="1"/>
  <c r="BA63" i="3"/>
  <c r="BA62" i="3" a="1"/>
  <c r="BA62" i="3"/>
  <c r="BA61" i="3" a="1"/>
  <c r="BA61" i="3"/>
  <c r="BA59" i="3" a="1"/>
  <c r="BA59" i="3"/>
  <c r="BA58" i="3" a="1"/>
  <c r="BA58" i="3"/>
  <c r="BA57" i="3" a="1"/>
  <c r="BA57" i="3"/>
  <c r="BA56" i="3" a="1"/>
  <c r="BA56" i="3"/>
  <c r="BA53" i="3" a="1"/>
  <c r="BA53" i="3"/>
  <c r="BA52" i="3" a="1"/>
  <c r="BA52" i="3"/>
  <c r="BA51" i="3" a="1"/>
  <c r="BA51" i="3"/>
  <c r="BA50" i="3" a="1"/>
  <c r="BA50" i="3"/>
  <c r="BA49" i="3" a="1"/>
  <c r="BA49" i="3"/>
  <c r="BA47" i="3" a="1"/>
  <c r="BA47" i="3"/>
  <c r="BA46" i="3" a="1"/>
  <c r="BA46" i="3"/>
  <c r="BA45" i="3" a="1"/>
  <c r="BA45" i="3"/>
  <c r="BA44" i="3" a="1"/>
  <c r="BA44" i="3"/>
  <c r="BA43" i="3" a="1"/>
  <c r="BA43" i="3"/>
  <c r="BA42" i="3" a="1"/>
  <c r="BA42" i="3"/>
  <c r="BA41" i="3" a="1"/>
  <c r="BA41" i="3"/>
  <c r="BA40" i="3" a="1"/>
  <c r="BA40" i="3"/>
  <c r="BA37" i="3" a="1"/>
  <c r="BA37" i="3"/>
  <c r="BA36" i="3" a="1"/>
  <c r="BA36" i="3"/>
  <c r="BA35" i="3" a="1"/>
  <c r="BA35" i="3"/>
  <c r="BA34" i="3" a="1"/>
  <c r="BA34" i="3"/>
  <c r="BA33" i="3" a="1"/>
  <c r="BA33" i="3"/>
  <c r="BA31" i="3" a="1"/>
  <c r="BA31" i="3"/>
  <c r="BA30" i="3" a="1"/>
  <c r="BA30" i="3"/>
  <c r="BA28" i="3" a="1"/>
  <c r="BA28" i="3"/>
  <c r="BA26" i="3" a="1"/>
  <c r="BA26" i="3"/>
  <c r="BA25" i="3" a="1"/>
  <c r="BA25" i="3"/>
  <c r="BA24" i="3" a="1"/>
  <c r="BA24" i="3"/>
  <c r="BA23" i="3" a="1"/>
  <c r="BA23" i="3"/>
  <c r="BA22" i="3" a="1"/>
  <c r="BA22" i="3"/>
  <c r="BA21" i="3" a="1"/>
  <c r="BA21" i="3"/>
  <c r="BA19" i="3" a="1"/>
  <c r="BA19" i="3"/>
  <c r="BA18" i="3" a="1"/>
  <c r="BA18" i="3"/>
  <c r="BA17" i="3" a="1"/>
  <c r="BA17" i="3"/>
  <c r="BA16" i="3" a="1"/>
  <c r="BA16" i="3"/>
  <c r="AL69" i="3" a="1"/>
  <c r="AL69" i="3"/>
  <c r="AL68" i="3" a="1"/>
  <c r="AL68" i="3"/>
  <c r="AL67" i="3" a="1"/>
  <c r="AL67" i="3"/>
  <c r="AL66" i="3" a="1"/>
  <c r="AL66" i="3"/>
  <c r="AL65" i="3" a="1"/>
  <c r="AL65" i="3"/>
  <c r="AL64" i="3" a="1"/>
  <c r="AL64" i="3"/>
  <c r="AL63" i="3" a="1"/>
  <c r="AL63" i="3"/>
  <c r="AL62" i="3" a="1"/>
  <c r="AL62" i="3"/>
  <c r="AL61" i="3" a="1"/>
  <c r="AL61" i="3"/>
  <c r="AL59" i="3" a="1"/>
  <c r="AL59" i="3"/>
  <c r="AL58" i="3" a="1"/>
  <c r="AL58" i="3"/>
  <c r="AL57" i="3" a="1"/>
  <c r="AL57" i="3"/>
  <c r="AL56" i="3" a="1"/>
  <c r="AL56" i="3"/>
  <c r="AL53" i="3" a="1"/>
  <c r="AL53" i="3"/>
  <c r="AL52" i="3" a="1"/>
  <c r="AL52" i="3"/>
  <c r="AL51" i="3" a="1"/>
  <c r="AL51" i="3"/>
  <c r="AL50" i="3" a="1"/>
  <c r="AL50" i="3"/>
  <c r="AL49" i="3" a="1"/>
  <c r="AL49" i="3"/>
  <c r="AL47" i="3" a="1"/>
  <c r="AL47" i="3"/>
  <c r="AL46" i="3" a="1"/>
  <c r="AL46" i="3"/>
  <c r="AL45" i="3" a="1"/>
  <c r="AL45" i="3"/>
  <c r="AL44" i="3" a="1"/>
  <c r="AL44" i="3"/>
  <c r="AL43" i="3" a="1"/>
  <c r="AL43" i="3"/>
  <c r="AL42" i="3" a="1"/>
  <c r="AL42" i="3"/>
  <c r="AL41" i="3" a="1"/>
  <c r="AL41" i="3"/>
  <c r="AL40" i="3" a="1"/>
  <c r="AL40" i="3"/>
  <c r="AL37" i="3" a="1"/>
  <c r="AL37" i="3"/>
  <c r="AL36" i="3" a="1"/>
  <c r="AL36" i="3"/>
  <c r="AL35" i="3" a="1"/>
  <c r="AL35" i="3"/>
  <c r="AL34" i="3" a="1"/>
  <c r="AL34" i="3"/>
  <c r="AL33" i="3" a="1"/>
  <c r="AL33" i="3"/>
  <c r="AL31" i="3" a="1"/>
  <c r="AL31" i="3"/>
  <c r="AL30" i="3" a="1"/>
  <c r="AL30" i="3"/>
  <c r="AL28" i="3" a="1"/>
  <c r="AL28" i="3"/>
  <c r="AL26" i="3" a="1"/>
  <c r="AL26" i="3"/>
  <c r="AL25" i="3" a="1"/>
  <c r="AL25" i="3"/>
  <c r="AL24" i="3" a="1"/>
  <c r="AL24" i="3"/>
  <c r="AL23" i="3" a="1"/>
  <c r="AL23" i="3"/>
  <c r="AL22" i="3" a="1"/>
  <c r="AL22" i="3"/>
  <c r="AL21" i="3" a="1"/>
  <c r="AL21" i="3"/>
  <c r="AL19" i="3" a="1"/>
  <c r="AL19" i="3"/>
  <c r="AL18" i="3" a="1"/>
  <c r="AL18" i="3"/>
  <c r="AL17" i="3" a="1"/>
  <c r="AL17" i="3"/>
  <c r="AL16" i="3" a="1"/>
  <c r="AL16" i="3"/>
  <c r="AY69" i="3" a="1"/>
  <c r="AY69" i="3"/>
  <c r="AY68" i="3" a="1"/>
  <c r="AY68" i="3"/>
  <c r="AY67" i="3" a="1"/>
  <c r="AY67" i="3"/>
  <c r="AY66" i="3" a="1"/>
  <c r="AY66" i="3"/>
  <c r="AY65" i="3" a="1"/>
  <c r="AY65" i="3"/>
  <c r="AY64" i="3" a="1"/>
  <c r="AY64" i="3"/>
  <c r="AY63" i="3" a="1"/>
  <c r="AY63" i="3"/>
  <c r="AY62" i="3" a="1"/>
  <c r="AY62" i="3"/>
  <c r="AY61" i="3" a="1"/>
  <c r="AY61" i="3"/>
  <c r="AY59" i="3" a="1"/>
  <c r="AY59" i="3"/>
  <c r="AY58" i="3" a="1"/>
  <c r="AY58" i="3"/>
  <c r="AY57" i="3" a="1"/>
  <c r="AY57" i="3"/>
  <c r="AY56" i="3" a="1"/>
  <c r="AY56" i="3"/>
  <c r="AY53" i="3" a="1"/>
  <c r="AY53" i="3"/>
  <c r="AY52" i="3" a="1"/>
  <c r="AY52" i="3"/>
  <c r="AY51" i="3" a="1"/>
  <c r="AY51" i="3"/>
  <c r="AY50" i="3" a="1"/>
  <c r="AY50" i="3"/>
  <c r="AY49" i="3" a="1"/>
  <c r="AY49" i="3"/>
  <c r="AY47" i="3" a="1"/>
  <c r="AY47" i="3"/>
  <c r="AY46" i="3" a="1"/>
  <c r="AY46" i="3"/>
  <c r="AY45" i="3" a="1"/>
  <c r="AY45" i="3"/>
  <c r="AY44" i="3" a="1"/>
  <c r="AY44" i="3"/>
  <c r="AY43" i="3" a="1"/>
  <c r="AY43" i="3"/>
  <c r="AY42" i="3" a="1"/>
  <c r="AY42" i="3"/>
  <c r="AY41" i="3" a="1"/>
  <c r="AY41" i="3"/>
  <c r="AY40" i="3" a="1"/>
  <c r="AY40" i="3"/>
  <c r="AY37" i="3" a="1"/>
  <c r="AY37" i="3"/>
  <c r="AY36" i="3" a="1"/>
  <c r="AY36" i="3"/>
  <c r="AY35" i="3" a="1"/>
  <c r="AY35" i="3"/>
  <c r="AY34" i="3" a="1"/>
  <c r="AY34" i="3"/>
  <c r="AY33" i="3" a="1"/>
  <c r="AY33" i="3"/>
  <c r="AY31" i="3" a="1"/>
  <c r="AY31" i="3"/>
  <c r="AY30" i="3" a="1"/>
  <c r="AY30" i="3"/>
  <c r="AY28" i="3" a="1"/>
  <c r="AY28" i="3"/>
  <c r="AY26" i="3" a="1"/>
  <c r="AY26" i="3"/>
  <c r="AY25" i="3" a="1"/>
  <c r="AY25" i="3"/>
  <c r="AY24" i="3" a="1"/>
  <c r="AY24" i="3"/>
  <c r="AY23" i="3" a="1"/>
  <c r="AY23" i="3"/>
  <c r="AY22" i="3" a="1"/>
  <c r="AY22" i="3"/>
  <c r="AY21" i="3" a="1"/>
  <c r="AY21" i="3"/>
  <c r="AY19" i="3" a="1"/>
  <c r="AY19" i="3"/>
  <c r="AY18" i="3" a="1"/>
  <c r="AY18" i="3"/>
  <c r="AY17" i="3" a="1"/>
  <c r="AY17" i="3"/>
  <c r="AY16" i="3" a="1"/>
  <c r="AY16" i="3"/>
  <c r="AE69" i="3" a="1"/>
  <c r="AE69" i="3"/>
  <c r="BM69" i="3"/>
  <c r="AE68" i="3" a="1"/>
  <c r="AE68" i="3"/>
  <c r="BM68" i="3"/>
  <c r="AE67" i="3" a="1"/>
  <c r="AE67" i="3"/>
  <c r="BM67" i="3"/>
  <c r="AE66" i="3" a="1"/>
  <c r="AE66" i="3"/>
  <c r="BM66" i="3"/>
  <c r="AE65" i="3" a="1"/>
  <c r="AE65" i="3"/>
  <c r="BM65" i="3"/>
  <c r="AE64" i="3" a="1"/>
  <c r="AE64" i="3"/>
  <c r="BM64" i="3"/>
  <c r="AE63" i="3" a="1"/>
  <c r="AE63" i="3"/>
  <c r="BM63" i="3"/>
  <c r="AE62" i="3" a="1"/>
  <c r="AE62" i="3"/>
  <c r="BM62" i="3"/>
  <c r="AE61" i="3" a="1"/>
  <c r="AE61" i="3"/>
  <c r="BM61" i="3"/>
  <c r="AE59" i="3" a="1"/>
  <c r="AE59" i="3"/>
  <c r="BM59" i="3"/>
  <c r="AE58" i="3" a="1"/>
  <c r="AE58" i="3"/>
  <c r="BM58" i="3"/>
  <c r="AE57" i="3" a="1"/>
  <c r="AE57" i="3"/>
  <c r="BM57" i="3"/>
  <c r="AE56" i="3" a="1"/>
  <c r="AE56" i="3"/>
  <c r="BM56" i="3"/>
  <c r="AE53" i="3" a="1"/>
  <c r="AE53" i="3"/>
  <c r="BM53" i="3"/>
  <c r="AE52" i="3" a="1"/>
  <c r="AE52" i="3"/>
  <c r="BM52" i="3"/>
  <c r="AE51" i="3" a="1"/>
  <c r="AE51" i="3"/>
  <c r="BM51" i="3"/>
  <c r="AE50" i="3" a="1"/>
  <c r="AE50" i="3"/>
  <c r="BM50" i="3"/>
  <c r="AE49" i="3" a="1"/>
  <c r="AE49" i="3"/>
  <c r="BM49" i="3"/>
  <c r="AE47" i="3" a="1"/>
  <c r="AE47" i="3"/>
  <c r="BM47" i="3"/>
  <c r="AE46" i="3" a="1"/>
  <c r="AE46" i="3"/>
  <c r="BM46" i="3"/>
  <c r="AE45" i="3" a="1"/>
  <c r="AE45" i="3"/>
  <c r="BM45" i="3"/>
  <c r="AE44" i="3" a="1"/>
  <c r="AE44" i="3"/>
  <c r="BM44" i="3"/>
  <c r="AE43" i="3" a="1"/>
  <c r="AE43" i="3"/>
  <c r="BM43" i="3"/>
  <c r="AE42" i="3" a="1"/>
  <c r="AE42" i="3"/>
  <c r="BM42" i="3"/>
  <c r="AE41" i="3" a="1"/>
  <c r="AE41" i="3"/>
  <c r="BM41" i="3"/>
  <c r="AE40" i="3" a="1"/>
  <c r="AE40" i="3"/>
  <c r="BM40" i="3"/>
  <c r="AE37" i="3" a="1"/>
  <c r="AE37" i="3"/>
  <c r="BM37" i="3"/>
  <c r="AE36" i="3" a="1"/>
  <c r="AE36" i="3"/>
  <c r="BM36" i="3"/>
  <c r="AE35" i="3" a="1"/>
  <c r="AE35" i="3"/>
  <c r="BM35" i="3"/>
  <c r="AE34" i="3" a="1"/>
  <c r="AE34" i="3"/>
  <c r="BM34" i="3"/>
  <c r="AE33" i="3" a="1"/>
  <c r="AE33" i="3"/>
  <c r="BM33" i="3"/>
  <c r="AE31" i="3" a="1"/>
  <c r="AE31" i="3"/>
  <c r="BM31" i="3"/>
  <c r="AE30" i="3" a="1"/>
  <c r="AE30" i="3"/>
  <c r="BM30" i="3"/>
  <c r="AE28" i="3" a="1"/>
  <c r="AE28" i="3"/>
  <c r="BM28" i="3"/>
  <c r="AE26" i="3" a="1"/>
  <c r="AE26" i="3"/>
  <c r="BM26" i="3"/>
  <c r="AE25" i="3" a="1"/>
  <c r="AE25" i="3"/>
  <c r="BM25" i="3"/>
  <c r="AE24" i="3" a="1"/>
  <c r="AE24" i="3"/>
  <c r="BM24" i="3"/>
  <c r="AE23" i="3" a="1"/>
  <c r="AE23" i="3"/>
  <c r="BM23" i="3"/>
  <c r="AE22" i="3" a="1"/>
  <c r="AE22" i="3"/>
  <c r="BM22" i="3"/>
  <c r="AE21" i="3" a="1"/>
  <c r="AE21" i="3"/>
  <c r="BM21" i="3"/>
  <c r="AE19" i="3" a="1"/>
  <c r="AE19" i="3"/>
  <c r="BM19" i="3"/>
  <c r="AE18" i="3" a="1"/>
  <c r="AE18" i="3"/>
  <c r="BM18" i="3"/>
  <c r="AE17" i="3" a="1"/>
  <c r="AE17" i="3"/>
  <c r="BM17" i="3"/>
  <c r="AE16" i="3" a="1"/>
  <c r="AE16" i="3"/>
  <c r="BM16" i="3"/>
  <c r="AG69" i="3" a="1"/>
  <c r="AG69" i="3"/>
  <c r="BO69" i="3"/>
  <c r="AG68" i="3" a="1"/>
  <c r="AG68" i="3"/>
  <c r="BO68" i="3"/>
  <c r="AG67" i="3" a="1"/>
  <c r="AG67" i="3"/>
  <c r="BO67" i="3"/>
  <c r="AG66" i="3" a="1"/>
  <c r="AG66" i="3"/>
  <c r="BO66" i="3"/>
  <c r="AG65" i="3" a="1"/>
  <c r="AG65" i="3"/>
  <c r="BO65" i="3"/>
  <c r="AG64" i="3" a="1"/>
  <c r="AG64" i="3"/>
  <c r="BO64" i="3"/>
  <c r="AG63" i="3" a="1"/>
  <c r="AG63" i="3"/>
  <c r="BO63" i="3"/>
  <c r="AG62" i="3" a="1"/>
  <c r="AG62" i="3"/>
  <c r="BO62" i="3"/>
  <c r="AG61" i="3" a="1"/>
  <c r="AG61" i="3"/>
  <c r="BO61" i="3"/>
  <c r="AG59" i="3" a="1"/>
  <c r="AG59" i="3"/>
  <c r="BO59" i="3"/>
  <c r="AG58" i="3" a="1"/>
  <c r="AG58" i="3"/>
  <c r="BO58" i="3"/>
  <c r="AG57" i="3" a="1"/>
  <c r="AG57" i="3"/>
  <c r="BO57" i="3"/>
  <c r="AG56" i="3" a="1"/>
  <c r="AG56" i="3"/>
  <c r="BO56" i="3"/>
  <c r="AG53" i="3" a="1"/>
  <c r="AG53" i="3"/>
  <c r="BO53" i="3"/>
  <c r="AG52" i="3" a="1"/>
  <c r="AG52" i="3"/>
  <c r="BO52" i="3"/>
  <c r="AG51" i="3" a="1"/>
  <c r="AG51" i="3"/>
  <c r="BO51" i="3"/>
  <c r="AG50" i="3" a="1"/>
  <c r="AG50" i="3"/>
  <c r="BO50" i="3"/>
  <c r="AG49" i="3" a="1"/>
  <c r="AG49" i="3"/>
  <c r="BO49" i="3"/>
  <c r="AG47" i="3" a="1"/>
  <c r="AG47" i="3"/>
  <c r="BO47" i="3"/>
  <c r="AG46" i="3" a="1"/>
  <c r="AG46" i="3"/>
  <c r="BO46" i="3"/>
  <c r="AG45" i="3" a="1"/>
  <c r="AG45" i="3"/>
  <c r="BO45" i="3"/>
  <c r="AG44" i="3" a="1"/>
  <c r="AG44" i="3"/>
  <c r="BO44" i="3"/>
  <c r="AG43" i="3" a="1"/>
  <c r="AG43" i="3"/>
  <c r="BO43" i="3"/>
  <c r="AG42" i="3" a="1"/>
  <c r="AG42" i="3"/>
  <c r="BO42" i="3"/>
  <c r="AG41" i="3" a="1"/>
  <c r="AG41" i="3"/>
  <c r="BO41" i="3"/>
  <c r="AG40" i="3" a="1"/>
  <c r="AG40" i="3"/>
  <c r="BO40" i="3"/>
  <c r="AG37" i="3" a="1"/>
  <c r="AG37" i="3"/>
  <c r="BO37" i="3"/>
  <c r="AG36" i="3" a="1"/>
  <c r="AG36" i="3"/>
  <c r="BO36" i="3"/>
  <c r="AG35" i="3" a="1"/>
  <c r="AG35" i="3"/>
  <c r="BO35" i="3"/>
  <c r="AG34" i="3" a="1"/>
  <c r="AG34" i="3"/>
  <c r="BO34" i="3"/>
  <c r="AG33" i="3" a="1"/>
  <c r="AG33" i="3"/>
  <c r="BO33" i="3"/>
  <c r="AG31" i="3" a="1"/>
  <c r="AG31" i="3"/>
  <c r="BO31" i="3"/>
  <c r="AG30" i="3" a="1"/>
  <c r="AG30" i="3"/>
  <c r="BO30" i="3"/>
  <c r="AG28" i="3" a="1"/>
  <c r="AG28" i="3"/>
  <c r="BO28" i="3"/>
  <c r="AG26" i="3" a="1"/>
  <c r="AG26" i="3"/>
  <c r="BO26" i="3"/>
  <c r="AG25" i="3" a="1"/>
  <c r="AG25" i="3"/>
  <c r="BO25" i="3"/>
  <c r="AG24" i="3" a="1"/>
  <c r="AG24" i="3"/>
  <c r="BO24" i="3"/>
  <c r="AG23" i="3" a="1"/>
  <c r="AG23" i="3"/>
  <c r="BO23" i="3"/>
  <c r="AG22" i="3" a="1"/>
  <c r="AG22" i="3"/>
  <c r="BO22" i="3"/>
  <c r="AG21" i="3" a="1"/>
  <c r="AG21" i="3"/>
  <c r="BO21" i="3"/>
  <c r="AG19" i="3" a="1"/>
  <c r="AG19" i="3"/>
  <c r="BO19" i="3"/>
  <c r="AG18" i="3" a="1"/>
  <c r="AG18" i="3"/>
  <c r="BO18" i="3"/>
  <c r="AG17" i="3" a="1"/>
  <c r="AG17" i="3"/>
  <c r="BO17" i="3"/>
  <c r="AG16" i="3" a="1"/>
  <c r="AG16" i="3"/>
  <c r="BO16" i="3"/>
  <c r="AN69" i="3" a="1"/>
  <c r="AN69" i="3"/>
  <c r="AN68" i="3" a="1"/>
  <c r="AN68" i="3"/>
  <c r="AN67" i="3" a="1"/>
  <c r="AN67" i="3"/>
  <c r="AN66" i="3" a="1"/>
  <c r="AN66" i="3"/>
  <c r="AN65" i="3" a="1"/>
  <c r="AN65" i="3"/>
  <c r="AN64" i="3" a="1"/>
  <c r="AN64" i="3"/>
  <c r="AN63" i="3" a="1"/>
  <c r="AN63" i="3"/>
  <c r="AN62" i="3" a="1"/>
  <c r="AN62" i="3"/>
  <c r="AN61" i="3" a="1"/>
  <c r="AN61" i="3"/>
  <c r="AN59" i="3" a="1"/>
  <c r="AN59" i="3"/>
  <c r="AN58" i="3" a="1"/>
  <c r="AN58" i="3"/>
  <c r="AN57" i="3" a="1"/>
  <c r="AN57" i="3"/>
  <c r="AN56" i="3" a="1"/>
  <c r="AN56" i="3"/>
  <c r="AN53" i="3" a="1"/>
  <c r="AN53" i="3"/>
  <c r="AN52" i="3" a="1"/>
  <c r="AN52" i="3"/>
  <c r="AN51" i="3" a="1"/>
  <c r="AN51" i="3"/>
  <c r="AN50" i="3" a="1"/>
  <c r="AN50" i="3"/>
  <c r="AN49" i="3" a="1"/>
  <c r="AN49" i="3"/>
  <c r="AN47" i="3" a="1"/>
  <c r="AN47" i="3"/>
  <c r="AN46" i="3" a="1"/>
  <c r="AN46" i="3"/>
  <c r="AN45" i="3" a="1"/>
  <c r="AN45" i="3"/>
  <c r="AN44" i="3" a="1"/>
  <c r="AN44" i="3"/>
  <c r="AN43" i="3" a="1"/>
  <c r="AN43" i="3"/>
  <c r="AN42" i="3" a="1"/>
  <c r="AN42" i="3"/>
  <c r="AN41" i="3" a="1"/>
  <c r="AN41" i="3"/>
  <c r="AN40" i="3" a="1"/>
  <c r="AN40" i="3"/>
  <c r="AN37" i="3" a="1"/>
  <c r="AN37" i="3"/>
  <c r="AN36" i="3" a="1"/>
  <c r="AN36" i="3"/>
  <c r="AN35" i="3" a="1"/>
  <c r="AN35" i="3"/>
  <c r="AN34" i="3" a="1"/>
  <c r="AN34" i="3"/>
  <c r="AN33" i="3" a="1"/>
  <c r="AN33" i="3"/>
  <c r="AN31" i="3" a="1"/>
  <c r="AN31" i="3"/>
  <c r="AN30" i="3" a="1"/>
  <c r="AN30" i="3"/>
  <c r="AN28" i="3" a="1"/>
  <c r="AN28" i="3"/>
  <c r="AN26" i="3" a="1"/>
  <c r="AN26" i="3"/>
  <c r="AN25" i="3" a="1"/>
  <c r="AN25" i="3"/>
  <c r="AN24" i="3" a="1"/>
  <c r="AN24" i="3"/>
  <c r="AN23" i="3" a="1"/>
  <c r="AN23" i="3"/>
  <c r="AN22" i="3" a="1"/>
  <c r="AN22" i="3"/>
  <c r="AN21" i="3" a="1"/>
  <c r="AN21" i="3"/>
  <c r="AN19" i="3" a="1"/>
  <c r="AN19" i="3"/>
  <c r="AN18" i="3" a="1"/>
  <c r="AN18" i="3"/>
  <c r="AN17" i="3" a="1"/>
  <c r="AN17" i="3"/>
  <c r="AN16" i="3" a="1"/>
  <c r="AN16" i="3"/>
  <c r="AX69" i="3" a="1"/>
  <c r="AX69" i="3"/>
  <c r="AX68" i="3" a="1"/>
  <c r="AX68" i="3"/>
  <c r="AX67" i="3" a="1"/>
  <c r="AX67" i="3"/>
  <c r="AX66" i="3" a="1"/>
  <c r="AX66" i="3"/>
  <c r="AX65" i="3" a="1"/>
  <c r="AX65" i="3"/>
  <c r="AX64" i="3" a="1"/>
  <c r="AX64" i="3"/>
  <c r="AX63" i="3" a="1"/>
  <c r="AX63" i="3"/>
  <c r="AX62" i="3" a="1"/>
  <c r="AX62" i="3"/>
  <c r="AX61" i="3" a="1"/>
  <c r="AX61" i="3"/>
  <c r="AX59" i="3" a="1"/>
  <c r="AX59" i="3"/>
  <c r="AX58" i="3" a="1"/>
  <c r="AX58" i="3"/>
  <c r="AX57" i="3" a="1"/>
  <c r="AX57" i="3"/>
  <c r="AX56" i="3" a="1"/>
  <c r="AX56" i="3"/>
  <c r="AX53" i="3" a="1"/>
  <c r="AX53" i="3"/>
  <c r="AX52" i="3" a="1"/>
  <c r="AX52" i="3"/>
  <c r="AX51" i="3" a="1"/>
  <c r="AX51" i="3"/>
  <c r="AX50" i="3" a="1"/>
  <c r="AX50" i="3"/>
  <c r="AX49" i="3" a="1"/>
  <c r="AX49" i="3"/>
  <c r="AX47" i="3" a="1"/>
  <c r="AX47" i="3"/>
  <c r="AX46" i="3" a="1"/>
  <c r="AX46" i="3"/>
  <c r="AX45" i="3" a="1"/>
  <c r="AX45" i="3"/>
  <c r="AX44" i="3" a="1"/>
  <c r="AX44" i="3"/>
  <c r="AX43" i="3" a="1"/>
  <c r="AX43" i="3"/>
  <c r="AX42" i="3" a="1"/>
  <c r="AX42" i="3"/>
  <c r="AX41" i="3" a="1"/>
  <c r="AX41" i="3"/>
  <c r="AX40" i="3" a="1"/>
  <c r="AX40" i="3"/>
  <c r="AX37" i="3" a="1"/>
  <c r="AX37" i="3"/>
  <c r="AX36" i="3" a="1"/>
  <c r="AX36" i="3"/>
  <c r="AX35" i="3" a="1"/>
  <c r="AX35" i="3"/>
  <c r="AX34" i="3" a="1"/>
  <c r="AX34" i="3"/>
  <c r="AX33" i="3" a="1"/>
  <c r="AX33" i="3"/>
  <c r="AX31" i="3" a="1"/>
  <c r="AX31" i="3"/>
  <c r="AX30" i="3" a="1"/>
  <c r="AX30" i="3"/>
  <c r="AX28" i="3" a="1"/>
  <c r="AX28" i="3"/>
  <c r="AX26" i="3" a="1"/>
  <c r="AX26" i="3"/>
  <c r="AX25" i="3" a="1"/>
  <c r="AX25" i="3"/>
  <c r="AX24" i="3" a="1"/>
  <c r="AX24" i="3"/>
  <c r="AX23" i="3" a="1"/>
  <c r="AX23" i="3"/>
  <c r="AX22" i="3" a="1"/>
  <c r="AX22" i="3"/>
  <c r="AX21" i="3" a="1"/>
  <c r="AX21" i="3"/>
  <c r="AX19" i="3" a="1"/>
  <c r="AX19" i="3"/>
  <c r="AX18" i="3" a="1"/>
  <c r="AX18" i="3"/>
  <c r="AX17" i="3" a="1"/>
  <c r="AX17" i="3"/>
  <c r="AX16" i="3" a="1"/>
  <c r="AX16" i="3"/>
  <c r="BJ69" i="3" a="1"/>
  <c r="BJ69" i="3"/>
  <c r="BJ68" i="3" a="1"/>
  <c r="BJ68" i="3"/>
  <c r="BJ67" i="3" a="1"/>
  <c r="BJ67" i="3"/>
  <c r="BJ66" i="3" a="1"/>
  <c r="BJ66" i="3"/>
  <c r="BJ65" i="3" a="1"/>
  <c r="BJ65" i="3"/>
  <c r="BJ64" i="3" a="1"/>
  <c r="BJ64" i="3"/>
  <c r="BJ63" i="3" a="1"/>
  <c r="BJ63" i="3"/>
  <c r="BJ62" i="3" a="1"/>
  <c r="BJ62" i="3"/>
  <c r="BJ61" i="3" a="1"/>
  <c r="BJ61" i="3"/>
  <c r="BJ59" i="3" a="1"/>
  <c r="BJ59" i="3"/>
  <c r="BJ58" i="3" a="1"/>
  <c r="BJ58" i="3"/>
  <c r="BJ57" i="3" a="1"/>
  <c r="BJ57" i="3"/>
  <c r="BJ56" i="3" a="1"/>
  <c r="BJ56" i="3"/>
  <c r="BJ53" i="3" a="1"/>
  <c r="BJ53" i="3"/>
  <c r="BJ52" i="3" a="1"/>
  <c r="BJ52" i="3"/>
  <c r="BJ51" i="3" a="1"/>
  <c r="BJ51" i="3"/>
  <c r="BJ50" i="3" a="1"/>
  <c r="BJ50" i="3"/>
  <c r="BJ49" i="3" a="1"/>
  <c r="BJ49" i="3"/>
  <c r="BJ47" i="3" a="1"/>
  <c r="BJ47" i="3"/>
  <c r="BJ46" i="3" a="1"/>
  <c r="BJ46" i="3"/>
  <c r="BJ45" i="3" a="1"/>
  <c r="BJ45" i="3"/>
  <c r="BJ44" i="3" a="1"/>
  <c r="BJ44" i="3"/>
  <c r="BJ43" i="3" a="1"/>
  <c r="BJ43" i="3"/>
  <c r="BJ42" i="3" a="1"/>
  <c r="BJ42" i="3"/>
  <c r="BJ41" i="3" a="1"/>
  <c r="BJ41" i="3"/>
  <c r="BJ40" i="3" a="1"/>
  <c r="BJ40" i="3"/>
  <c r="BJ37" i="3" a="1"/>
  <c r="BJ37" i="3"/>
  <c r="BJ36" i="3" a="1"/>
  <c r="BJ36" i="3"/>
  <c r="BJ35" i="3" a="1"/>
  <c r="BJ35" i="3"/>
  <c r="BJ34" i="3" a="1"/>
  <c r="BJ34" i="3"/>
  <c r="BJ33" i="3" a="1"/>
  <c r="BJ33" i="3"/>
  <c r="BJ31" i="3" a="1"/>
  <c r="BJ31" i="3"/>
  <c r="BJ30" i="3" a="1"/>
  <c r="BJ30" i="3"/>
  <c r="BJ28" i="3" a="1"/>
  <c r="BJ28" i="3"/>
  <c r="BJ26" i="3" a="1"/>
  <c r="BJ26" i="3"/>
  <c r="BJ25" i="3" a="1"/>
  <c r="BJ25" i="3"/>
  <c r="BJ24" i="3" a="1"/>
  <c r="BJ24" i="3"/>
  <c r="BJ23" i="3" a="1"/>
  <c r="BJ23" i="3"/>
  <c r="BJ22" i="3" a="1"/>
  <c r="BJ22" i="3"/>
  <c r="BJ21" i="3" a="1"/>
  <c r="BJ21" i="3"/>
  <c r="BJ19" i="3" a="1"/>
  <c r="BJ19" i="3"/>
  <c r="BJ18" i="3" a="1"/>
  <c r="BJ18" i="3"/>
  <c r="BJ17" i="3" a="1"/>
  <c r="BJ17" i="3"/>
  <c r="BJ16" i="3" a="1"/>
  <c r="BJ16" i="3"/>
  <c r="AB69" i="3" a="1"/>
  <c r="AB69" i="3"/>
  <c r="AB68" i="3" a="1"/>
  <c r="AB68" i="3"/>
  <c r="AB67" i="3" a="1"/>
  <c r="AB67" i="3"/>
  <c r="AB66" i="3" a="1"/>
  <c r="AB66" i="3"/>
  <c r="AB65" i="3" a="1"/>
  <c r="AB65" i="3"/>
  <c r="AB64" i="3" a="1"/>
  <c r="AB64" i="3"/>
  <c r="AB63" i="3" a="1"/>
  <c r="AB63" i="3"/>
  <c r="AB62" i="3" a="1"/>
  <c r="AB62" i="3"/>
  <c r="AB61" i="3" a="1"/>
  <c r="AB61" i="3"/>
  <c r="AB60" i="3" a="1"/>
  <c r="AB60" i="3"/>
  <c r="AB59" i="3" a="1"/>
  <c r="AB59" i="3"/>
  <c r="AB58" i="3" a="1"/>
  <c r="AB58" i="3"/>
  <c r="AB57" i="3" a="1"/>
  <c r="AB57" i="3"/>
  <c r="AB56" i="3" a="1"/>
  <c r="AB56" i="3"/>
  <c r="AB55" i="3" a="1"/>
  <c r="AB55" i="3"/>
  <c r="AB54" i="3" a="1"/>
  <c r="AB54" i="3"/>
  <c r="AB53" i="3" a="1"/>
  <c r="AB53" i="3"/>
  <c r="AB52" i="3" a="1"/>
  <c r="AB52" i="3"/>
  <c r="AB51" i="3" a="1"/>
  <c r="AB51" i="3"/>
  <c r="AB50" i="3" a="1"/>
  <c r="AB50" i="3"/>
  <c r="AB49" i="3" a="1"/>
  <c r="AB49" i="3"/>
  <c r="AB48" i="3" a="1"/>
  <c r="AB48" i="3"/>
  <c r="AB47" i="3" a="1"/>
  <c r="AB47" i="3"/>
  <c r="AB46" i="3" a="1"/>
  <c r="AB46" i="3"/>
  <c r="AB45" i="3" a="1"/>
  <c r="AB45" i="3"/>
  <c r="AB44" i="3" a="1"/>
  <c r="AB44" i="3"/>
  <c r="AB43" i="3" a="1"/>
  <c r="AB43" i="3"/>
  <c r="AB42" i="3" a="1"/>
  <c r="AB42" i="3"/>
  <c r="AB41" i="3" a="1"/>
  <c r="AB41" i="3"/>
  <c r="AB40" i="3" a="1"/>
  <c r="AB40" i="3"/>
  <c r="AB39" i="3" a="1"/>
  <c r="AB39" i="3"/>
  <c r="AB38" i="3" a="1"/>
  <c r="AB38" i="3"/>
  <c r="AB37" i="3" a="1"/>
  <c r="AB37" i="3"/>
  <c r="AB36" i="3" a="1"/>
  <c r="AB36" i="3"/>
  <c r="AB35" i="3" a="1"/>
  <c r="AB35" i="3"/>
  <c r="AB34" i="3" a="1"/>
  <c r="AB34" i="3"/>
  <c r="AB33" i="3" a="1"/>
  <c r="AB33" i="3"/>
  <c r="AB32" i="3" a="1"/>
  <c r="AB32" i="3"/>
  <c r="AB31" i="3" a="1"/>
  <c r="AB31" i="3"/>
  <c r="AB30" i="3" a="1"/>
  <c r="AB30" i="3"/>
  <c r="AB29" i="3" a="1"/>
  <c r="AB29" i="3"/>
  <c r="AB28" i="3" a="1"/>
  <c r="AB28" i="3"/>
  <c r="AB27" i="3" a="1"/>
  <c r="AB27" i="3"/>
  <c r="AB26" i="3" a="1"/>
  <c r="AB26" i="3"/>
  <c r="AB25" i="3" a="1"/>
  <c r="AB25" i="3"/>
  <c r="AB24" i="3" a="1"/>
  <c r="AB24" i="3"/>
  <c r="AB23" i="3" a="1"/>
  <c r="AB23" i="3"/>
  <c r="AB22" i="3" a="1"/>
  <c r="AB22" i="3"/>
  <c r="AB21" i="3" a="1"/>
  <c r="AB21" i="3"/>
  <c r="AB20" i="3" a="1"/>
  <c r="AB20" i="3"/>
  <c r="AB19" i="3" a="1"/>
  <c r="AB19" i="3"/>
  <c r="AB18" i="3" a="1"/>
  <c r="AB18" i="3"/>
  <c r="AB17" i="3" a="1"/>
  <c r="AB17" i="3"/>
  <c r="AB16" i="3" a="1"/>
  <c r="AB16" i="3"/>
  <c r="AA69" i="3" a="1"/>
  <c r="AA69" i="3"/>
  <c r="AA68" i="3" a="1"/>
  <c r="AA68" i="3"/>
  <c r="AA67" i="3" a="1"/>
  <c r="AA67" i="3"/>
  <c r="AA66" i="3" a="1"/>
  <c r="AA66" i="3"/>
  <c r="AA65" i="3" a="1"/>
  <c r="AA65" i="3"/>
  <c r="AA64" i="3" a="1"/>
  <c r="AA64" i="3"/>
  <c r="AA63" i="3" a="1"/>
  <c r="AA63" i="3"/>
  <c r="AA62" i="3" a="1"/>
  <c r="AA62" i="3"/>
  <c r="AA61" i="3" a="1"/>
  <c r="AA61" i="3"/>
  <c r="AA60" i="3" a="1"/>
  <c r="AA60" i="3"/>
  <c r="AA59" i="3" a="1"/>
  <c r="AA59" i="3"/>
  <c r="AA58" i="3" a="1"/>
  <c r="AA58" i="3"/>
  <c r="AA57" i="3" a="1"/>
  <c r="AA57" i="3"/>
  <c r="AA56" i="3" a="1"/>
  <c r="AA56" i="3"/>
  <c r="AA55" i="3" a="1"/>
  <c r="AA55" i="3"/>
  <c r="AA54" i="3" a="1"/>
  <c r="AA54" i="3"/>
  <c r="AA53" i="3" a="1"/>
  <c r="AA53" i="3"/>
  <c r="AA52" i="3" a="1"/>
  <c r="AA52" i="3"/>
  <c r="AA51" i="3" a="1"/>
  <c r="AA51" i="3"/>
  <c r="AA50" i="3" a="1"/>
  <c r="AA50" i="3"/>
  <c r="AA49" i="3" a="1"/>
  <c r="AA49" i="3"/>
  <c r="AA48" i="3" a="1"/>
  <c r="AA48" i="3"/>
  <c r="AA47" i="3" a="1"/>
  <c r="AA47" i="3"/>
  <c r="AA46" i="3" a="1"/>
  <c r="AA46" i="3"/>
  <c r="AA45" i="3" a="1"/>
  <c r="AA45" i="3"/>
  <c r="AA44" i="3" a="1"/>
  <c r="AA44" i="3"/>
  <c r="AA43" i="3" a="1"/>
  <c r="AA43" i="3"/>
  <c r="AA42" i="3" a="1"/>
  <c r="AA42" i="3"/>
  <c r="AA41" i="3" a="1"/>
  <c r="AA41" i="3"/>
  <c r="AA40" i="3" a="1"/>
  <c r="AA40" i="3"/>
  <c r="AA39" i="3" a="1"/>
  <c r="AA39" i="3"/>
  <c r="AA38" i="3" a="1"/>
  <c r="AA38" i="3"/>
  <c r="AA37" i="3" a="1"/>
  <c r="AA37" i="3"/>
  <c r="AA36" i="3" a="1"/>
  <c r="AA36" i="3"/>
  <c r="AA35" i="3" a="1"/>
  <c r="AA35" i="3"/>
  <c r="AA34" i="3" a="1"/>
  <c r="AA34" i="3"/>
  <c r="AA33" i="3" a="1"/>
  <c r="AA33" i="3"/>
  <c r="AA32" i="3" a="1"/>
  <c r="AA32" i="3"/>
  <c r="AA31" i="3" a="1"/>
  <c r="AA31" i="3"/>
  <c r="AA30" i="3" a="1"/>
  <c r="AA30" i="3"/>
  <c r="AA29" i="3" a="1"/>
  <c r="AA29" i="3"/>
  <c r="AA28" i="3" a="1"/>
  <c r="AA28" i="3"/>
  <c r="AA27" i="3" a="1"/>
  <c r="AA27" i="3"/>
  <c r="AA26" i="3" a="1"/>
  <c r="AA26" i="3"/>
  <c r="AA25" i="3" a="1"/>
  <c r="AA25" i="3"/>
  <c r="AA24" i="3" a="1"/>
  <c r="AA24" i="3"/>
  <c r="AA23" i="3" a="1"/>
  <c r="AA23" i="3"/>
  <c r="AA22" i="3" a="1"/>
  <c r="AA22" i="3"/>
  <c r="AA21" i="3" a="1"/>
  <c r="AA21" i="3"/>
  <c r="AA20" i="3" a="1"/>
  <c r="AA20" i="3"/>
  <c r="AA19" i="3" a="1"/>
  <c r="AA19" i="3"/>
  <c r="AA18" i="3" a="1"/>
  <c r="AA18" i="3"/>
  <c r="AA17" i="3" a="1"/>
  <c r="AA17" i="3"/>
  <c r="AA16" i="3" a="1"/>
  <c r="AA16" i="3"/>
  <c r="X69" i="3" a="1"/>
  <c r="X69" i="3"/>
  <c r="X68" i="3" a="1"/>
  <c r="X68" i="3"/>
  <c r="X67" i="3" a="1"/>
  <c r="X67" i="3"/>
  <c r="X66" i="3" a="1"/>
  <c r="X66" i="3"/>
  <c r="X65" i="3" a="1"/>
  <c r="X65" i="3"/>
  <c r="X64" i="3" a="1"/>
  <c r="X64" i="3"/>
  <c r="X63" i="3" a="1"/>
  <c r="X63" i="3"/>
  <c r="X62" i="3" a="1"/>
  <c r="X62" i="3"/>
  <c r="X61" i="3" a="1"/>
  <c r="X61" i="3"/>
  <c r="X60" i="3" a="1"/>
  <c r="X60" i="3"/>
  <c r="X59" i="3" a="1"/>
  <c r="X59" i="3"/>
  <c r="X58" i="3" a="1"/>
  <c r="X58" i="3"/>
  <c r="X57" i="3" a="1"/>
  <c r="X57" i="3"/>
  <c r="X56" i="3" a="1"/>
  <c r="X56" i="3"/>
  <c r="X55" i="3" a="1"/>
  <c r="X55" i="3"/>
  <c r="X54" i="3" a="1"/>
  <c r="X54" i="3"/>
  <c r="X53" i="3" a="1"/>
  <c r="X53" i="3"/>
  <c r="X52" i="3" a="1"/>
  <c r="X52" i="3"/>
  <c r="X51" i="3" a="1"/>
  <c r="X51" i="3"/>
  <c r="X50" i="3" a="1"/>
  <c r="X50" i="3"/>
  <c r="X49" i="3" a="1"/>
  <c r="X49" i="3"/>
  <c r="X48" i="3" a="1"/>
  <c r="X48" i="3"/>
  <c r="X47" i="3" a="1"/>
  <c r="X47" i="3"/>
  <c r="X46" i="3" a="1"/>
  <c r="X46" i="3"/>
  <c r="X45" i="3" a="1"/>
  <c r="X45" i="3"/>
  <c r="X44" i="3" a="1"/>
  <c r="X44" i="3"/>
  <c r="X43" i="3" a="1"/>
  <c r="X43" i="3"/>
  <c r="X42" i="3" a="1"/>
  <c r="X42" i="3"/>
  <c r="X41" i="3" a="1"/>
  <c r="X41" i="3"/>
  <c r="X40" i="3" a="1"/>
  <c r="X40" i="3"/>
  <c r="X39" i="3" a="1"/>
  <c r="X39" i="3"/>
  <c r="X38" i="3" a="1"/>
  <c r="X38" i="3"/>
  <c r="X37" i="3" a="1"/>
  <c r="X37" i="3"/>
  <c r="X36" i="3" a="1"/>
  <c r="X36" i="3"/>
  <c r="X35" i="3" a="1"/>
  <c r="X35" i="3"/>
  <c r="X34" i="3" a="1"/>
  <c r="X34" i="3"/>
  <c r="X33" i="3" a="1"/>
  <c r="X33" i="3"/>
  <c r="X32" i="3" a="1"/>
  <c r="X32" i="3"/>
  <c r="X31" i="3" a="1"/>
  <c r="X31" i="3"/>
  <c r="X30" i="3" a="1"/>
  <c r="X30" i="3"/>
  <c r="X29" i="3" a="1"/>
  <c r="X29" i="3"/>
  <c r="X28" i="3" a="1"/>
  <c r="X28" i="3"/>
  <c r="X27" i="3" a="1"/>
  <c r="X27" i="3"/>
  <c r="X26" i="3" a="1"/>
  <c r="X26" i="3"/>
  <c r="X25" i="3" a="1"/>
  <c r="X25" i="3"/>
  <c r="X24" i="3" a="1"/>
  <c r="X24" i="3"/>
  <c r="X23" i="3" a="1"/>
  <c r="X23" i="3"/>
  <c r="X22" i="3" a="1"/>
  <c r="X22" i="3"/>
  <c r="X21" i="3" a="1"/>
  <c r="X21" i="3"/>
  <c r="X20" i="3" a="1"/>
  <c r="X20" i="3"/>
  <c r="X19" i="3" a="1"/>
  <c r="X19" i="3"/>
  <c r="X18" i="3" a="1"/>
  <c r="X18" i="3"/>
  <c r="X17" i="3" a="1"/>
  <c r="X17" i="3"/>
  <c r="X16" i="3" a="1"/>
  <c r="X16" i="3"/>
  <c r="Z69" i="3" a="1"/>
  <c r="Z69" i="3"/>
  <c r="Z68" i="3" a="1"/>
  <c r="Z68" i="3"/>
  <c r="Z67" i="3" a="1"/>
  <c r="Z67" i="3"/>
  <c r="Z66" i="3" a="1"/>
  <c r="Z66" i="3"/>
  <c r="Z65" i="3" a="1"/>
  <c r="Z65" i="3"/>
  <c r="Z64" i="3" a="1"/>
  <c r="Z64" i="3"/>
  <c r="Z63" i="3" a="1"/>
  <c r="Z63" i="3"/>
  <c r="Z62" i="3" a="1"/>
  <c r="Z62" i="3"/>
  <c r="Z61" i="3" a="1"/>
  <c r="Z61" i="3"/>
  <c r="Z60" i="3" a="1"/>
  <c r="Z60" i="3"/>
  <c r="Z59" i="3" a="1"/>
  <c r="Z59" i="3"/>
  <c r="Z58" i="3" a="1"/>
  <c r="Z58" i="3"/>
  <c r="Z57" i="3" a="1"/>
  <c r="Z57" i="3"/>
  <c r="Z56" i="3" a="1"/>
  <c r="Z56" i="3"/>
  <c r="Z55" i="3" a="1"/>
  <c r="Z55" i="3"/>
  <c r="Z54" i="3" a="1"/>
  <c r="Z54" i="3"/>
  <c r="Z53" i="3" a="1"/>
  <c r="Z53" i="3"/>
  <c r="Z52" i="3" a="1"/>
  <c r="Z52" i="3"/>
  <c r="Z51" i="3" a="1"/>
  <c r="Z51" i="3"/>
  <c r="Z50" i="3" a="1"/>
  <c r="Z50" i="3"/>
  <c r="Z49" i="3" a="1"/>
  <c r="Z49" i="3"/>
  <c r="Z48" i="3" a="1"/>
  <c r="Z48" i="3"/>
  <c r="Z47" i="3" a="1"/>
  <c r="Z47" i="3"/>
  <c r="Z46" i="3" a="1"/>
  <c r="Z46" i="3"/>
  <c r="Z45" i="3" a="1"/>
  <c r="Z45" i="3"/>
  <c r="Z44" i="3" a="1"/>
  <c r="Z44" i="3"/>
  <c r="Z43" i="3" a="1"/>
  <c r="Z43" i="3"/>
  <c r="Z42" i="3" a="1"/>
  <c r="Z42" i="3"/>
  <c r="Z41" i="3" a="1"/>
  <c r="Z41" i="3"/>
  <c r="Z40" i="3" a="1"/>
  <c r="Z40" i="3"/>
  <c r="Z39" i="3" a="1"/>
  <c r="Z39" i="3"/>
  <c r="Z38" i="3" a="1"/>
  <c r="Z38" i="3"/>
  <c r="Z37" i="3" a="1"/>
  <c r="Z37" i="3"/>
  <c r="Z36" i="3" a="1"/>
  <c r="Z36" i="3"/>
  <c r="Z35" i="3" a="1"/>
  <c r="Z35" i="3"/>
  <c r="Z34" i="3" a="1"/>
  <c r="Z34" i="3"/>
  <c r="Z33" i="3" a="1"/>
  <c r="Z33" i="3"/>
  <c r="Z32" i="3" a="1"/>
  <c r="Z32" i="3"/>
  <c r="Z31" i="3" a="1"/>
  <c r="Z31" i="3"/>
  <c r="Z30" i="3" a="1"/>
  <c r="Z30" i="3"/>
  <c r="Z29" i="3" a="1"/>
  <c r="Z29" i="3"/>
  <c r="Z28" i="3" a="1"/>
  <c r="Z28" i="3"/>
  <c r="Z27" i="3" a="1"/>
  <c r="Z27" i="3"/>
  <c r="Z26" i="3" a="1"/>
  <c r="Z26" i="3"/>
  <c r="Z25" i="3" a="1"/>
  <c r="Z25" i="3"/>
  <c r="Z24" i="3" a="1"/>
  <c r="Z24" i="3"/>
  <c r="Z23" i="3" a="1"/>
  <c r="Z23" i="3"/>
  <c r="Z22" i="3" a="1"/>
  <c r="Z22" i="3"/>
  <c r="Z21" i="3" a="1"/>
  <c r="Z21" i="3"/>
  <c r="Z20" i="3" a="1"/>
  <c r="Z20" i="3"/>
  <c r="Z19" i="3" a="1"/>
  <c r="Z19" i="3"/>
  <c r="Z18" i="3" a="1"/>
  <c r="Z18" i="3"/>
  <c r="Z17" i="3" a="1"/>
  <c r="Z17" i="3"/>
  <c r="Z16" i="3" a="1"/>
  <c r="Z16" i="3"/>
  <c r="W69" i="3" a="1"/>
  <c r="W69" i="3"/>
  <c r="W68" i="3" a="1"/>
  <c r="W68" i="3"/>
  <c r="W67" i="3" a="1"/>
  <c r="W67" i="3"/>
  <c r="W66" i="3" a="1"/>
  <c r="W66" i="3"/>
  <c r="W65" i="3" a="1"/>
  <c r="W65" i="3"/>
  <c r="W64" i="3" a="1"/>
  <c r="W64" i="3"/>
  <c r="W63" i="3" a="1"/>
  <c r="W63" i="3"/>
  <c r="W62" i="3" a="1"/>
  <c r="W62" i="3"/>
  <c r="W61" i="3" a="1"/>
  <c r="W61" i="3"/>
  <c r="W60" i="3" a="1"/>
  <c r="W60" i="3"/>
  <c r="W59" i="3" a="1"/>
  <c r="W59" i="3"/>
  <c r="W58" i="3" a="1"/>
  <c r="W58" i="3"/>
  <c r="W57" i="3" a="1"/>
  <c r="W57" i="3"/>
  <c r="W56" i="3" a="1"/>
  <c r="W56" i="3"/>
  <c r="W55" i="3" a="1"/>
  <c r="W55" i="3"/>
  <c r="W54" i="3" a="1"/>
  <c r="W54" i="3"/>
  <c r="W53" i="3" a="1"/>
  <c r="W53" i="3"/>
  <c r="W52" i="3" a="1"/>
  <c r="W52" i="3"/>
  <c r="W51" i="3" a="1"/>
  <c r="W51" i="3"/>
  <c r="W50" i="3" a="1"/>
  <c r="W50" i="3"/>
  <c r="W49" i="3" a="1"/>
  <c r="W49" i="3"/>
  <c r="W48" i="3" a="1"/>
  <c r="W48" i="3"/>
  <c r="W47" i="3" a="1"/>
  <c r="W47" i="3"/>
  <c r="W46" i="3" a="1"/>
  <c r="W46" i="3"/>
  <c r="W45" i="3" a="1"/>
  <c r="W45" i="3"/>
  <c r="W44" i="3" a="1"/>
  <c r="W44" i="3"/>
  <c r="W43" i="3" a="1"/>
  <c r="W43" i="3"/>
  <c r="W42" i="3" a="1"/>
  <c r="W42" i="3"/>
  <c r="W41" i="3" a="1"/>
  <c r="W41" i="3"/>
  <c r="W40" i="3" a="1"/>
  <c r="W40" i="3"/>
  <c r="W39" i="3" a="1"/>
  <c r="W39" i="3"/>
  <c r="W38" i="3" a="1"/>
  <c r="W38" i="3"/>
  <c r="W37" i="3" a="1"/>
  <c r="W37" i="3"/>
  <c r="W36" i="3" a="1"/>
  <c r="W36" i="3"/>
  <c r="W35" i="3" a="1"/>
  <c r="W35" i="3"/>
  <c r="W34" i="3" a="1"/>
  <c r="W34" i="3"/>
  <c r="W33" i="3" a="1"/>
  <c r="W33" i="3"/>
  <c r="W32" i="3" a="1"/>
  <c r="W32" i="3"/>
  <c r="W31" i="3" a="1"/>
  <c r="W31" i="3"/>
  <c r="W30" i="3" a="1"/>
  <c r="W30" i="3"/>
  <c r="W29" i="3" a="1"/>
  <c r="W29" i="3"/>
  <c r="W28" i="3" a="1"/>
  <c r="W28" i="3"/>
  <c r="W27" i="3" a="1"/>
  <c r="W27" i="3"/>
  <c r="W26" i="3" a="1"/>
  <c r="W26" i="3"/>
  <c r="W25" i="3" a="1"/>
  <c r="W25" i="3"/>
  <c r="W24" i="3" a="1"/>
  <c r="W24" i="3"/>
  <c r="W23" i="3" a="1"/>
  <c r="W23" i="3"/>
  <c r="W22" i="3" a="1"/>
  <c r="W22" i="3"/>
  <c r="W21" i="3" a="1"/>
  <c r="W21" i="3"/>
  <c r="W20" i="3" a="1"/>
  <c r="W20" i="3"/>
  <c r="W19" i="3" a="1"/>
  <c r="W19" i="3"/>
  <c r="W18" i="3" a="1"/>
  <c r="W18" i="3"/>
  <c r="W17" i="3" a="1"/>
  <c r="W17" i="3"/>
  <c r="W16" i="3" a="1"/>
  <c r="W16" i="3"/>
  <c r="V69" i="3" a="1"/>
  <c r="V69" i="3"/>
  <c r="V68" i="3" a="1"/>
  <c r="V68" i="3"/>
  <c r="V67" i="3" a="1"/>
  <c r="V67" i="3"/>
  <c r="V66" i="3" a="1"/>
  <c r="V66" i="3"/>
  <c r="V65" i="3" a="1"/>
  <c r="V65" i="3"/>
  <c r="V64" i="3" a="1"/>
  <c r="V64" i="3"/>
  <c r="V63" i="3" a="1"/>
  <c r="V63" i="3"/>
  <c r="V62" i="3" a="1"/>
  <c r="V62" i="3"/>
  <c r="V61" i="3" a="1"/>
  <c r="V61" i="3"/>
  <c r="V60" i="3" a="1"/>
  <c r="V60" i="3"/>
  <c r="V59" i="3" a="1"/>
  <c r="V59" i="3"/>
  <c r="V58" i="3" a="1"/>
  <c r="V58" i="3"/>
  <c r="V57" i="3" a="1"/>
  <c r="V57" i="3"/>
  <c r="V56" i="3" a="1"/>
  <c r="V56" i="3"/>
  <c r="V55" i="3" a="1"/>
  <c r="V55" i="3"/>
  <c r="V54" i="3" a="1"/>
  <c r="V54" i="3"/>
  <c r="V53" i="3" a="1"/>
  <c r="V53" i="3"/>
  <c r="V52" i="3" a="1"/>
  <c r="V52" i="3"/>
  <c r="V51" i="3" a="1"/>
  <c r="V51" i="3"/>
  <c r="V50" i="3" a="1"/>
  <c r="V50" i="3"/>
  <c r="V49" i="3" a="1"/>
  <c r="V49" i="3"/>
  <c r="V48" i="3" a="1"/>
  <c r="V48" i="3"/>
  <c r="V47" i="3" a="1"/>
  <c r="V47" i="3"/>
  <c r="V46" i="3" a="1"/>
  <c r="V46" i="3"/>
  <c r="V45" i="3" a="1"/>
  <c r="V45" i="3"/>
  <c r="V44" i="3" a="1"/>
  <c r="V44" i="3"/>
  <c r="V43" i="3" a="1"/>
  <c r="V43" i="3"/>
  <c r="V42" i="3" a="1"/>
  <c r="V42" i="3"/>
  <c r="V41" i="3" a="1"/>
  <c r="V41" i="3"/>
  <c r="V40" i="3" a="1"/>
  <c r="V40" i="3"/>
  <c r="V39" i="3" a="1"/>
  <c r="V39" i="3"/>
  <c r="V38" i="3" a="1"/>
  <c r="V38" i="3"/>
  <c r="V37" i="3" a="1"/>
  <c r="V37" i="3"/>
  <c r="V36" i="3" a="1"/>
  <c r="V36" i="3"/>
  <c r="V35" i="3" a="1"/>
  <c r="V35" i="3"/>
  <c r="V34" i="3" a="1"/>
  <c r="V34" i="3"/>
  <c r="V33" i="3" a="1"/>
  <c r="V33" i="3"/>
  <c r="V32" i="3" a="1"/>
  <c r="V32" i="3"/>
  <c r="V31" i="3" a="1"/>
  <c r="V31" i="3"/>
  <c r="V30" i="3" a="1"/>
  <c r="V30" i="3"/>
  <c r="V29" i="3" a="1"/>
  <c r="V29" i="3"/>
  <c r="V28" i="3" a="1"/>
  <c r="V28" i="3"/>
  <c r="V27" i="3" a="1"/>
  <c r="V27" i="3"/>
  <c r="V26" i="3" a="1"/>
  <c r="V26" i="3"/>
  <c r="V25" i="3" a="1"/>
  <c r="V25" i="3"/>
  <c r="V24" i="3" a="1"/>
  <c r="V24" i="3"/>
  <c r="V23" i="3" a="1"/>
  <c r="V23" i="3"/>
  <c r="V22" i="3" a="1"/>
  <c r="V22" i="3"/>
  <c r="V21" i="3" a="1"/>
  <c r="V21" i="3"/>
  <c r="V20" i="3" a="1"/>
  <c r="V20" i="3"/>
  <c r="V19" i="3" a="1"/>
  <c r="V19" i="3"/>
  <c r="V18" i="3" a="1"/>
  <c r="V18" i="3"/>
  <c r="V17" i="3" a="1"/>
  <c r="V17" i="3"/>
  <c r="V16" i="3" a="1"/>
  <c r="V16" i="3"/>
  <c r="Y69" i="3" a="1"/>
  <c r="Y69" i="3"/>
  <c r="Y68" i="3" a="1"/>
  <c r="Y68" i="3"/>
  <c r="Y67" i="3" a="1"/>
  <c r="Y67" i="3"/>
  <c r="Y66" i="3" a="1"/>
  <c r="Y66" i="3"/>
  <c r="Y65" i="3" a="1"/>
  <c r="Y65" i="3"/>
  <c r="Y64" i="3" a="1"/>
  <c r="Y64" i="3"/>
  <c r="Y63" i="3" a="1"/>
  <c r="Y63" i="3"/>
  <c r="Y62" i="3" a="1"/>
  <c r="Y62" i="3"/>
  <c r="Y61" i="3" a="1"/>
  <c r="Y61" i="3"/>
  <c r="Y60" i="3" a="1"/>
  <c r="Y60" i="3"/>
  <c r="Y59" i="3" a="1"/>
  <c r="Y59" i="3"/>
  <c r="Y58" i="3" a="1"/>
  <c r="Y58" i="3"/>
  <c r="Y57" i="3" a="1"/>
  <c r="Y57" i="3"/>
  <c r="Y56" i="3" a="1"/>
  <c r="Y56" i="3"/>
  <c r="Y55" i="3" a="1"/>
  <c r="Y55" i="3"/>
  <c r="Y54" i="3" a="1"/>
  <c r="Y54" i="3"/>
  <c r="Y53" i="3" a="1"/>
  <c r="Y53" i="3"/>
  <c r="Y52" i="3" a="1"/>
  <c r="Y52" i="3"/>
  <c r="Y51" i="3" a="1"/>
  <c r="Y51" i="3"/>
  <c r="Y50" i="3" a="1"/>
  <c r="Y50" i="3"/>
  <c r="Y49" i="3" a="1"/>
  <c r="Y49" i="3"/>
  <c r="Y48" i="3" a="1"/>
  <c r="Y48" i="3"/>
  <c r="Y47" i="3" a="1"/>
  <c r="Y47" i="3"/>
  <c r="Y46" i="3" a="1"/>
  <c r="Y46" i="3"/>
  <c r="Y45" i="3" a="1"/>
  <c r="Y45" i="3"/>
  <c r="Y44" i="3" a="1"/>
  <c r="Y44" i="3"/>
  <c r="Y43" i="3" a="1"/>
  <c r="Y43" i="3"/>
  <c r="Y42" i="3" a="1"/>
  <c r="Y42" i="3"/>
  <c r="Y41" i="3" a="1"/>
  <c r="Y41" i="3"/>
  <c r="Y40" i="3" a="1"/>
  <c r="Y40" i="3"/>
  <c r="Y39" i="3" a="1"/>
  <c r="Y39" i="3"/>
  <c r="Y38" i="3" a="1"/>
  <c r="Y38" i="3"/>
  <c r="Y37" i="3" a="1"/>
  <c r="Y37" i="3"/>
  <c r="Y36" i="3" a="1"/>
  <c r="Y36" i="3"/>
  <c r="Y35" i="3" a="1"/>
  <c r="Y35" i="3"/>
  <c r="Y34" i="3" a="1"/>
  <c r="Y34" i="3"/>
  <c r="Y33" i="3" a="1"/>
  <c r="Y33" i="3"/>
  <c r="Y32" i="3" a="1"/>
  <c r="Y32" i="3"/>
  <c r="Y31" i="3" a="1"/>
  <c r="Y31" i="3"/>
  <c r="Y30" i="3" a="1"/>
  <c r="Y30" i="3"/>
  <c r="Y29" i="3" a="1"/>
  <c r="Y29" i="3"/>
  <c r="Y28" i="3" a="1"/>
  <c r="Y28" i="3"/>
  <c r="Y27" i="3" a="1"/>
  <c r="Y27" i="3"/>
  <c r="Y26" i="3" a="1"/>
  <c r="Y26" i="3"/>
  <c r="Y25" i="3" a="1"/>
  <c r="Y25" i="3"/>
  <c r="Y24" i="3" a="1"/>
  <c r="Y24" i="3"/>
  <c r="Y23" i="3" a="1"/>
  <c r="Y23" i="3"/>
  <c r="Y22" i="3" a="1"/>
  <c r="Y22" i="3"/>
  <c r="Y21" i="3" a="1"/>
  <c r="Y21" i="3"/>
  <c r="Y20" i="3" a="1"/>
  <c r="Y20" i="3"/>
  <c r="Y19" i="3" a="1"/>
  <c r="Y19" i="3"/>
  <c r="Y18" i="3" a="1"/>
  <c r="Y18" i="3"/>
  <c r="Y17" i="3" a="1"/>
  <c r="Y17" i="3"/>
  <c r="Y16" i="3" a="1"/>
  <c r="Y16" i="3"/>
  <c r="U69" i="3" a="1"/>
  <c r="U69" i="3"/>
  <c r="U68" i="3" a="1"/>
  <c r="U68" i="3"/>
  <c r="U67" i="3" a="1"/>
  <c r="U67" i="3"/>
  <c r="U66" i="3" a="1"/>
  <c r="U66" i="3"/>
  <c r="U65" i="3" a="1"/>
  <c r="U65" i="3"/>
  <c r="U64" i="3" a="1"/>
  <c r="U64" i="3"/>
  <c r="U63" i="3" a="1"/>
  <c r="U63" i="3"/>
  <c r="U62" i="3" a="1"/>
  <c r="U62" i="3"/>
  <c r="U61" i="3" a="1"/>
  <c r="U61" i="3"/>
  <c r="U60" i="3" a="1"/>
  <c r="U60" i="3"/>
  <c r="U59" i="3" a="1"/>
  <c r="U59" i="3"/>
  <c r="U58" i="3" a="1"/>
  <c r="U58" i="3"/>
  <c r="U57" i="3" a="1"/>
  <c r="U57" i="3"/>
  <c r="U56" i="3" a="1"/>
  <c r="U56" i="3"/>
  <c r="U55" i="3" a="1"/>
  <c r="U55" i="3"/>
  <c r="U54" i="3" a="1"/>
  <c r="U54" i="3"/>
  <c r="U53" i="3" a="1"/>
  <c r="U53" i="3"/>
  <c r="U52" i="3" a="1"/>
  <c r="U52" i="3"/>
  <c r="U51" i="3" a="1"/>
  <c r="U51" i="3"/>
  <c r="U50" i="3" a="1"/>
  <c r="U50" i="3"/>
  <c r="U49" i="3" a="1"/>
  <c r="U49" i="3"/>
  <c r="U48" i="3" a="1"/>
  <c r="U48" i="3"/>
  <c r="U47" i="3" a="1"/>
  <c r="U47" i="3"/>
  <c r="U46" i="3" a="1"/>
  <c r="U46" i="3"/>
  <c r="U45" i="3" a="1"/>
  <c r="U45" i="3"/>
  <c r="U44" i="3" a="1"/>
  <c r="U44" i="3"/>
  <c r="U43" i="3" a="1"/>
  <c r="U43" i="3"/>
  <c r="U42" i="3" a="1"/>
  <c r="U42" i="3"/>
  <c r="U41" i="3" a="1"/>
  <c r="U41" i="3"/>
  <c r="U40" i="3" a="1"/>
  <c r="U40" i="3"/>
  <c r="U39" i="3" a="1"/>
  <c r="U39" i="3"/>
  <c r="U38" i="3" a="1"/>
  <c r="U38" i="3"/>
  <c r="U37" i="3" a="1"/>
  <c r="U37" i="3"/>
  <c r="U36" i="3" a="1"/>
  <c r="U36" i="3"/>
  <c r="U35" i="3" a="1"/>
  <c r="U35" i="3"/>
  <c r="U34" i="3" a="1"/>
  <c r="U34" i="3"/>
  <c r="U33" i="3" a="1"/>
  <c r="U33" i="3"/>
  <c r="U32" i="3" a="1"/>
  <c r="U32" i="3"/>
  <c r="U31" i="3" a="1"/>
  <c r="U31" i="3"/>
  <c r="U30" i="3" a="1"/>
  <c r="U30" i="3"/>
  <c r="U29" i="3" a="1"/>
  <c r="U29" i="3"/>
  <c r="U28" i="3" a="1"/>
  <c r="U28" i="3"/>
  <c r="U27" i="3" a="1"/>
  <c r="U27" i="3"/>
  <c r="U26" i="3" a="1"/>
  <c r="U26" i="3"/>
  <c r="U25" i="3" a="1"/>
  <c r="U25" i="3"/>
  <c r="U24" i="3" a="1"/>
  <c r="U24" i="3"/>
  <c r="U23" i="3" a="1"/>
  <c r="U23" i="3"/>
  <c r="U22" i="3" a="1"/>
  <c r="U22" i="3"/>
  <c r="U21" i="3" a="1"/>
  <c r="U21" i="3"/>
  <c r="U20" i="3" a="1"/>
  <c r="U20" i="3"/>
  <c r="U19" i="3" a="1"/>
  <c r="U19" i="3"/>
  <c r="U18" i="3" a="1"/>
  <c r="U18" i="3"/>
  <c r="U17" i="3" a="1"/>
  <c r="U17" i="3"/>
  <c r="U16" i="3" a="1"/>
  <c r="U16" i="3"/>
  <c r="AI15" i="3" a="1"/>
  <c r="AI15" i="3"/>
  <c r="BQ15" i="3"/>
  <c r="AY15" i="3" a="1"/>
  <c r="AY15" i="3"/>
  <c r="BA15" i="3" a="1"/>
  <c r="BA15" i="3"/>
  <c r="AU15" i="3" a="1"/>
  <c r="AU15" i="3"/>
  <c r="AF15" i="3" a="1"/>
  <c r="AF15" i="3"/>
  <c r="BN15" i="3"/>
  <c r="AL15" i="3" a="1"/>
  <c r="AL15" i="3"/>
  <c r="AE15" i="3" a="1"/>
  <c r="AE15" i="3"/>
  <c r="BM15" i="3"/>
  <c r="AV15" i="3" a="1"/>
  <c r="AV15" i="3"/>
  <c r="AM15" i="3" a="1"/>
  <c r="AM15" i="3"/>
  <c r="BI15" i="3" a="1"/>
  <c r="BI15" i="3"/>
  <c r="BG15" i="3" a="1"/>
  <c r="BG15" i="3"/>
  <c r="AQ15" i="3" a="1"/>
  <c r="AQ15" i="3"/>
  <c r="AX15" i="3" a="1"/>
  <c r="AX15" i="3"/>
  <c r="AT15" i="3" a="1"/>
  <c r="AT15" i="3"/>
  <c r="AW15" i="3" a="1"/>
  <c r="AW15" i="3"/>
  <c r="AO15" i="3" a="1"/>
  <c r="AO15" i="3"/>
  <c r="BB15" i="3" a="1"/>
  <c r="BB15" i="3"/>
  <c r="BK15" i="3" a="1"/>
  <c r="BK15" i="3"/>
  <c r="AK15" i="3" a="1"/>
  <c r="AK15" i="3"/>
  <c r="BE15" i="3" a="1"/>
  <c r="BE15" i="3"/>
  <c r="BF15" i="3" a="1"/>
  <c r="BF15" i="3"/>
  <c r="BD15" i="3" a="1"/>
  <c r="BD15" i="3"/>
  <c r="AN15" i="3" a="1"/>
  <c r="AN15" i="3"/>
  <c r="AS15" i="3" a="1"/>
  <c r="AS15" i="3"/>
  <c r="AR15" i="3" a="1"/>
  <c r="AR15" i="3"/>
  <c r="AP15" i="3" a="1"/>
  <c r="AP15" i="3"/>
  <c r="AH15" i="3" a="1"/>
  <c r="AH15" i="3"/>
  <c r="BP15" i="3"/>
  <c r="AG15" i="3" a="1"/>
  <c r="AG15" i="3"/>
  <c r="BO15" i="3"/>
  <c r="BH15" i="3" a="1"/>
  <c r="BH15" i="3"/>
  <c r="AC15" i="3" a="1"/>
  <c r="AC15" i="3"/>
  <c r="BC15" i="3" a="1"/>
  <c r="BC15" i="3"/>
  <c r="AD15" i="3" a="1"/>
  <c r="AD15" i="3"/>
  <c r="BL15" i="3"/>
  <c r="AJ15" i="3" a="1"/>
  <c r="AJ15" i="3"/>
  <c r="AZ15" i="3" a="1"/>
  <c r="AZ15" i="3"/>
  <c r="BJ15" i="3" a="1"/>
  <c r="BJ15" i="3"/>
  <c r="Z15" i="3" a="1"/>
  <c r="Z15" i="3"/>
  <c r="U15" i="3" a="1"/>
  <c r="U15" i="3"/>
  <c r="X15" i="3" a="1"/>
  <c r="X15" i="3"/>
  <c r="V15" i="3" a="1"/>
  <c r="V15" i="3"/>
  <c r="Y15" i="3" a="1"/>
  <c r="Y15" i="3"/>
  <c r="W15" i="3" a="1"/>
  <c r="W15" i="3"/>
  <c r="AB15" i="3" a="1"/>
  <c r="AB15" i="3"/>
  <c r="AA15" i="3" a="1"/>
  <c r="AA15" i="3"/>
  <c r="BP586" i="3"/>
  <c r="BO582" i="3"/>
  <c r="BL12" i="3" l="1"/>
  <c r="BR12" i="3"/>
  <c r="AH7" i="3" l="1"/>
  <c r="T50" i="3"/>
  <c r="AG12" i="3"/>
  <c r="T17" i="3"/>
  <c r="T56" i="3"/>
  <c r="T53" i="3"/>
  <c r="T64" i="3"/>
  <c r="AJ12" i="3"/>
  <c r="T46" i="3"/>
  <c r="T67" i="3"/>
  <c r="T51" i="3"/>
  <c r="BJ12" i="3"/>
  <c r="T69" i="3"/>
  <c r="T20" i="3"/>
  <c r="T44" i="3"/>
  <c r="T68" i="3"/>
  <c r="T66" i="3"/>
  <c r="T65" i="3"/>
  <c r="T63" i="3"/>
  <c r="T62" i="3"/>
  <c r="T61" i="3"/>
  <c r="T60" i="3"/>
  <c r="T59" i="3"/>
  <c r="T58" i="3"/>
  <c r="T57" i="3"/>
  <c r="T55" i="3"/>
  <c r="T54" i="3"/>
  <c r="T52" i="3"/>
  <c r="T49" i="3"/>
  <c r="T48" i="3"/>
  <c r="T47" i="3"/>
  <c r="T45" i="3"/>
  <c r="T43" i="3"/>
  <c r="T42" i="3"/>
  <c r="T41" i="3"/>
  <c r="T40" i="3"/>
  <c r="T39" i="3"/>
  <c r="T38" i="3"/>
  <c r="T37" i="3"/>
  <c r="T36" i="3"/>
  <c r="T35" i="3"/>
  <c r="T34" i="3"/>
  <c r="T33" i="3"/>
  <c r="T32" i="3"/>
  <c r="T31" i="3"/>
  <c r="T30" i="3"/>
  <c r="T29" i="3"/>
  <c r="T28" i="3"/>
  <c r="T27" i="3"/>
  <c r="T26" i="3"/>
  <c r="T25" i="3"/>
  <c r="T24" i="3"/>
  <c r="T23" i="3"/>
  <c r="T22" i="3"/>
  <c r="T21" i="3"/>
  <c r="T19" i="3"/>
  <c r="T18" i="3"/>
  <c r="T16" i="3"/>
  <c r="T15" i="3"/>
  <c r="BP591" i="3"/>
  <c r="BN589" i="3"/>
  <c r="BO594" i="3"/>
  <c r="BQ588" i="3"/>
  <c r="BO595" i="3"/>
  <c r="BN593" i="3"/>
  <c r="BP592" i="3"/>
  <c r="BO593" i="3"/>
  <c r="BM583" i="3"/>
  <c r="BM596" i="3"/>
  <c r="BQ582" i="3"/>
  <c r="BP593" i="3"/>
  <c r="BP589" i="3"/>
  <c r="BL584" i="3"/>
  <c r="BQ595" i="3"/>
  <c r="BP587" i="3"/>
  <c r="BQ589" i="3"/>
  <c r="BO591" i="3"/>
  <c r="BQ585" i="3"/>
  <c r="BQ584" i="3"/>
  <c r="BQ583" i="3"/>
  <c r="BL583" i="3"/>
  <c r="BP582" i="3"/>
  <c r="BM590" i="3"/>
  <c r="BP595" i="3"/>
  <c r="BQ592" i="3"/>
  <c r="BL590" i="3"/>
  <c r="BO583" i="3"/>
  <c r="BL588" i="3"/>
  <c r="BO586" i="3"/>
  <c r="BO585" i="3"/>
  <c r="BQ590" i="3"/>
  <c r="BN590" i="3"/>
  <c r="BN587" i="3"/>
  <c r="BQ594" i="3"/>
  <c r="BL596" i="3"/>
  <c r="BN596" i="3"/>
  <c r="BL593" i="3"/>
  <c r="BP594" i="3"/>
  <c r="BM593" i="3"/>
  <c r="BN586" i="3"/>
  <c r="BP588" i="3"/>
  <c r="BL587" i="3"/>
  <c r="BN595" i="3"/>
  <c r="BP596" i="3"/>
  <c r="BO596" i="3"/>
  <c r="BQ591" i="3"/>
  <c r="BN585" i="3"/>
  <c r="BM588" i="3"/>
  <c r="BN583" i="3"/>
  <c r="BP590" i="3"/>
  <c r="BQ586" i="3"/>
  <c r="BM591" i="3"/>
  <c r="BM595" i="3"/>
  <c r="BM592" i="3"/>
  <c r="BM587" i="3"/>
  <c r="BN584" i="3"/>
  <c r="BL582" i="3"/>
  <c r="BO588" i="3"/>
  <c r="BN591" i="3"/>
  <c r="BO587" i="3"/>
  <c r="BP583" i="3"/>
  <c r="BO590" i="3"/>
  <c r="BN594" i="3"/>
  <c r="BL594" i="3"/>
  <c r="BM584" i="3"/>
  <c r="BN582" i="3"/>
  <c r="BN592" i="3"/>
  <c r="BO589" i="3"/>
  <c r="BL592" i="3"/>
  <c r="BL585" i="3"/>
  <c r="BL589" i="3"/>
  <c r="BO584" i="3"/>
  <c r="BM594" i="3"/>
  <c r="BM585" i="3"/>
  <c r="BN588" i="3"/>
  <c r="BO592" i="3"/>
  <c r="BL586" i="3"/>
  <c r="BM589" i="3"/>
  <c r="BM582" i="3"/>
  <c r="BQ593" i="3"/>
  <c r="BP584" i="3"/>
  <c r="BP585" i="3"/>
  <c r="BQ587" i="3"/>
  <c r="BL591" i="3"/>
  <c r="BM586" i="3"/>
  <c r="BQ596" i="3"/>
  <c r="BL595" i="3"/>
  <c r="AH12" i="3" l="1"/>
  <c r="AI12" i="3"/>
  <c r="BN6" i="3"/>
  <c r="BN7" i="3"/>
  <c r="BN12" i="3"/>
  <c r="BQ12" i="3"/>
  <c r="BM12" i="3"/>
  <c r="T9" i="3"/>
  <c r="BO12" i="3" l="1"/>
  <c r="BO6" i="3"/>
  <c r="BP1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<sst xmlns="http://schemas.openxmlformats.org/spreadsheetml/2006/main" count="1333" uniqueCount="387">
  <si>
    <t>Cusip</t>
  </si>
  <si>
    <t>Desc</t>
  </si>
  <si>
    <t>Type</t>
  </si>
  <si>
    <t>Coup</t>
  </si>
  <si>
    <t>WAC</t>
  </si>
  <si>
    <t>WAM</t>
  </si>
  <si>
    <t>Mat</t>
  </si>
  <si>
    <t>Life</t>
  </si>
  <si>
    <t>CPR</t>
  </si>
  <si>
    <t>1 Month</t>
  </si>
  <si>
    <t>3 Months</t>
  </si>
  <si>
    <t>6 Months</t>
  </si>
  <si>
    <t>12 Months</t>
  </si>
  <si>
    <t>Gen (CPR)</t>
  </si>
  <si>
    <t>Historical (CPR)</t>
  </si>
  <si>
    <t>Original</t>
  </si>
  <si>
    <t>Face</t>
  </si>
  <si>
    <t>Current</t>
  </si>
  <si>
    <t>Factor</t>
  </si>
  <si>
    <t>Scheduled</t>
  </si>
  <si>
    <t>Interest</t>
  </si>
  <si>
    <t>Payment</t>
  </si>
  <si>
    <t>Projected</t>
  </si>
  <si>
    <t>2. Press 'Run Report':</t>
  </si>
  <si>
    <t>Book</t>
  </si>
  <si>
    <t>Price</t>
  </si>
  <si>
    <t>Value</t>
  </si>
  <si>
    <t>Speeds</t>
  </si>
  <si>
    <t>Book Yields</t>
  </si>
  <si>
    <t>(actual)</t>
  </si>
  <si>
    <t>Loan</t>
  </si>
  <si>
    <t>Count</t>
  </si>
  <si>
    <t>1.  Please enter the cusip, original face and book price:</t>
  </si>
  <si>
    <t>WALA</t>
  </si>
  <si>
    <t>This report has been prepared and issued by the Financial Strategies Group in the Fixed Income Sales &amp; Trading Division of Brean Capital, LLC.  The information contained in this report was obtained from various sources that we believe to be reliable, but we do not guarantee its accuracy or completeness.  It was not prepared by the Firm’s research department and, as such, should not be viewed as impartial. We act as principal in transactions with you, and accordingly, you must determine the appropriateness of such transactions or investment strategy and address any legal, tax or accounting considerations applicable to you. Certain transactions, including those involving derivatives, asset-backed and high-yield securities, give rise to substantial risk and are not suitable for all investors. Brean Capital, LLC cannot, nor does not, make any claim as to the prepayment consistency and/or the future performance of any securities or structures mentioned in this report. Any yields, yield spreads and/or average lives mentioned in this report consider prepayment assumptions that may or may not be met. Changes in payments may significantly affect yield and average life. This report has been prepared and circulated for general information only and presents the authors’ views of general market and economic conditions and specific industries and/or sectors. The information and opinions contained in this report speak only as of the date of this report and are subject to change without notice. Any prices provided in this report (other than those identified as historical) are indicative only and do not represent firm quotes as to price and size. Investors are cautioned that statements regarding future prospects may not be realized and that past performance is not indicative of future results. This report is not intended to and does not provide a recommendation, does not constitute an offer, or a solicitation of an offer, to buy or sell any securities or other financial instruments, including any securities mentioned in this report. Nothing in this report constitutes or should be construed to be accounting, tax, investment or legal advice. Additional information regarding the contents of this report is available upon request.</t>
  </si>
  <si>
    <t>Disclaimer</t>
  </si>
  <si>
    <t>Date</t>
  </si>
  <si>
    <t>Date:</t>
  </si>
  <si>
    <t>Projected Prepay Rates and Cashflows</t>
  </si>
  <si>
    <t>LTV</t>
  </si>
  <si>
    <t>FICO</t>
  </si>
  <si>
    <t>Sevicers</t>
  </si>
  <si>
    <t>TPO</t>
  </si>
  <si>
    <t>Avg</t>
  </si>
  <si>
    <t>Max</t>
  </si>
  <si>
    <t>Size</t>
  </si>
  <si>
    <t>GEO 1</t>
  </si>
  <si>
    <t>GEO 2</t>
  </si>
  <si>
    <t>GEO 3</t>
  </si>
  <si>
    <t>30-day</t>
  </si>
  <si>
    <t>Delinq.</t>
  </si>
  <si>
    <t>60-day</t>
  </si>
  <si>
    <t>90-day</t>
  </si>
  <si>
    <t>Paydown</t>
  </si>
  <si>
    <t>Cash-Flow</t>
  </si>
  <si>
    <t>3. Select the location to save the customer copy to:</t>
  </si>
  <si>
    <t>4. Create customer copy:</t>
  </si>
  <si>
    <t>Purchase</t>
  </si>
  <si>
    <t>U:\requests\George\Prepay</t>
  </si>
  <si>
    <t>MARKET_SECTOR_DES</t>
  </si>
  <si>
    <t>cpn</t>
  </si>
  <si>
    <t>maturity</t>
  </si>
  <si>
    <t>security_typ</t>
  </si>
  <si>
    <t>mtg_wacpn</t>
  </si>
  <si>
    <t>mtg_wam</t>
  </si>
  <si>
    <t>mtg_wala_calc</t>
  </si>
  <si>
    <t>mtg_whln_number_loan</t>
  </si>
  <si>
    <t>mtg_pl_cpr_iss</t>
  </si>
  <si>
    <t>mtg_gen_cpr_1m</t>
  </si>
  <si>
    <t>mtg_pl_cpr_1m</t>
  </si>
  <si>
    <t>mtg_pl_cpr_3m</t>
  </si>
  <si>
    <t>mtg_pl_cpr_6m</t>
  </si>
  <si>
    <t>mtg_pl_cpr_12m</t>
  </si>
  <si>
    <t>mtg_factor</t>
  </si>
  <si>
    <t>mtg_factor_num_dt</t>
  </si>
  <si>
    <t>mtg_prev_factor</t>
  </si>
  <si>
    <t>mtg_orig_wam</t>
  </si>
  <si>
    <t>mtg_typ</t>
  </si>
  <si>
    <t>mtg_loan_age</t>
  </si>
  <si>
    <t>mtg_wa_orig_loan_size</t>
  </si>
  <si>
    <t>mtg_orig_max_loan_size</t>
  </si>
  <si>
    <t>mtg_waoltv</t>
  </si>
  <si>
    <t>mtg_waocs</t>
  </si>
  <si>
    <t>mtg_orig_serv_line1</t>
  </si>
  <si>
    <t>mtg_whln_geo1</t>
  </si>
  <si>
    <t>mtg_whln_geo2</t>
  </si>
  <si>
    <t>mtg_whln_geo3</t>
  </si>
  <si>
    <t>curr_pool_tpo</t>
  </si>
  <si>
    <t>mtg_whln_30dlq</t>
  </si>
  <si>
    <t>mtg_whln_60dlq</t>
  </si>
  <si>
    <t>mtg_whln_90dlq</t>
  </si>
  <si>
    <t>mtg_geo1_curr</t>
  </si>
  <si>
    <t>mtg_geo2_curr</t>
  </si>
  <si>
    <t>mtg_geo3_curr</t>
  </si>
  <si>
    <t>mtg_ltv_wavg</t>
  </si>
  <si>
    <t>mtg_loan_size_wavg</t>
  </si>
  <si>
    <t>mtg_qrt_aols_max</t>
  </si>
  <si>
    <t>mtg_waolt</t>
  </si>
  <si>
    <t>id_cusip</t>
  </si>
  <si>
    <t>security_des</t>
  </si>
  <si>
    <t>yld_cnv_bid</t>
  </si>
  <si>
    <t>x</t>
  </si>
  <si>
    <t>MTG_POOL_TYP</t>
  </si>
  <si>
    <t>Total</t>
  </si>
  <si>
    <t>Excluded</t>
  </si>
  <si>
    <t>1mocpr</t>
  </si>
  <si>
    <t>3moCPR</t>
  </si>
  <si>
    <t>collat_typ</t>
  </si>
  <si>
    <t>#N/A Field Not Applicable</t>
  </si>
  <si>
    <t>Feb</t>
  </si>
  <si>
    <t>Jan</t>
  </si>
  <si>
    <t>CA 12%</t>
  </si>
  <si>
    <t>NY 100%</t>
  </si>
  <si>
    <t>FL 100%</t>
  </si>
  <si>
    <t>CA 31%</t>
  </si>
  <si>
    <t>WA 19%</t>
  </si>
  <si>
    <t>CA 24%</t>
  </si>
  <si>
    <t>CA 19%</t>
  </si>
  <si>
    <t>MD 8%</t>
  </si>
  <si>
    <t>CA 22%</t>
  </si>
  <si>
    <t>CA 11%</t>
  </si>
  <si>
    <t>MULTIPLE</t>
  </si>
  <si>
    <t>TX 17%</t>
  </si>
  <si>
    <t>WELLS FARGO BANK, N.A.</t>
  </si>
  <si>
    <t>TX 24%</t>
  </si>
  <si>
    <t>MBS ARM FNARM</t>
  </si>
  <si>
    <t>NJ 13%</t>
  </si>
  <si>
    <t>TX 18%</t>
  </si>
  <si>
    <t>IL 100%</t>
  </si>
  <si>
    <t>VA 1%</t>
  </si>
  <si>
    <t>VA 19%</t>
  </si>
  <si>
    <t>VA 17%</t>
  </si>
  <si>
    <t>AZ 9%</t>
  </si>
  <si>
    <t>NC 15%</t>
  </si>
  <si>
    <t>AZ 36%</t>
  </si>
  <si>
    <t>AZ 48%</t>
  </si>
  <si>
    <t>FL 32%</t>
  </si>
  <si>
    <t>CITIMORTGAGE, INC.</t>
  </si>
  <si>
    <t>CA 100%</t>
  </si>
  <si>
    <t>IL 16%</t>
  </si>
  <si>
    <t>3140QFWT2</t>
  </si>
  <si>
    <t>3138EQUQ3</t>
  </si>
  <si>
    <t>31410KXJ8</t>
  </si>
  <si>
    <t>31414TMY4</t>
  </si>
  <si>
    <t>31415SWC2</t>
  </si>
  <si>
    <t>3140J84P5</t>
  </si>
  <si>
    <t>31415TJS0</t>
  </si>
  <si>
    <t>3138EN3X5</t>
  </si>
  <si>
    <t>3138YV2N8</t>
  </si>
  <si>
    <t>3138YFVZ4</t>
  </si>
  <si>
    <t>31404GPC9</t>
  </si>
  <si>
    <t>31414FXE6</t>
  </si>
  <si>
    <t>31415SHB1</t>
  </si>
  <si>
    <t>31412SUU7</t>
  </si>
  <si>
    <t>31410KWK6</t>
  </si>
  <si>
    <t>3138ETCH7</t>
  </si>
  <si>
    <t>31414MZE9</t>
  </si>
  <si>
    <t>31415WC76</t>
  </si>
  <si>
    <t>3138ERGN4</t>
  </si>
  <si>
    <t>3138ENFH7</t>
  </si>
  <si>
    <t>3138LVCK7</t>
  </si>
  <si>
    <t>3138EQDP4</t>
  </si>
  <si>
    <t>3138EGAU8</t>
  </si>
  <si>
    <t>31410LMU3</t>
  </si>
  <si>
    <t>3138ETGD2</t>
  </si>
  <si>
    <t>3138EPCM4</t>
  </si>
  <si>
    <t>3140J5F61</t>
  </si>
  <si>
    <t>31415AZY0</t>
  </si>
  <si>
    <t>3138EPGK4</t>
  </si>
  <si>
    <t>3140J9CD1</t>
  </si>
  <si>
    <t>31416LZ82</t>
  </si>
  <si>
    <t>3138LURQ0</t>
  </si>
  <si>
    <t>31415TKH2</t>
  </si>
  <si>
    <t>31415RG57</t>
  </si>
  <si>
    <t>3138Y9P93</t>
  </si>
  <si>
    <t>3140J7PV1</t>
  </si>
  <si>
    <t>3138WTWW2</t>
  </si>
  <si>
    <t>31411GJU7</t>
  </si>
  <si>
    <t>3138AHPM2</t>
  </si>
  <si>
    <t>3138ENCJ6</t>
  </si>
  <si>
    <t>31414RP90</t>
  </si>
  <si>
    <t>3138X3CZ3</t>
  </si>
  <si>
    <t>3138X2QA5</t>
  </si>
  <si>
    <t>3140FCE61</t>
  </si>
  <si>
    <t>3138MDX31</t>
  </si>
  <si>
    <t>3138A2C72</t>
  </si>
  <si>
    <t>3138EPRX4</t>
  </si>
  <si>
    <t>3138ERWF3</t>
  </si>
  <si>
    <t>3138WVX30</t>
  </si>
  <si>
    <t>3138EGRJ5</t>
  </si>
  <si>
    <t>3138EKS48</t>
  </si>
  <si>
    <t>31408GBS5</t>
  </si>
  <si>
    <t>3138ELHU0</t>
  </si>
  <si>
    <t>3138ELSB0</t>
  </si>
  <si>
    <t>31402RN96</t>
  </si>
  <si>
    <t>Mar</t>
  </si>
  <si>
    <t>FN CA7857</t>
  </si>
  <si>
    <t>MA 84%</t>
  </si>
  <si>
    <t>PA 16%</t>
  </si>
  <si>
    <t>PA 9%</t>
  </si>
  <si>
    <t>FN30 5.8</t>
  </si>
  <si>
    <t>FN AL7790</t>
  </si>
  <si>
    <t>FANNIE MAE MEGA</t>
  </si>
  <si>
    <t>CA 15%</t>
  </si>
  <si>
    <t>IL 11%</t>
  </si>
  <si>
    <t>FN30 5.9</t>
  </si>
  <si>
    <t>FN 889981</t>
  </si>
  <si>
    <t>CA 61%</t>
  </si>
  <si>
    <t>PA 26%</t>
  </si>
  <si>
    <t>MO 13%</t>
  </si>
  <si>
    <t>FN30 6.1</t>
  </si>
  <si>
    <t>FN 975675</t>
  </si>
  <si>
    <t>WACHOVIA MORTGAGE, FSB</t>
  </si>
  <si>
    <t>PA 56%</t>
  </si>
  <si>
    <t>NC 23%</t>
  </si>
  <si>
    <t>IL 21%</t>
  </si>
  <si>
    <t>FN 988143</t>
  </si>
  <si>
    <t>BANK OF AMERICA NA</t>
  </si>
  <si>
    <t>CA 70%</t>
  </si>
  <si>
    <t>AZ 27%</t>
  </si>
  <si>
    <t>TX 3%</t>
  </si>
  <si>
    <t>FN30 6</t>
  </si>
  <si>
    <t>FN BM4429</t>
  </si>
  <si>
    <t>NY 16%</t>
  </si>
  <si>
    <t>MA 16%</t>
  </si>
  <si>
    <t>FN30 5.7</t>
  </si>
  <si>
    <t>FN 988673</t>
  </si>
  <si>
    <t>AMTRUST BANK</t>
  </si>
  <si>
    <t>CA 68%</t>
  </si>
  <si>
    <t>WA 32%</t>
  </si>
  <si>
    <t>FN AL6213</t>
  </si>
  <si>
    <t>IL 30%</t>
  </si>
  <si>
    <t>WA 18%</t>
  </si>
  <si>
    <t>NY 10%</t>
  </si>
  <si>
    <t>FN AZ4380</t>
  </si>
  <si>
    <t>GREEN TREE SERVICING, LLC</t>
  </si>
  <si>
    <t>NJ 21%</t>
  </si>
  <si>
    <t>AZ 16%</t>
  </si>
  <si>
    <t>IL 14%</t>
  </si>
  <si>
    <t>FN AY2431</t>
  </si>
  <si>
    <t>CHICAGO MORTGAGE SOLUTIONS DBA</t>
  </si>
  <si>
    <t>TX 13%</t>
  </si>
  <si>
    <t>TX 6%</t>
  </si>
  <si>
    <t>FN 965177</t>
  </si>
  <si>
    <t>COUNTRYWIDE BANK, FSB</t>
  </si>
  <si>
    <t>AK 85%</t>
  </si>
  <si>
    <t>OH 15%</t>
  </si>
  <si>
    <t>OH 6%</t>
  </si>
  <si>
    <t>FN 987726</t>
  </si>
  <si>
    <t>NATIONAL CITY MORTGAGE COMPANY</t>
  </si>
  <si>
    <t>OH 35%</t>
  </si>
  <si>
    <t>OH 22%</t>
  </si>
  <si>
    <t>FN 933595</t>
  </si>
  <si>
    <t>CO 36%</t>
  </si>
  <si>
    <t>FN30 5.1</t>
  </si>
  <si>
    <t>FN 889950</t>
  </si>
  <si>
    <t>WA 91%</t>
  </si>
  <si>
    <t>IN 9%</t>
  </si>
  <si>
    <t>IN 4%</t>
  </si>
  <si>
    <t>FN AL8171</t>
  </si>
  <si>
    <t>MA 40%</t>
  </si>
  <si>
    <t>NH 19%</t>
  </si>
  <si>
    <t>FN 970641</t>
  </si>
  <si>
    <t>CO 100%</t>
  </si>
  <si>
    <t>ID 27%</t>
  </si>
  <si>
    <t>ID 16%</t>
  </si>
  <si>
    <t>FN 991194</t>
  </si>
  <si>
    <t>NJ 35%</t>
  </si>
  <si>
    <t>NJ 22%</t>
  </si>
  <si>
    <t>FN AL9204</t>
  </si>
  <si>
    <t>UT 32%</t>
  </si>
  <si>
    <t>NY 19%</t>
  </si>
  <si>
    <t>VA 13%</t>
  </si>
  <si>
    <t>FN30 4.8</t>
  </si>
  <si>
    <t>FN AL5567</t>
  </si>
  <si>
    <t>IL 10%</t>
  </si>
  <si>
    <t>NY 8%</t>
  </si>
  <si>
    <t>FN AO4573</t>
  </si>
  <si>
    <t>JPMORGAN CHASE BANK, NATIONAL</t>
  </si>
  <si>
    <t>CA 27%</t>
  </si>
  <si>
    <t>NY 23%</t>
  </si>
  <si>
    <t>NJ 18%</t>
  </si>
  <si>
    <t>FN30 5.3</t>
  </si>
  <si>
    <t>FN AL7309</t>
  </si>
  <si>
    <t>NC 14%</t>
  </si>
  <si>
    <t>FL 13%</t>
  </si>
  <si>
    <t>FN AL0018</t>
  </si>
  <si>
    <t>MD 35%</t>
  </si>
  <si>
    <t>VA 28%</t>
  </si>
  <si>
    <t>FN 890571</t>
  </si>
  <si>
    <t>MA 7%</t>
  </si>
  <si>
    <t>VA 6%</t>
  </si>
  <si>
    <t>FN AL8295</t>
  </si>
  <si>
    <t>CA 17%</t>
  </si>
  <si>
    <t>MD 10%</t>
  </si>
  <si>
    <t>FN AL6375</t>
  </si>
  <si>
    <t>MD 28%</t>
  </si>
  <si>
    <t>NC 11%</t>
  </si>
  <si>
    <t>FN BM1088</t>
  </si>
  <si>
    <t>CA 35%</t>
  </si>
  <si>
    <t>IL 23%</t>
  </si>
  <si>
    <t>OH 12%</t>
  </si>
  <si>
    <t>FN 981459</t>
  </si>
  <si>
    <t>SUNTRUST MORTGAGE INC.</t>
  </si>
  <si>
    <t>CT 100%</t>
  </si>
  <si>
    <t>CT 46%</t>
  </si>
  <si>
    <t>DE 18%</t>
  </si>
  <si>
    <t>FN AL6501</t>
  </si>
  <si>
    <t>WA 25%</t>
  </si>
  <si>
    <t>TX 15%</t>
  </si>
  <si>
    <t>FN AA3466</t>
  </si>
  <si>
    <t>BANK OF AMERICA, N.A.</t>
  </si>
  <si>
    <t>AZ 100%</t>
  </si>
  <si>
    <t>NY 6%</t>
  </si>
  <si>
    <t>FN30 4.6</t>
  </si>
  <si>
    <t>FN AO4094</t>
  </si>
  <si>
    <t>NY 43%</t>
  </si>
  <si>
    <t>OH 29%</t>
  </si>
  <si>
    <t>MN 17%</t>
  </si>
  <si>
    <t>FN 988696</t>
  </si>
  <si>
    <t>NC 100%</t>
  </si>
  <si>
    <t>NC 25%</t>
  </si>
  <si>
    <t>NJ 27%</t>
  </si>
  <si>
    <t>FN 986820</t>
  </si>
  <si>
    <t>CHASE HOME FINANCE</t>
  </si>
  <si>
    <t>IL 20%</t>
  </si>
  <si>
    <t>FN AX7647</t>
  </si>
  <si>
    <t>FLAGSTAR BANK, FSB</t>
  </si>
  <si>
    <t>TX 51%</t>
  </si>
  <si>
    <t>CA 49%</t>
  </si>
  <si>
    <t>FN BM3135</t>
  </si>
  <si>
    <t>FN AT6060</t>
  </si>
  <si>
    <t>MA 43%</t>
  </si>
  <si>
    <t>CA 30%</t>
  </si>
  <si>
    <t>CO 26%</t>
  </si>
  <si>
    <t>FN30 5.2</t>
  </si>
  <si>
    <t>FN AI4027</t>
  </si>
  <si>
    <t>PA 60%</t>
  </si>
  <si>
    <t>GA 20%</t>
  </si>
  <si>
    <t>CA 14%</t>
  </si>
  <si>
    <t>FN AL5472</t>
  </si>
  <si>
    <t>IL 51%</t>
  </si>
  <si>
    <t>VA 26%</t>
  </si>
  <si>
    <t>GA 23%</t>
  </si>
  <si>
    <t>FN30 5.6</t>
  </si>
  <si>
    <t>FN 973948</t>
  </si>
  <si>
    <t>NC 40%</t>
  </si>
  <si>
    <t>FN AU3687</t>
  </si>
  <si>
    <t>CARDINAL FINANCIAL COMPANY, LI</t>
  </si>
  <si>
    <t>NJ 62%</t>
  </si>
  <si>
    <t>TX 38%</t>
  </si>
  <si>
    <t>FN AU3148</t>
  </si>
  <si>
    <t>TX 75%</t>
  </si>
  <si>
    <t>MO 25%</t>
  </si>
  <si>
    <t>NJ 7%</t>
  </si>
  <si>
    <t>FN BD4656</t>
  </si>
  <si>
    <t>GUARANTEED RATE, INC.</t>
  </si>
  <si>
    <t>VA 14%</t>
  </si>
  <si>
    <t>FN AP9697</t>
  </si>
  <si>
    <t>NY 41%</t>
  </si>
  <si>
    <t>CA 37%</t>
  </si>
  <si>
    <t>OH 13%</t>
  </si>
  <si>
    <t>FN AH0993</t>
  </si>
  <si>
    <t>NY 74%</t>
  </si>
  <si>
    <t>WA 26%</t>
  </si>
  <si>
    <t>MN 0%</t>
  </si>
  <si>
    <t>FN30 6.3</t>
  </si>
  <si>
    <t>FN AL6801</t>
  </si>
  <si>
    <t>FL 34%</t>
  </si>
  <si>
    <t>FN AL9645</t>
  </si>
  <si>
    <t>NY 15%</t>
  </si>
  <si>
    <t>MD 7%</t>
  </si>
  <si>
    <t>FN AT7897</t>
  </si>
  <si>
    <t>NY 42%</t>
  </si>
  <si>
    <t>VA 32%</t>
  </si>
  <si>
    <t>FN AL0488</t>
  </si>
  <si>
    <t>FL 25%</t>
  </si>
  <si>
    <t>PA 19%</t>
  </si>
  <si>
    <t>FN AL3238</t>
  </si>
  <si>
    <t>FL 61%</t>
  </si>
  <si>
    <t>MO 38%</t>
  </si>
  <si>
    <t>MA 1%</t>
  </si>
  <si>
    <t>FN AL3842</t>
  </si>
  <si>
    <t>FN AL4113</t>
  </si>
  <si>
    <t>IL 34%</t>
  </si>
  <si>
    <t>PAID OFF</t>
  </si>
  <si>
    <t>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</si>
</sst>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0.00000"/>
    <numFmt numFmtId="165" formatCode="#,##0.000_);[Red]\(#,##0.000\)"/>
    <numFmt numFmtId="166" formatCode="[$-409]mmm\-yy;@"/>
    <numFmt numFmtId="167" formatCode="0.0%"/>
    <numFmt numFmtId="168" formatCode="###.000"/>
    <numFmt numFmtId="169" formatCode="_(* #,##0.000_);_(* \(#,##0.000\);_(* &quot;-&quot;??_);_(@_)"/>
    <numFmt numFmtId="170" formatCode="###,###,###"/>
    <numFmt numFmtId="171" formatCode="m/dd/yyyy"/>
    <numFmt numFmtId="172" formatCode="###.00"/>
    <numFmt numFmtId="173" formatCode="0.#####"/>
    <numFmt numFmtId="174" formatCode="##0.0%"/>
    <numFmt numFmtId="175" formatCode="0.000"/>
    <numFmt numFmtId="176" formatCode="_(* #,##0_);_(* \(#,##0\);_(* &quot;-&quot;??_);_(@_)"/>
    <numFmt numFmtId="177" formatCode="0.0000000"/>
  </numFmts>
  <fonts count="32" x14ac:knownFonts="1">
    <font>
      <sz val="11"/>
      <color theme="1"/>
      <name val="Calibri"/>
      <family val="2"/>
      <scheme val="minor"/>
    </font>
    <font>
      <b/>
      <sz val="11"/>
      <color theme="0"/>
      <name val="Calibri"/>
      <family val="2"/>
      <scheme val="minor"/>
    </font>
    <font>
      <b/>
      <sz val="11"/>
      <color theme="1"/>
      <name val="Calibri"/>
      <family val="2"/>
      <scheme val="minor"/>
    </font>
    <font>
      <sz val="26"/>
      <color theme="1"/>
      <name val="Calibri"/>
      <family val="2"/>
      <scheme val="minor"/>
    </font>
    <font>
      <u/>
      <sz val="11"/>
      <color theme="1"/>
      <name val="Calibri"/>
      <family val="2"/>
      <scheme val="minor"/>
    </font>
    <font>
      <sz val="11"/>
      <name val="Calibri"/>
      <family val="2"/>
      <scheme val="minor"/>
    </font>
    <font>
      <b/>
      <sz val="11"/>
      <name val="Calibri"/>
      <family val="2"/>
      <scheme val="minor"/>
    </font>
    <font>
      <sz val="14"/>
      <color theme="1"/>
      <name val="Calibri"/>
      <family val="2"/>
      <scheme val="minor"/>
    </font>
    <font>
      <sz val="14"/>
      <color rgb="FF000000"/>
      <name val="Calibri"/>
      <family val="2"/>
      <scheme val="minor"/>
    </font>
    <font>
      <sz val="20"/>
      <color theme="1"/>
      <name val="Calibri"/>
      <family val="2"/>
      <scheme val="minor"/>
    </font>
    <font>
      <sz val="11"/>
      <color theme="1"/>
      <name val="Calibri"/>
      <family val="2"/>
      <scheme val="minor"/>
    </font>
    <font>
      <sz val="10"/>
      <name val="Courier"/>
      <family val="3"/>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theme="1"/>
      <name val="Segoe UI"/>
      <family val="2"/>
    </font>
    <font>
      <sz val="11"/>
      <color rgb="FF000000"/>
      <name val="Calibri"/>
      <family val="2"/>
    </font>
    <font>
      <b/>
      <i/>
      <sz val="11"/>
      <color indexed="8"/>
      <name val="Calibri"/>
      <family val="2"/>
      <scheme val="minor"/>
    </font>
    <font>
      <sz val="11"/>
      <color indexed="17"/>
      <name val="Calibri"/>
      <family val="2"/>
      <scheme val="minor"/>
    </font>
    <font>
      <sz val="11"/>
      <color indexed="10"/>
      <name val="Calibri"/>
      <family val="2"/>
      <scheme val="minor"/>
    </font>
    <font>
      <sz val="11"/>
      <color indexed="11"/>
      <name val="Calibri"/>
      <family val="2"/>
      <scheme val="minor"/>
    </font>
  </fonts>
  <fills count="42">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indexed="9"/>
        <bgColor indexed="64"/>
      </patternFill>
    </fill>
    <fill>
      <patternFill patternType="solid">
        <fgColor rgb="FF273B6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3" tint="-0.249977111117893"/>
        <bgColor indexed="64"/>
      </patternFill>
    </fill>
    <fill>
      <patternFill patternType="solid">
        <fgColor theme="2" tint="-9.9978637043366805E-2"/>
        <bgColor indexed="64"/>
      </patternFill>
    </fill>
    <fill>
      <patternFill patternType="solid">
        <fgColor rgb="FF16365C"/>
        <bgColor indexed="64"/>
      </patternFill>
    </fill>
    <fill>
      <patternFill patternType="solid">
        <fgColor rgb="FF2B5395"/>
        <bgColor indexed="64"/>
      </patternFill>
    </fill>
  </fills>
  <borders count="42">
    <border>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right style="medium">
        <color auto="1"/>
      </right>
      <top/>
      <bottom/>
      <diagonal/>
    </border>
    <border>
      <left style="medium">
        <color auto="1"/>
      </left>
      <right/>
      <top style="medium">
        <color auto="1"/>
      </top>
      <bottom style="medium">
        <color indexed="64"/>
      </bottom>
      <diagonal/>
    </border>
    <border>
      <left/>
      <right/>
      <top style="medium">
        <color auto="1"/>
      </top>
      <bottom style="medium">
        <color indexed="64"/>
      </bottom>
      <diagonal/>
    </border>
    <border>
      <left/>
      <right style="medium">
        <color auto="1"/>
      </right>
      <top style="medium">
        <color auto="1"/>
      </top>
      <bottom style="medium">
        <color indexed="64"/>
      </bottom>
      <diagonal/>
    </border>
    <border>
      <left style="medium">
        <color auto="1"/>
      </left>
      <right/>
      <top style="medium">
        <color auto="1"/>
      </top>
      <bottom/>
      <diagonal/>
    </border>
    <border>
      <left style="medium">
        <color auto="1"/>
      </left>
      <right/>
      <top/>
      <bottom/>
      <diagonal/>
    </border>
    <border>
      <left/>
      <right style="thin">
        <color auto="1"/>
      </right>
      <top style="thin">
        <color auto="1"/>
      </top>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auto="1"/>
      </left>
      <right/>
      <top style="medium">
        <color auto="1"/>
      </top>
      <bottom style="medium">
        <color indexed="64"/>
      </bottom>
      <diagonal/>
    </border>
    <border>
      <left style="medium">
        <color auto="1"/>
      </left>
      <right/>
      <top style="medium">
        <color auto="1"/>
      </top>
      <bottom/>
      <diagonal/>
    </border>
    <border>
      <left style="medium">
        <color auto="1"/>
      </left>
      <right/>
      <top/>
      <bottom/>
      <diagonal/>
    </border>
    <border>
      <left/>
      <right style="medium">
        <color auto="1"/>
      </right>
      <top style="medium">
        <color auto="1"/>
      </top>
      <bottom/>
      <diagonal/>
    </border>
    <border>
      <left/>
      <right style="medium">
        <color auto="1"/>
      </right>
      <top/>
      <bottom/>
      <diagonal/>
    </border>
    <border>
      <left/>
      <right style="medium">
        <color auto="1"/>
      </right>
      <top style="medium">
        <color auto="1"/>
      </top>
      <bottom style="medium">
        <color indexed="64"/>
      </bottom>
      <diagonal/>
    </border>
    <border>
      <left style="medium">
        <color auto="1"/>
      </left>
      <right/>
      <top style="medium">
        <color auto="1"/>
      </top>
      <bottom style="medium">
        <color indexed="64"/>
      </bottom>
      <diagonal/>
    </border>
    <border>
      <left style="medium">
        <color auto="1"/>
      </left>
      <right/>
      <top style="medium">
        <color auto="1"/>
      </top>
      <bottom/>
      <diagonal/>
    </border>
    <border>
      <left style="medium">
        <color auto="1"/>
      </left>
      <right/>
      <top/>
      <bottom/>
      <diagonal/>
    </border>
    <border>
      <left/>
      <right style="medium">
        <color auto="1"/>
      </right>
      <top style="medium">
        <color auto="1"/>
      </top>
      <bottom/>
      <diagonal/>
    </border>
    <border>
      <left/>
      <right style="medium">
        <color auto="1"/>
      </right>
      <top/>
      <bottom/>
      <diagonal/>
    </border>
    <border>
      <left/>
      <right style="medium">
        <color auto="1"/>
      </right>
      <top style="medium">
        <color auto="1"/>
      </top>
      <bottom style="medium">
        <color indexed="64"/>
      </bottom>
      <diagonal/>
    </border>
  </borders>
  <cellStyleXfs count="46">
    <xf numFmtId="0" fontId="0" fillId="0" borderId="0"/>
    <xf numFmtId="0" fontId="11" fillId="0" borderId="0"/>
    <xf numFmtId="0" fontId="11" fillId="0" borderId="0"/>
    <xf numFmtId="0" fontId="10" fillId="0" borderId="0"/>
    <xf numFmtId="0" fontId="12" fillId="0" borderId="0" applyNumberFormat="0" applyFill="0" applyBorder="0" applyAlignment="0" applyProtection="0"/>
    <xf numFmtId="0" fontId="13" fillId="0" borderId="21" applyNumberFormat="0" applyFill="0" applyAlignment="0" applyProtection="0"/>
    <xf numFmtId="0" fontId="14" fillId="0" borderId="22" applyNumberFormat="0" applyFill="0" applyAlignment="0" applyProtection="0"/>
    <xf numFmtId="0" fontId="15" fillId="0" borderId="23" applyNumberFormat="0" applyFill="0" applyAlignment="0" applyProtection="0"/>
    <xf numFmtId="0" fontId="15" fillId="0" borderId="0" applyNumberFormat="0" applyFill="0" applyBorder="0" applyAlignment="0" applyProtection="0"/>
    <xf numFmtId="0" fontId="16" fillId="6" borderId="0" applyNumberFormat="0" applyBorder="0" applyAlignment="0" applyProtection="0"/>
    <xf numFmtId="0" fontId="17" fillId="7" borderId="0" applyNumberFormat="0" applyBorder="0" applyAlignment="0" applyProtection="0"/>
    <xf numFmtId="0" fontId="18" fillId="8" borderId="0" applyNumberFormat="0" applyBorder="0" applyAlignment="0" applyProtection="0"/>
    <xf numFmtId="0" fontId="19" fillId="9" borderId="24" applyNumberFormat="0" applyAlignment="0" applyProtection="0"/>
    <xf numFmtId="0" fontId="20" fillId="10" borderId="25" applyNumberFormat="0" applyAlignment="0" applyProtection="0"/>
    <xf numFmtId="0" fontId="21" fillId="10" borderId="24" applyNumberFormat="0" applyAlignment="0" applyProtection="0"/>
    <xf numFmtId="0" fontId="22" fillId="0" borderId="26" applyNumberFormat="0" applyFill="0" applyAlignment="0" applyProtection="0"/>
    <xf numFmtId="0" fontId="1" fillId="11" borderId="27" applyNumberFormat="0" applyAlignment="0" applyProtection="0"/>
    <xf numFmtId="0" fontId="23" fillId="0" borderId="0" applyNumberFormat="0" applyFill="0" applyBorder="0" applyAlignment="0" applyProtection="0"/>
    <xf numFmtId="0" fontId="10" fillId="12" borderId="28" applyNumberFormat="0" applyFont="0" applyAlignment="0" applyProtection="0"/>
    <xf numFmtId="0" fontId="24" fillId="0" borderId="0" applyNumberFormat="0" applyFill="0" applyBorder="0" applyAlignment="0" applyProtection="0"/>
    <xf numFmtId="0" fontId="2" fillId="0" borderId="29" applyNumberFormat="0" applyFill="0" applyAlignment="0" applyProtection="0"/>
    <xf numFmtId="0" fontId="25"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25" fillId="16" borderId="0" applyNumberFormat="0" applyBorder="0" applyAlignment="0" applyProtection="0"/>
    <xf numFmtId="0" fontId="25"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25" fillId="20" borderId="0" applyNumberFormat="0" applyBorder="0" applyAlignment="0" applyProtection="0"/>
    <xf numFmtId="0" fontId="25"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25" fillId="24" borderId="0" applyNumberFormat="0" applyBorder="0" applyAlignment="0" applyProtection="0"/>
    <xf numFmtId="0" fontId="25"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25" fillId="28" borderId="0" applyNumberFormat="0" applyBorder="0" applyAlignment="0" applyProtection="0"/>
    <xf numFmtId="0" fontId="25"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25" fillId="32" borderId="0" applyNumberFormat="0" applyBorder="0" applyAlignment="0" applyProtection="0"/>
    <xf numFmtId="0" fontId="25" fillId="33" borderId="0" applyNumberFormat="0" applyBorder="0" applyAlignment="0" applyProtection="0"/>
    <xf numFmtId="0" fontId="10" fillId="34" borderId="0" applyNumberFormat="0" applyBorder="0" applyAlignment="0" applyProtection="0"/>
    <xf numFmtId="0" fontId="10" fillId="35" borderId="0" applyNumberFormat="0" applyBorder="0" applyAlignment="0" applyProtection="0"/>
    <xf numFmtId="0" fontId="25" fillId="36" borderId="0" applyNumberFormat="0" applyBorder="0" applyAlignment="0" applyProtection="0"/>
    <xf numFmtId="43" fontId="10" fillId="0" borderId="0" applyFont="0" applyFill="0" applyBorder="0" applyAlignment="0" applyProtection="0"/>
  </cellStyleXfs>
  <cellXfs count="305">
    <xf numFmtId="0" fontId="0" fillId="0" borderId="0" xfId="0"/>
    <xf numFmtId="0" fontId="0" fillId="0" borderId="0" xfId="0" applyAlignment="1">
      <alignment horizontal="center" vertical="center"/>
    </xf>
    <xf numFmtId="0" fontId="0" fillId="2" borderId="0" xfId="0" applyFill="1" applyAlignment="1">
      <alignment horizontal="center" vertical="center"/>
    </xf>
    <xf numFmtId="14" fontId="0" fillId="2" borderId="0" xfId="0" applyNumberFormat="1" applyFill="1" applyAlignment="1">
      <alignment horizontal="center" vertical="center"/>
    </xf>
    <xf numFmtId="0" fontId="2" fillId="2" borderId="0" xfId="0" applyFont="1" applyFill="1" applyAlignment="1">
      <alignment horizontal="left" vertical="center"/>
    </xf>
    <xf numFmtId="0" fontId="2" fillId="2" borderId="0" xfId="0" applyFont="1" applyFill="1" applyAlignment="1">
      <alignment horizontal="center" vertical="center"/>
    </xf>
    <xf numFmtId="0" fontId="0" fillId="2" borderId="0" xfId="0" applyFill="1" applyAlignment="1">
      <alignment horizontal="center" vertical="center"/>
    </xf>
    <xf numFmtId="38" fontId="0" fillId="2" borderId="0" xfId="0" applyNumberFormat="1" applyFill="1" applyAlignment="1">
      <alignment horizontal="center" vertical="center"/>
    </xf>
    <xf numFmtId="38" fontId="0" fillId="0" borderId="0" xfId="0" applyNumberFormat="1" applyAlignment="1">
      <alignment horizontal="center" vertical="center"/>
    </xf>
    <xf numFmtId="14" fontId="0" fillId="0" borderId="0" xfId="0" applyNumberFormat="1" applyAlignment="1">
      <alignment horizontal="center" vertical="center"/>
    </xf>
    <xf numFmtId="164" fontId="0" fillId="2" borderId="0" xfId="0" applyNumberFormat="1" applyFill="1" applyAlignment="1">
      <alignment horizontal="center" vertical="center"/>
    </xf>
    <xf numFmtId="164" fontId="0" fillId="0" borderId="0" xfId="0" applyNumberFormat="1" applyAlignment="1">
      <alignment horizontal="center" vertical="center"/>
    </xf>
    <xf numFmtId="40" fontId="0" fillId="2" borderId="0" xfId="0" applyNumberFormat="1" applyFill="1" applyAlignment="1">
      <alignment horizontal="center" vertical="center"/>
    </xf>
    <xf numFmtId="40" fontId="0" fillId="0" borderId="0" xfId="0" applyNumberFormat="1" applyAlignment="1">
      <alignment horizontal="center" vertical="center"/>
    </xf>
    <xf numFmtId="165" fontId="0" fillId="2" borderId="0" xfId="0" applyNumberFormat="1" applyFill="1" applyAlignment="1">
      <alignment horizontal="center" vertical="center"/>
    </xf>
    <xf numFmtId="165" fontId="0" fillId="0" borderId="0" xfId="0" applyNumberFormat="1" applyAlignment="1">
      <alignment horizontal="center" vertical="center"/>
    </xf>
    <xf numFmtId="38" fontId="4" fillId="2" borderId="0" xfId="0" applyNumberFormat="1" applyFont="1" applyFill="1" applyAlignment="1">
      <alignment horizontal="center" vertical="center"/>
    </xf>
    <xf numFmtId="0" fontId="0" fillId="2" borderId="0" xfId="0" applyFill="1"/>
    <xf numFmtId="0" fontId="0" fillId="3" borderId="10" xfId="0" applyFill="1" applyBorder="1" applyAlignment="1">
      <alignment horizontal="left"/>
    </xf>
    <xf numFmtId="0" fontId="0" fillId="3" borderId="11" xfId="0" applyFill="1" applyBorder="1" applyAlignment="1">
      <alignment horizontal="left"/>
    </xf>
    <xf numFmtId="0" fontId="5" fillId="2" borderId="0" xfId="0" applyFont="1" applyFill="1" applyAlignment="1">
      <alignment horizontal="center" vertical="center"/>
    </xf>
    <xf numFmtId="0" fontId="6" fillId="2" borderId="0" xfId="0" applyFont="1" applyFill="1" applyAlignment="1">
      <alignment horizontal="center" vertical="center"/>
    </xf>
    <xf numFmtId="0" fontId="0" fillId="3" borderId="9" xfId="0" applyFill="1" applyBorder="1" applyAlignment="1">
      <alignment horizontal="left" vertical="center"/>
    </xf>
    <xf numFmtId="40" fontId="2" fillId="2" borderId="0" xfId="0" applyNumberFormat="1" applyFont="1" applyFill="1" applyAlignment="1">
      <alignment horizontal="center" vertical="center"/>
    </xf>
    <xf numFmtId="3" fontId="0" fillId="2" borderId="0" xfId="0" applyNumberFormat="1" applyFill="1" applyAlignment="1">
      <alignment horizontal="center" vertical="center"/>
    </xf>
    <xf numFmtId="3" fontId="0" fillId="0" borderId="0" xfId="0" applyNumberFormat="1" applyAlignment="1">
      <alignment horizontal="center" vertical="center"/>
    </xf>
    <xf numFmtId="0" fontId="7" fillId="0" borderId="0" xfId="0" applyFont="1"/>
    <xf numFmtId="0" fontId="8" fillId="0" borderId="0" xfId="0" applyFont="1" applyAlignment="1">
      <alignment wrapText="1"/>
    </xf>
    <xf numFmtId="0" fontId="9" fillId="0" borderId="0" xfId="0" applyFont="1" applyAlignment="1">
      <alignment horizontal="center" vertical="center"/>
    </xf>
    <xf numFmtId="166" fontId="0" fillId="2" borderId="0" xfId="0" applyNumberFormat="1" applyFill="1" applyAlignment="1">
      <alignment horizontal="center" vertical="center"/>
    </xf>
    <xf numFmtId="166" fontId="0" fillId="0" borderId="0" xfId="0" applyNumberFormat="1" applyAlignment="1">
      <alignment horizontal="center" vertical="center"/>
    </xf>
    <xf numFmtId="0" fontId="0" fillId="0" borderId="0" xfId="0"/>
    <xf numFmtId="0" fontId="0" fillId="0" borderId="0" xfId="0" applyAlignment="1">
      <alignment horizontal="center" vertical="center"/>
    </xf>
    <xf numFmtId="38" fontId="0" fillId="2" borderId="0" xfId="0" applyNumberFormat="1" applyFill="1" applyAlignment="1">
      <alignment horizontal="center" vertical="center"/>
    </xf>
    <xf numFmtId="3" fontId="0" fillId="2" borderId="0" xfId="0" applyNumberFormat="1" applyFill="1" applyAlignment="1">
      <alignment horizontal="center" vertical="center"/>
    </xf>
    <xf numFmtId="40" fontId="0" fillId="2" borderId="0" xfId="0" applyNumberFormat="1" applyFill="1" applyAlignment="1">
      <alignment horizontal="center" vertical="center"/>
    </xf>
    <xf numFmtId="38" fontId="4" fillId="2" borderId="0" xfId="0" applyNumberFormat="1" applyFont="1" applyFill="1" applyAlignment="1">
      <alignment horizontal="center" vertical="center"/>
    </xf>
    <xf numFmtId="38" fontId="0" fillId="0" borderId="0" xfId="0" applyNumberFormat="1" applyAlignment="1">
      <alignment horizontal="center" vertical="center"/>
    </xf>
    <xf numFmtId="40" fontId="0" fillId="0" borderId="0" xfId="0" applyNumberFormat="1" applyAlignment="1">
      <alignment horizontal="center" vertical="center"/>
    </xf>
    <xf numFmtId="0" fontId="0" fillId="0" borderId="0" xfId="0" applyAlignment="1">
      <alignment horizontal="center" vertical="center"/>
    </xf>
    <xf numFmtId="167" fontId="0" fillId="2" borderId="0" xfId="0" applyNumberFormat="1" applyFill="1" applyAlignment="1">
      <alignment horizontal="center" vertical="center"/>
    </xf>
    <xf numFmtId="167" fontId="0" fillId="0" borderId="0" xfId="0" applyNumberFormat="1" applyAlignment="1">
      <alignment horizontal="center" vertical="center"/>
    </xf>
    <xf numFmtId="167" fontId="4" fillId="2" borderId="0" xfId="0" applyNumberFormat="1" applyFont="1" applyFill="1" applyAlignment="1">
      <alignment horizontal="center" vertical="center"/>
    </xf>
    <xf numFmtId="0" fontId="5" fillId="2" borderId="0" xfId="0" applyFont="1" applyFill="1" applyAlignment="1">
      <alignment horizontal="left" vertical="center"/>
    </xf>
    <xf numFmtId="0" fontId="0" fillId="0" borderId="0" xfId="0" applyAlignment="1">
      <alignment horizontal="center" vertical="center"/>
    </xf>
    <xf numFmtId="4" fontId="2" fillId="2" borderId="0" xfId="0" applyNumberFormat="1" applyFont="1" applyFill="1" applyAlignment="1">
      <alignment horizontal="center" vertical="center"/>
    </xf>
    <xf numFmtId="0" fontId="0" fillId="2" borderId="0" xfId="0" applyFont="1" applyFill="1" applyAlignment="1">
      <alignment horizontal="center" vertical="center"/>
    </xf>
    <xf numFmtId="4" fontId="0" fillId="2" borderId="0" xfId="0" applyNumberFormat="1" applyFont="1" applyFill="1" applyAlignment="1">
      <alignment horizontal="center" vertical="center"/>
    </xf>
    <xf numFmtId="40" fontId="0" fillId="2" borderId="0" xfId="0" applyNumberFormat="1" applyFont="1" applyFill="1" applyAlignment="1">
      <alignment horizontal="center" vertical="center"/>
    </xf>
    <xf numFmtId="0" fontId="0" fillId="2" borderId="0" xfId="0" applyFill="1" applyAlignment="1">
      <alignment horizontal="left" vertical="center"/>
    </xf>
    <xf numFmtId="14" fontId="0" fillId="2" borderId="0" xfId="0" applyNumberFormat="1" applyFont="1" applyFill="1" applyAlignment="1">
      <alignment horizontal="center" vertical="center"/>
    </xf>
    <xf numFmtId="14" fontId="2" fillId="2" borderId="0" xfId="0" applyNumberFormat="1" applyFont="1" applyFill="1" applyAlignment="1">
      <alignment horizontal="center" vertical="center"/>
    </xf>
    <xf numFmtId="0" fontId="0" fillId="4" borderId="0" xfId="0" applyFill="1" applyAlignment="1">
      <alignment horizontal="center" vertical="center"/>
    </xf>
    <xf numFmtId="14" fontId="0" fillId="4" borderId="0" xfId="0" applyNumberFormat="1" applyFill="1"/>
    <xf numFmtId="0" fontId="1" fillId="5" borderId="1" xfId="0" applyFont="1" applyFill="1" applyBorder="1" applyAlignment="1">
      <alignment horizontal="center" vertical="center"/>
    </xf>
    <xf numFmtId="4" fontId="1" fillId="5" borderId="1" xfId="0" applyNumberFormat="1" applyFont="1" applyFill="1" applyBorder="1" applyAlignment="1">
      <alignment horizontal="center" vertical="center"/>
    </xf>
    <xf numFmtId="14" fontId="1" fillId="5" borderId="19" xfId="0" applyNumberFormat="1" applyFont="1" applyFill="1" applyBorder="1" applyAlignment="1">
      <alignment horizontal="center" vertical="center"/>
    </xf>
    <xf numFmtId="0" fontId="1" fillId="5" borderId="2" xfId="0" applyFont="1" applyFill="1" applyBorder="1" applyAlignment="1">
      <alignment horizontal="center" vertical="center"/>
    </xf>
    <xf numFmtId="4" fontId="1" fillId="5" borderId="2" xfId="0" applyNumberFormat="1" applyFont="1" applyFill="1" applyBorder="1" applyAlignment="1">
      <alignment horizontal="center" vertical="center"/>
    </xf>
    <xf numFmtId="14" fontId="1" fillId="5" borderId="20" xfId="0" applyNumberFormat="1" applyFont="1" applyFill="1" applyBorder="1" applyAlignment="1">
      <alignment horizontal="center" vertical="center"/>
    </xf>
    <xf numFmtId="0" fontId="0" fillId="4" borderId="0" xfId="0" applyFill="1"/>
    <xf numFmtId="14" fontId="0" fillId="4" borderId="0" xfId="0" applyNumberFormat="1" applyFont="1" applyFill="1" applyAlignment="1">
      <alignment horizontal="center" vertical="center"/>
    </xf>
    <xf numFmtId="0" fontId="0" fillId="0" borderId="0" xfId="0"/>
    <xf numFmtId="0" fontId="0" fillId="37" borderId="0" xfId="0" applyFill="1" applyAlignment="1">
      <alignment horizontal="center" vertical="center"/>
    </xf>
    <xf numFmtId="11" fontId="0" fillId="37" borderId="0" xfId="0" applyNumberFormat="1" applyFill="1"/>
    <xf numFmtId="0" fontId="0" fillId="37" borderId="0" xfId="0" applyFill="1"/>
    <xf numFmtId="14" fontId="0" fillId="37" borderId="0" xfId="0" applyNumberFormat="1" applyFont="1" applyFill="1" applyAlignment="1">
      <alignment horizontal="center" vertical="center"/>
    </xf>
    <xf numFmtId="0" fontId="1" fillId="38" borderId="3" xfId="0" applyFont="1" applyFill="1" applyBorder="1" applyAlignment="1">
      <alignment horizontal="center" vertical="center"/>
    </xf>
    <xf numFmtId="0" fontId="1" fillId="38" borderId="4" xfId="0" applyFont="1" applyFill="1" applyBorder="1" applyAlignment="1">
      <alignment horizontal="center" vertical="center"/>
    </xf>
    <xf numFmtId="3" fontId="1" fillId="38" borderId="4" xfId="0" applyNumberFormat="1" applyFont="1" applyFill="1" applyBorder="1" applyAlignment="1">
      <alignment horizontal="center" vertical="center"/>
    </xf>
    <xf numFmtId="40" fontId="1" fillId="38" borderId="5" xfId="0" applyNumberFormat="1" applyFont="1" applyFill="1" applyBorder="1" applyAlignment="1">
      <alignment horizontal="center" vertical="center"/>
    </xf>
    <xf numFmtId="166" fontId="1" fillId="38" borderId="4" xfId="0" applyNumberFormat="1" applyFont="1" applyFill="1" applyBorder="1" applyAlignment="1">
      <alignment horizontal="center" vertical="center"/>
    </xf>
    <xf numFmtId="38" fontId="1" fillId="38" borderId="4" xfId="0" applyNumberFormat="1" applyFont="1" applyFill="1" applyBorder="1" applyAlignment="1">
      <alignment horizontal="center" vertical="center"/>
    </xf>
    <xf numFmtId="14" fontId="1" fillId="38" borderId="17" xfId="0" applyNumberFormat="1" applyFont="1" applyFill="1" applyBorder="1" applyAlignment="1">
      <alignment horizontal="center" vertical="center"/>
    </xf>
    <xf numFmtId="167" fontId="1" fillId="38" borderId="4" xfId="0" applyNumberFormat="1" applyFont="1" applyFill="1" applyBorder="1" applyAlignment="1">
      <alignment horizontal="center" vertical="center"/>
    </xf>
    <xf numFmtId="167" fontId="1" fillId="38" borderId="5" xfId="0" applyNumberFormat="1" applyFont="1" applyFill="1" applyBorder="1" applyAlignment="1">
      <alignment horizontal="center" vertical="center"/>
    </xf>
    <xf numFmtId="0" fontId="1" fillId="38" borderId="12" xfId="0" applyFont="1" applyFill="1" applyBorder="1" applyAlignment="1">
      <alignment horizontal="center" vertical="center"/>
    </xf>
    <xf numFmtId="0" fontId="1" fillId="38" borderId="0" xfId="0" applyFont="1" applyFill="1" applyBorder="1" applyAlignment="1">
      <alignment horizontal="center" vertical="center"/>
    </xf>
    <xf numFmtId="165" fontId="1" fillId="38" borderId="0" xfId="0" applyNumberFormat="1" applyFont="1" applyFill="1" applyBorder="1" applyAlignment="1">
      <alignment horizontal="center" vertical="center"/>
    </xf>
    <xf numFmtId="38" fontId="1" fillId="38" borderId="0" xfId="0" applyNumberFormat="1" applyFont="1" applyFill="1" applyBorder="1" applyAlignment="1">
      <alignment horizontal="center" vertical="center"/>
    </xf>
    <xf numFmtId="14" fontId="1" fillId="38" borderId="0" xfId="0" applyNumberFormat="1" applyFont="1" applyFill="1" applyBorder="1" applyAlignment="1">
      <alignment horizontal="center" vertical="center"/>
    </xf>
    <xf numFmtId="3" fontId="1" fillId="38" borderId="0" xfId="0" applyNumberFormat="1" applyFont="1" applyFill="1" applyBorder="1" applyAlignment="1">
      <alignment horizontal="center" vertical="center"/>
    </xf>
    <xf numFmtId="3" fontId="1" fillId="38" borderId="0" xfId="0" applyNumberFormat="1" applyFont="1" applyFill="1" applyBorder="1" applyAlignment="1">
      <alignment horizontal="center" vertical="center" wrapText="1"/>
    </xf>
    <xf numFmtId="40" fontId="1" fillId="38" borderId="13" xfId="0" applyNumberFormat="1" applyFont="1" applyFill="1" applyBorder="1" applyAlignment="1">
      <alignment horizontal="center" vertical="center"/>
    </xf>
    <xf numFmtId="40" fontId="1" fillId="38" borderId="3" xfId="0" applyNumberFormat="1" applyFont="1" applyFill="1" applyBorder="1" applyAlignment="1">
      <alignment horizontal="center" vertical="center"/>
    </xf>
    <xf numFmtId="40" fontId="1" fillId="38" borderId="4" xfId="0" applyNumberFormat="1" applyFont="1" applyFill="1" applyBorder="1" applyAlignment="1">
      <alignment horizontal="center" vertical="center"/>
    </xf>
    <xf numFmtId="165" fontId="1" fillId="38" borderId="3" xfId="0" applyNumberFormat="1" applyFont="1" applyFill="1" applyBorder="1" applyAlignment="1">
      <alignment horizontal="center" vertical="center"/>
    </xf>
    <xf numFmtId="165" fontId="1" fillId="38" borderId="4" xfId="0" applyNumberFormat="1" applyFont="1" applyFill="1" applyBorder="1" applyAlignment="1">
      <alignment horizontal="center" vertical="center"/>
    </xf>
    <xf numFmtId="38" fontId="1" fillId="38" borderId="12" xfId="0" applyNumberFormat="1" applyFont="1" applyFill="1" applyBorder="1" applyAlignment="1">
      <alignment horizontal="center" vertical="center"/>
    </xf>
    <xf numFmtId="164" fontId="1" fillId="38" borderId="0" xfId="0" applyNumberFormat="1" applyFont="1" applyFill="1" applyBorder="1" applyAlignment="1">
      <alignment horizontal="center" vertical="center"/>
    </xf>
    <xf numFmtId="166" fontId="1" fillId="38" borderId="0" xfId="0" applyNumberFormat="1" applyFont="1" applyFill="1" applyBorder="1" applyAlignment="1">
      <alignment horizontal="center" vertical="center"/>
    </xf>
    <xf numFmtId="14" fontId="1" fillId="38" borderId="18" xfId="0" applyNumberFormat="1" applyFont="1" applyFill="1" applyBorder="1" applyAlignment="1">
      <alignment horizontal="center" vertical="center"/>
    </xf>
    <xf numFmtId="167" fontId="1" fillId="38" borderId="0" xfId="0" applyNumberFormat="1" applyFont="1" applyFill="1" applyBorder="1" applyAlignment="1">
      <alignment horizontal="center" vertical="center"/>
    </xf>
    <xf numFmtId="167" fontId="1" fillId="38" borderId="13" xfId="0" applyNumberFormat="1" applyFont="1" applyFill="1" applyBorder="1" applyAlignment="1">
      <alignment horizontal="center" vertical="center"/>
    </xf>
    <xf numFmtId="0" fontId="1" fillId="38" borderId="6" xfId="0" applyFont="1" applyFill="1" applyBorder="1" applyAlignment="1">
      <alignment horizontal="center" vertical="center"/>
    </xf>
    <xf numFmtId="0" fontId="1" fillId="38" borderId="7" xfId="0" applyFont="1" applyFill="1" applyBorder="1" applyAlignment="1">
      <alignment horizontal="center" vertical="center"/>
    </xf>
    <xf numFmtId="165" fontId="1" fillId="38" borderId="7" xfId="0" applyNumberFormat="1" applyFont="1" applyFill="1" applyBorder="1" applyAlignment="1">
      <alignment horizontal="center" vertical="center"/>
    </xf>
    <xf numFmtId="38" fontId="1" fillId="38" borderId="7" xfId="0" applyNumberFormat="1" applyFont="1" applyFill="1" applyBorder="1" applyAlignment="1">
      <alignment horizontal="center" vertical="center"/>
    </xf>
    <xf numFmtId="14" fontId="1" fillId="38" borderId="7" xfId="0" applyNumberFormat="1" applyFont="1" applyFill="1" applyBorder="1" applyAlignment="1">
      <alignment horizontal="center" vertical="center"/>
    </xf>
    <xf numFmtId="3" fontId="1" fillId="38" borderId="7" xfId="0" applyNumberFormat="1" applyFont="1" applyFill="1" applyBorder="1" applyAlignment="1">
      <alignment horizontal="center" vertical="center"/>
    </xf>
    <xf numFmtId="40" fontId="1" fillId="38" borderId="8" xfId="0" applyNumberFormat="1" applyFont="1" applyFill="1" applyBorder="1" applyAlignment="1">
      <alignment horizontal="center" vertical="center"/>
    </xf>
    <xf numFmtId="40" fontId="1" fillId="38" borderId="6" xfId="0" applyNumberFormat="1" applyFont="1" applyFill="1" applyBorder="1" applyAlignment="1">
      <alignment horizontal="center" vertical="center"/>
    </xf>
    <xf numFmtId="40" fontId="1" fillId="38" borderId="7" xfId="0" applyNumberFormat="1" applyFont="1" applyFill="1" applyBorder="1" applyAlignment="1">
      <alignment horizontal="center" vertical="center"/>
    </xf>
    <xf numFmtId="165" fontId="1" fillId="38" borderId="6" xfId="0" applyNumberFormat="1" applyFont="1" applyFill="1" applyBorder="1" applyAlignment="1">
      <alignment horizontal="center" vertical="center"/>
    </xf>
    <xf numFmtId="165" fontId="1" fillId="38" borderId="8" xfId="0" applyNumberFormat="1" applyFont="1" applyFill="1" applyBorder="1" applyAlignment="1">
      <alignment horizontal="center" vertical="center"/>
    </xf>
    <xf numFmtId="38" fontId="1" fillId="38" borderId="6" xfId="0" applyNumberFormat="1" applyFont="1" applyFill="1" applyBorder="1" applyAlignment="1">
      <alignment horizontal="center" vertical="center"/>
    </xf>
    <xf numFmtId="164" fontId="1" fillId="38" borderId="7" xfId="0" applyNumberFormat="1" applyFont="1" applyFill="1" applyBorder="1" applyAlignment="1">
      <alignment horizontal="center" vertical="center"/>
    </xf>
    <xf numFmtId="166" fontId="1" fillId="38" borderId="7" xfId="0" applyNumberFormat="1" applyFont="1" applyFill="1" applyBorder="1" applyAlignment="1">
      <alignment horizontal="center" vertical="center"/>
    </xf>
    <xf numFmtId="14" fontId="1" fillId="38" borderId="6" xfId="0" applyNumberFormat="1" applyFont="1" applyFill="1" applyBorder="1" applyAlignment="1">
      <alignment horizontal="center" vertical="center"/>
    </xf>
    <xf numFmtId="167" fontId="1" fillId="38" borderId="7" xfId="0" applyNumberFormat="1" applyFont="1" applyFill="1" applyBorder="1" applyAlignment="1">
      <alignment horizontal="center" vertical="center"/>
    </xf>
    <xf numFmtId="167" fontId="1" fillId="38" borderId="8" xfId="0" applyNumberFormat="1" applyFont="1" applyFill="1" applyBorder="1" applyAlignment="1">
      <alignment horizontal="center" vertical="center"/>
    </xf>
    <xf numFmtId="0" fontId="0" fillId="38" borderId="4" xfId="0" applyFill="1" applyBorder="1" applyAlignment="1">
      <alignment horizontal="center" vertical="center"/>
    </xf>
    <xf numFmtId="0" fontId="0" fillId="38" borderId="15" xfId="0" applyFill="1" applyBorder="1" applyAlignment="1">
      <alignment horizontal="center" vertical="center"/>
    </xf>
    <xf numFmtId="0" fontId="0" fillId="0" borderId="0" xfId="0" applyAlignment="1">
      <alignment horizontal="center" vertical="center"/>
    </xf>
    <xf numFmtId="11"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169" fontId="0" fillId="37" borderId="0" xfId="45" applyNumberFormat="1" applyFont="1" applyFill="1" applyAlignment="1">
      <alignment horizontal="center" vertical="center"/>
    </xf>
    <xf numFmtId="169" fontId="0" fillId="4" borderId="0" xfId="45" applyNumberFormat="1" applyFont="1" applyFill="1" applyAlignment="1">
      <alignment horizontal="center" vertical="center"/>
    </xf>
    <xf numFmtId="169" fontId="0" fillId="2" borderId="0" xfId="45" applyNumberFormat="1" applyFont="1" applyFill="1" applyAlignment="1">
      <alignment horizontal="center" vertical="center"/>
    </xf>
    <xf numFmtId="0" fontId="0" fillId="0" borderId="0" xfId="0" applyAlignment="1">
      <alignment horizontal="center" vertical="center"/>
    </xf>
    <xf numFmtId="0" fontId="0" fillId="39" borderId="0" xfId="0" applyFill="1" applyAlignment="1">
      <alignment horizontal="center" vertical="center"/>
    </xf>
    <xf numFmtId="0" fontId="0" fillId="0" borderId="0" xfId="0" applyAlignment="1">
      <alignment horizontal="center" vertical="center"/>
    </xf>
    <xf numFmtId="0" fontId="23" fillId="2" borderId="0" xfId="0" applyFont="1" applyFill="1" applyAlignment="1">
      <alignment horizontal="center" vertical="center"/>
    </xf>
    <xf numFmtId="0" fontId="1" fillId="40" borderId="4" xfId="0" applyFont="1" applyFill="1" applyBorder="1" applyAlignment="1">
      <alignment horizontal="center" vertical="center"/>
    </xf>
    <xf numFmtId="0" fontId="26" fillId="37" borderId="0" xfId="0" applyFont="1" applyFill="1" applyBorder="1" applyAlignment="1">
      <alignment horizontal="left"/>
    </xf>
    <xf numFmtId="170" fontId="26" fillId="37" borderId="0" xfId="0" applyNumberFormat="1" applyFont="1" applyFill="1" applyBorder="1" applyAlignment="1">
      <alignment horizontal="right"/>
    </xf>
    <xf numFmtId="168" fontId="26" fillId="37" borderId="0" xfId="0" applyNumberFormat="1" applyFont="1" applyFill="1" applyBorder="1" applyAlignment="1">
      <alignment horizontal="right"/>
    </xf>
    <xf numFmtId="38" fontId="28" fillId="37" borderId="0" xfId="0" applyNumberFormat="1" applyFont="1" applyFill="1" applyBorder="1" applyAlignment="1">
      <alignment horizontal="center" vertical="center"/>
    </xf>
    <xf numFmtId="0" fontId="28" fillId="37" borderId="4" xfId="0" applyFont="1" applyFill="1" applyBorder="1" applyAlignment="1">
      <alignment horizontal="center" vertical="center"/>
    </xf>
    <xf numFmtId="38" fontId="28" fillId="37" borderId="4" xfId="0" applyNumberFormat="1" applyFont="1" applyFill="1" applyBorder="1" applyAlignment="1">
      <alignment horizontal="center" vertical="center"/>
    </xf>
    <xf numFmtId="0" fontId="0" fillId="0" borderId="0" xfId="0" applyBorder="1" applyAlignment="1">
      <alignment horizontal="center" vertical="center"/>
    </xf>
    <xf numFmtId="165" fontId="0" fillId="0" borderId="0" xfId="0" applyNumberFormat="1" applyBorder="1" applyAlignment="1">
      <alignment horizontal="center" vertical="center"/>
    </xf>
    <xf numFmtId="38" fontId="0" fillId="0" borderId="0" xfId="0" applyNumberFormat="1" applyBorder="1" applyAlignment="1">
      <alignment horizontal="center" vertical="center"/>
    </xf>
    <xf numFmtId="167" fontId="0" fillId="0" borderId="0" xfId="0" applyNumberFormat="1" applyBorder="1" applyAlignment="1">
      <alignment horizontal="center" vertical="center"/>
    </xf>
    <xf numFmtId="170" fontId="28" fillId="37" borderId="0" xfId="0" applyNumberFormat="1" applyFont="1" applyFill="1" applyBorder="1" applyAlignment="1">
      <alignment horizontal="center" vertical="center"/>
    </xf>
    <xf numFmtId="0" fontId="0" fillId="4" borderId="0" xfId="0" applyNumberFormat="1" applyFill="1"/>
    <xf numFmtId="0" fontId="0" fillId="37" borderId="0" xfId="0" applyNumberFormat="1" applyFill="1"/>
    <xf numFmtId="14" fontId="0" fillId="37" borderId="0" xfId="0" applyNumberFormat="1" applyFill="1"/>
    <xf numFmtId="11" fontId="26" fillId="37" borderId="0" xfId="0" applyNumberFormat="1" applyFont="1" applyFill="1" applyBorder="1" applyAlignment="1">
      <alignment horizontal="left"/>
    </xf>
    <xf numFmtId="11" fontId="0" fillId="4" borderId="0" xfId="0" quotePrefix="1" applyNumberFormat="1" applyFill="1"/>
    <xf numFmtId="0" fontId="1" fillId="40" borderId="7" xfId="0" applyFont="1" applyFill="1" applyBorder="1" applyAlignment="1">
      <alignment horizontal="center" vertical="center"/>
    </xf>
    <xf numFmtId="168" fontId="0" fillId="0" borderId="0" xfId="0" applyNumberFormat="1" applyAlignment="1">
      <alignment horizontal="center" vertical="center"/>
    </xf>
    <xf numFmtId="0" fontId="0" fillId="0" borderId="0" xfId="0" applyAlignment="1">
      <alignment horizontal="center" vertical="center"/>
    </xf>
    <xf numFmtId="0" fontId="0" fillId="4" borderId="0" xfId="0" quotePrefix="1" applyNumberFormat="1" applyFill="1"/>
    <xf numFmtId="0" fontId="0" fillId="0" borderId="0" xfId="0" applyAlignment="1">
      <alignment horizontal="center" vertical="center"/>
    </xf>
    <xf numFmtId="175" fontId="0" fillId="0" borderId="0" xfId="0" applyNumberFormat="1" applyAlignment="1">
      <alignment horizontal="center" vertical="center"/>
    </xf>
    <xf numFmtId="176" fontId="0" fillId="37" borderId="0" xfId="45" applyNumberFormat="1" applyFont="1" applyFill="1" applyAlignment="1">
      <alignment horizontal="center" vertical="center"/>
    </xf>
    <xf numFmtId="176" fontId="0" fillId="4" borderId="0" xfId="45" applyNumberFormat="1" applyFont="1" applyFill="1" applyAlignment="1">
      <alignment horizontal="center" vertical="center"/>
    </xf>
    <xf numFmtId="0" fontId="1" fillId="40" borderId="0" xfId="0" applyFont="1" applyFill="1" applyBorder="1" applyAlignment="1">
      <alignment horizontal="center" vertical="center"/>
    </xf>
    <xf numFmtId="0" fontId="0" fillId="0" borderId="0" xfId="0" applyAlignment="1">
      <alignment horizontal="center" vertical="center"/>
    </xf>
    <xf numFmtId="177" fontId="0" fillId="0" borderId="0" xfId="0" applyNumberFormat="1" applyAlignment="1">
      <alignment horizontal="center" vertical="center"/>
    </xf>
    <xf numFmtId="0" fontId="1" fillId="40" borderId="12" xfId="0" applyFont="1" applyFill="1" applyBorder="1" applyAlignment="1">
      <alignment horizontal="center" vertical="center"/>
    </xf>
    <xf numFmtId="0" fontId="1" fillId="40" borderId="3" xfId="0" applyFont="1" applyFill="1" applyBorder="1" applyAlignment="1">
      <alignment horizontal="center" vertical="center"/>
    </xf>
    <xf numFmtId="3" fontId="1" fillId="40" borderId="4" xfId="0" applyNumberFormat="1" applyFont="1" applyFill="1" applyBorder="1" applyAlignment="1">
      <alignment horizontal="center" vertical="center"/>
    </xf>
    <xf numFmtId="40" fontId="1" fillId="40" borderId="5" xfId="0" applyNumberFormat="1" applyFont="1" applyFill="1" applyBorder="1" applyAlignment="1">
      <alignment horizontal="center" vertical="center"/>
    </xf>
    <xf numFmtId="166" fontId="1" fillId="40" borderId="4" xfId="0" applyNumberFormat="1" applyFont="1" applyFill="1" applyBorder="1" applyAlignment="1">
      <alignment horizontal="center" vertical="center"/>
    </xf>
    <xf numFmtId="38" fontId="1" fillId="40" borderId="4" xfId="0" applyNumberFormat="1" applyFont="1" applyFill="1" applyBorder="1" applyAlignment="1">
      <alignment horizontal="center" vertical="center"/>
    </xf>
    <xf numFmtId="14" fontId="1" fillId="40" borderId="17" xfId="0" applyNumberFormat="1" applyFont="1" applyFill="1" applyBorder="1" applyAlignment="1">
      <alignment horizontal="center" vertical="center"/>
    </xf>
    <xf numFmtId="167" fontId="1" fillId="40" borderId="4" xfId="0" applyNumberFormat="1" applyFont="1" applyFill="1" applyBorder="1" applyAlignment="1">
      <alignment horizontal="center" vertical="center"/>
    </xf>
    <xf numFmtId="167" fontId="1" fillId="40" borderId="5" xfId="0" applyNumberFormat="1" applyFont="1" applyFill="1" applyBorder="1" applyAlignment="1">
      <alignment horizontal="center" vertical="center"/>
    </xf>
    <xf numFmtId="165" fontId="1" fillId="40" borderId="0" xfId="0" applyNumberFormat="1" applyFont="1" applyFill="1" applyBorder="1" applyAlignment="1">
      <alignment horizontal="center" vertical="center"/>
    </xf>
    <xf numFmtId="38" fontId="1" fillId="40" borderId="0" xfId="0" applyNumberFormat="1" applyFont="1" applyFill="1" applyBorder="1" applyAlignment="1">
      <alignment horizontal="center" vertical="center"/>
    </xf>
    <xf numFmtId="14" fontId="1" fillId="40" borderId="0" xfId="0" applyNumberFormat="1" applyFont="1" applyFill="1" applyBorder="1" applyAlignment="1">
      <alignment horizontal="center" vertical="center"/>
    </xf>
    <xf numFmtId="3" fontId="1" fillId="40" borderId="0" xfId="0" applyNumberFormat="1" applyFont="1" applyFill="1" applyBorder="1" applyAlignment="1">
      <alignment horizontal="center" vertical="center"/>
    </xf>
    <xf numFmtId="3" fontId="1" fillId="40" borderId="0" xfId="0" applyNumberFormat="1" applyFont="1" applyFill="1" applyBorder="1" applyAlignment="1">
      <alignment horizontal="center" vertical="center" wrapText="1"/>
    </xf>
    <xf numFmtId="40" fontId="1" fillId="40" borderId="13" xfId="0" applyNumberFormat="1" applyFont="1" applyFill="1" applyBorder="1" applyAlignment="1">
      <alignment horizontal="center" vertical="center"/>
    </xf>
    <xf numFmtId="40" fontId="1" fillId="40" borderId="3" xfId="0" applyNumberFormat="1" applyFont="1" applyFill="1" applyBorder="1" applyAlignment="1">
      <alignment horizontal="center" vertical="center"/>
    </xf>
    <xf numFmtId="165" fontId="1" fillId="40" borderId="3" xfId="0" applyNumberFormat="1" applyFont="1" applyFill="1" applyBorder="1" applyAlignment="1">
      <alignment horizontal="center" vertical="center"/>
    </xf>
    <xf numFmtId="38" fontId="1" fillId="40" borderId="12" xfId="0" applyNumberFormat="1" applyFont="1" applyFill="1" applyBorder="1" applyAlignment="1">
      <alignment horizontal="center" vertical="center"/>
    </xf>
    <xf numFmtId="164" fontId="1" fillId="40" borderId="0" xfId="0" applyNumberFormat="1" applyFont="1" applyFill="1" applyBorder="1" applyAlignment="1">
      <alignment horizontal="center" vertical="center"/>
    </xf>
    <xf numFmtId="166" fontId="1" fillId="40" borderId="0" xfId="0" applyNumberFormat="1" applyFont="1" applyFill="1" applyBorder="1" applyAlignment="1">
      <alignment horizontal="center" vertical="center"/>
    </xf>
    <xf numFmtId="14" fontId="1" fillId="40" borderId="18" xfId="0" applyNumberFormat="1" applyFont="1" applyFill="1" applyBorder="1" applyAlignment="1">
      <alignment horizontal="center" vertical="center"/>
    </xf>
    <xf numFmtId="167" fontId="1" fillId="40" borderId="0" xfId="0" applyNumberFormat="1" applyFont="1" applyFill="1" applyBorder="1" applyAlignment="1">
      <alignment horizontal="center" vertical="center"/>
    </xf>
    <xf numFmtId="167" fontId="1" fillId="40" borderId="13" xfId="0" applyNumberFormat="1" applyFont="1" applyFill="1" applyBorder="1" applyAlignment="1">
      <alignment horizontal="center" vertical="center"/>
    </xf>
    <xf numFmtId="0" fontId="1" fillId="40" borderId="6" xfId="0" applyFont="1" applyFill="1" applyBorder="1" applyAlignment="1">
      <alignment horizontal="center" vertical="center"/>
    </xf>
    <xf numFmtId="165" fontId="1" fillId="40" borderId="7" xfId="0" applyNumberFormat="1" applyFont="1" applyFill="1" applyBorder="1" applyAlignment="1">
      <alignment horizontal="center" vertical="center"/>
    </xf>
    <xf numFmtId="38" fontId="1" fillId="40" borderId="7" xfId="0" applyNumberFormat="1" applyFont="1" applyFill="1" applyBorder="1" applyAlignment="1">
      <alignment horizontal="center" vertical="center"/>
    </xf>
    <xf numFmtId="14" fontId="1" fillId="40" borderId="7" xfId="0" applyNumberFormat="1" applyFont="1" applyFill="1" applyBorder="1" applyAlignment="1">
      <alignment horizontal="center" vertical="center"/>
    </xf>
    <xf numFmtId="3" fontId="1" fillId="40" borderId="7" xfId="0" applyNumberFormat="1" applyFont="1" applyFill="1" applyBorder="1" applyAlignment="1">
      <alignment horizontal="center" vertical="center"/>
    </xf>
    <xf numFmtId="40" fontId="1" fillId="40" borderId="8" xfId="0" applyNumberFormat="1" applyFont="1" applyFill="1" applyBorder="1" applyAlignment="1">
      <alignment horizontal="center" vertical="center"/>
    </xf>
    <xf numFmtId="40" fontId="1" fillId="40" borderId="6" xfId="0" applyNumberFormat="1" applyFont="1" applyFill="1" applyBorder="1" applyAlignment="1">
      <alignment horizontal="center" vertical="center"/>
    </xf>
    <xf numFmtId="40" fontId="1" fillId="40" borderId="7" xfId="0" applyNumberFormat="1" applyFont="1" applyFill="1" applyBorder="1" applyAlignment="1">
      <alignment horizontal="center" vertical="center"/>
    </xf>
    <xf numFmtId="165" fontId="1" fillId="40" borderId="6" xfId="0" applyNumberFormat="1" applyFont="1" applyFill="1" applyBorder="1" applyAlignment="1">
      <alignment horizontal="center" vertical="center"/>
    </xf>
    <xf numFmtId="165" fontId="1" fillId="40" borderId="8" xfId="0" applyNumberFormat="1" applyFont="1" applyFill="1" applyBorder="1" applyAlignment="1">
      <alignment horizontal="center" vertical="center"/>
    </xf>
    <xf numFmtId="38" fontId="1" fillId="40" borderId="6" xfId="0" applyNumberFormat="1" applyFont="1" applyFill="1" applyBorder="1" applyAlignment="1">
      <alignment horizontal="center" vertical="center"/>
    </xf>
    <xf numFmtId="164" fontId="1" fillId="40" borderId="7" xfId="0" applyNumberFormat="1" applyFont="1" applyFill="1" applyBorder="1" applyAlignment="1">
      <alignment horizontal="center" vertical="center"/>
    </xf>
    <xf numFmtId="166" fontId="1" fillId="40" borderId="7" xfId="0" applyNumberFormat="1" applyFont="1" applyFill="1" applyBorder="1" applyAlignment="1">
      <alignment horizontal="center" vertical="center"/>
    </xf>
    <xf numFmtId="14" fontId="1" fillId="40" borderId="6" xfId="0" applyNumberFormat="1" applyFont="1" applyFill="1" applyBorder="1" applyAlignment="1">
      <alignment horizontal="center" vertical="center"/>
    </xf>
    <xf numFmtId="167" fontId="1" fillId="40" borderId="7" xfId="0" applyNumberFormat="1" applyFont="1" applyFill="1" applyBorder="1" applyAlignment="1">
      <alignment horizontal="center" vertical="center"/>
    </xf>
    <xf numFmtId="167" fontId="1" fillId="40" borderId="8" xfId="0" applyNumberFormat="1" applyFont="1" applyFill="1" applyBorder="1" applyAlignment="1">
      <alignment horizontal="center" vertical="center"/>
    </xf>
    <xf numFmtId="0" fontId="26" fillId="4" borderId="0" xfId="0" applyFont="1" applyFill="1" applyBorder="1" applyAlignment="1">
      <alignment horizontal="left"/>
    </xf>
    <xf numFmtId="170" fontId="26" fillId="4" borderId="0" xfId="0" applyNumberFormat="1" applyFont="1" applyFill="1" applyBorder="1" applyAlignment="1">
      <alignment horizontal="right"/>
    </xf>
    <xf numFmtId="168" fontId="26" fillId="4" borderId="0" xfId="0" applyNumberFormat="1" applyFont="1" applyFill="1" applyBorder="1" applyAlignment="1">
      <alignment horizontal="right"/>
    </xf>
    <xf numFmtId="11" fontId="26" fillId="4" borderId="0" xfId="0" quotePrefix="1" applyNumberFormat="1" applyFont="1" applyFill="1" applyBorder="1" applyAlignment="1">
      <alignment horizontal="left"/>
    </xf>
    <xf numFmtId="11" fontId="26" fillId="4" borderId="0" xfId="0" applyNumberFormat="1" applyFont="1" applyFill="1" applyBorder="1" applyAlignment="1">
      <alignment horizontal="left"/>
    </xf>
    <xf numFmtId="40" fontId="29" fillId="0" borderId="0" xfId="0" applyNumberFormat="1" applyFont="1" applyAlignment="1">
      <alignment horizontal="center" vertical="center"/>
    </xf>
    <xf numFmtId="40" fontId="30" fillId="0" borderId="0" xfId="0" applyNumberFormat="1" applyFont="1" applyAlignment="1">
      <alignment horizontal="center" vertical="center"/>
    </xf>
    <xf numFmtId="0" fontId="28" fillId="37" borderId="0" xfId="0" applyFont="1" applyFill="1" applyBorder="1" applyAlignment="1">
      <alignment horizontal="center" vertical="center"/>
    </xf>
    <xf numFmtId="165" fontId="28" fillId="37" borderId="0" xfId="0" applyNumberFormat="1" applyFont="1" applyFill="1" applyBorder="1" applyAlignment="1">
      <alignment horizontal="center" vertical="center"/>
    </xf>
    <xf numFmtId="14" fontId="28" fillId="37" borderId="0" xfId="0" applyNumberFormat="1" applyFont="1" applyFill="1" applyBorder="1" applyAlignment="1">
      <alignment horizontal="center" vertical="center"/>
    </xf>
    <xf numFmtId="3" fontId="28" fillId="37" borderId="0" xfId="0" applyNumberFormat="1" applyFont="1" applyFill="1" applyBorder="1" applyAlignment="1">
      <alignment horizontal="center" vertical="center"/>
    </xf>
    <xf numFmtId="40" fontId="28" fillId="37" borderId="0" xfId="0" applyNumberFormat="1" applyFont="1" applyFill="1" applyBorder="1" applyAlignment="1">
      <alignment horizontal="center" vertical="center"/>
    </xf>
    <xf numFmtId="164" fontId="28" fillId="37" borderId="0" xfId="0" applyNumberFormat="1" applyFont="1" applyFill="1" applyBorder="1" applyAlignment="1">
      <alignment horizontal="center" vertical="center"/>
    </xf>
    <xf numFmtId="166" fontId="28" fillId="37" borderId="0" xfId="0" applyNumberFormat="1" applyFont="1" applyFill="1" applyBorder="1" applyAlignment="1">
      <alignment horizontal="center" vertical="center"/>
    </xf>
    <xf numFmtId="167" fontId="28" fillId="37" borderId="0" xfId="0" applyNumberFormat="1" applyFont="1" applyFill="1" applyBorder="1" applyAlignment="1">
      <alignment horizontal="center" vertical="center"/>
    </xf>
    <xf numFmtId="38" fontId="28" fillId="37" borderId="0" xfId="0" applyNumberFormat="1" applyFont="1" applyFill="1" applyAlignment="1">
      <alignment horizontal="center" vertical="center"/>
    </xf>
    <xf numFmtId="40" fontId="28" fillId="37" borderId="0" xfId="0" applyNumberFormat="1" applyFont="1" applyFill="1" applyAlignment="1">
      <alignment horizontal="center" vertical="center"/>
    </xf>
    <xf numFmtId="164" fontId="28" fillId="37" borderId="0" xfId="0" applyNumberFormat="1" applyFont="1" applyFill="1" applyAlignment="1">
      <alignment horizontal="center" vertical="center"/>
    </xf>
    <xf numFmtId="166" fontId="28" fillId="37" borderId="0" xfId="0" applyNumberFormat="1" applyFont="1" applyFill="1" applyAlignment="1">
      <alignment horizontal="center" vertical="center"/>
    </xf>
    <xf numFmtId="0" fontId="1" fillId="41" borderId="15" xfId="0" applyFont="1" applyFill="1" applyBorder="1" applyAlignment="1">
      <alignment horizontal="center" vertical="center"/>
    </xf>
    <xf numFmtId="165" fontId="1" fillId="41" borderId="15" xfId="0" applyNumberFormat="1" applyFont="1" applyFill="1" applyBorder="1" applyAlignment="1">
      <alignment horizontal="center" vertical="center"/>
    </xf>
    <xf numFmtId="38" fontId="1" fillId="41" borderId="15" xfId="0" applyNumberFormat="1" applyFont="1" applyFill="1" applyBorder="1" applyAlignment="1">
      <alignment horizontal="center" vertical="center"/>
    </xf>
    <xf numFmtId="14" fontId="1" fillId="41" borderId="15" xfId="0" applyNumberFormat="1" applyFont="1" applyFill="1" applyBorder="1" applyAlignment="1">
      <alignment horizontal="center" vertical="center"/>
    </xf>
    <xf numFmtId="3" fontId="1" fillId="41" borderId="15" xfId="0" applyNumberFormat="1" applyFont="1" applyFill="1" applyBorder="1" applyAlignment="1">
      <alignment horizontal="center" vertical="center"/>
    </xf>
    <xf numFmtId="40" fontId="1" fillId="41" borderId="15" xfId="0" applyNumberFormat="1" applyFont="1" applyFill="1" applyBorder="1" applyAlignment="1">
      <alignment horizontal="center" vertical="center"/>
    </xf>
    <xf numFmtId="164" fontId="1" fillId="41" borderId="15" xfId="0" applyNumberFormat="1" applyFont="1" applyFill="1" applyBorder="1" applyAlignment="1">
      <alignment horizontal="center" vertical="center"/>
    </xf>
    <xf numFmtId="166" fontId="1" fillId="41" borderId="15" xfId="0" applyNumberFormat="1" applyFont="1" applyFill="1" applyBorder="1" applyAlignment="1">
      <alignment horizontal="center" vertical="center"/>
    </xf>
    <xf numFmtId="167" fontId="1" fillId="41" borderId="15" xfId="0" applyNumberFormat="1" applyFont="1" applyFill="1" applyBorder="1" applyAlignment="1">
      <alignment horizontal="center" vertical="center"/>
    </xf>
    <xf numFmtId="165" fontId="28" fillId="37" borderId="4" xfId="0" applyNumberFormat="1" applyFont="1" applyFill="1" applyBorder="1" applyAlignment="1">
      <alignment horizontal="center" vertical="center"/>
    </xf>
    <xf numFmtId="14" fontId="28" fillId="37" borderId="4" xfId="0" applyNumberFormat="1" applyFont="1" applyFill="1" applyBorder="1" applyAlignment="1">
      <alignment horizontal="center" vertical="center"/>
    </xf>
    <xf numFmtId="3" fontId="28" fillId="37" borderId="4" xfId="0" applyNumberFormat="1" applyFont="1" applyFill="1" applyBorder="1" applyAlignment="1">
      <alignment horizontal="center" vertical="center"/>
    </xf>
    <xf numFmtId="14" fontId="0" fillId="0" borderId="0" xfId="0" applyNumberFormat="1" applyBorder="1" applyAlignment="1">
      <alignment horizontal="center" vertical="center"/>
    </xf>
    <xf numFmtId="3" fontId="0" fillId="0" borderId="0" xfId="0" applyNumberFormat="1" applyBorder="1" applyAlignment="1">
      <alignment horizontal="center" vertical="center"/>
    </xf>
    <xf numFmtId="167" fontId="28" fillId="37" borderId="4" xfId="0" applyNumberFormat="1" applyFont="1" applyFill="1" applyBorder="1" applyAlignment="1">
      <alignment horizontal="center" vertical="center"/>
    </xf>
    <xf numFmtId="168" fontId="28" fillId="37" borderId="0" xfId="0" applyNumberFormat="1" applyFont="1" applyFill="1" applyBorder="1" applyAlignment="1">
      <alignment horizontal="center" vertical="center"/>
    </xf>
    <xf numFmtId="171" fontId="28" fillId="37" borderId="0" xfId="0" applyNumberFormat="1" applyFont="1" applyFill="1" applyBorder="1" applyAlignment="1">
      <alignment horizontal="center" vertical="center"/>
    </xf>
    <xf numFmtId="172" fontId="28" fillId="37" borderId="0" xfId="0" applyNumberFormat="1" applyFont="1" applyFill="1" applyAlignment="1">
      <alignment horizontal="center" vertical="center"/>
    </xf>
    <xf numFmtId="173" fontId="28" fillId="37" borderId="0" xfId="0" applyNumberFormat="1" applyFont="1" applyFill="1" applyAlignment="1">
      <alignment horizontal="center" vertical="center"/>
    </xf>
    <xf numFmtId="17" fontId="28" fillId="37" borderId="0" xfId="0" applyNumberFormat="1" applyFont="1" applyFill="1" applyAlignment="1">
      <alignment horizontal="center" vertical="center"/>
    </xf>
    <xf numFmtId="170" fontId="28" fillId="37" borderId="0" xfId="0" applyNumberFormat="1" applyFont="1" applyFill="1" applyAlignment="1">
      <alignment horizontal="center" vertical="center"/>
    </xf>
    <xf numFmtId="174" fontId="28" fillId="37" borderId="0" xfId="0" applyNumberFormat="1" applyFont="1" applyFill="1" applyBorder="1" applyAlignment="1">
      <alignment horizontal="center" vertical="center"/>
    </xf>
    <xf numFmtId="40" fontId="1" fillId="40" borderId="4" xfId="0" applyNumberFormat="1" applyFont="1" applyFill="1" applyBorder="1" applyAlignment="1">
      <alignment horizontal="center" vertical="center"/>
    </xf>
    <xf numFmtId="0" fontId="0" fillId="40" borderId="4" xfId="0" applyFill="1" applyBorder="1" applyAlignment="1">
      <alignment horizontal="center" vertical="center"/>
    </xf>
    <xf numFmtId="165" fontId="1" fillId="40" borderId="4" xfId="0" applyNumberFormat="1" applyFont="1" applyFill="1" applyBorder="1" applyAlignment="1">
      <alignment horizontal="center" vertical="center"/>
    </xf>
    <xf numFmtId="0" fontId="0" fillId="40" borderId="15" xfId="0" applyFill="1" applyBorder="1" applyAlignment="1">
      <alignment horizontal="center" vertical="center"/>
    </xf>
    <xf numFmtId="0" fontId="0" fillId="0" borderId="0" xfId="0" applyAlignment="1">
      <alignment horizontal="center" vertical="center"/>
    </xf>
    <xf numFmtId="0" fontId="5" fillId="4" borderId="0" xfId="0" quotePrefix="1" applyFont="1" applyFill="1"/>
    <xf numFmtId="176" fontId="5" fillId="4" borderId="0" xfId="45" applyNumberFormat="1" applyFont="1" applyFill="1" applyBorder="1" applyAlignment="1"/>
    <xf numFmtId="43" fontId="5" fillId="4" borderId="0" xfId="45" applyFont="1" applyFill="1" applyBorder="1" applyAlignment="1"/>
    <xf numFmtId="40" fontId="1" fillId="40" borderId="4" xfId="0" applyNumberFormat="1" applyFont="1" applyFill="1" applyBorder="1" applyAlignment="1">
      <alignment horizontal="center" vertical="center"/>
    </xf>
    <xf numFmtId="0" fontId="0" fillId="40" borderId="4" xfId="0" applyFill="1" applyBorder="1" applyAlignment="1">
      <alignment horizontal="center" vertical="center"/>
    </xf>
    <xf numFmtId="0" fontId="0" fillId="40" borderId="5" xfId="0" applyFill="1" applyBorder="1" applyAlignment="1">
      <alignment horizontal="center" vertical="center"/>
    </xf>
    <xf numFmtId="165" fontId="1" fillId="40" borderId="4" xfId="0" applyNumberFormat="1" applyFont="1" applyFill="1" applyBorder="1" applyAlignment="1">
      <alignment horizontal="center" vertical="center"/>
    </xf>
    <xf numFmtId="14" fontId="1" fillId="40" borderId="14" xfId="0" applyNumberFormat="1" applyFont="1" applyFill="1" applyBorder="1" applyAlignment="1">
      <alignment horizontal="center" vertical="center"/>
    </xf>
    <xf numFmtId="0" fontId="0" fillId="40" borderId="15" xfId="0" applyFill="1" applyBorder="1" applyAlignment="1">
      <alignment horizontal="center" vertical="center"/>
    </xf>
    <xf numFmtId="0" fontId="0" fillId="40" borderId="16" xfId="0" applyFill="1" applyBorder="1" applyAlignment="1">
      <alignment horizontal="center" vertical="center"/>
    </xf>
    <xf numFmtId="165" fontId="1" fillId="40" borderId="14" xfId="0" applyNumberFormat="1"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vertical="center"/>
    </xf>
    <xf numFmtId="14" fontId="1" fillId="38" borderId="14" xfId="0" applyNumberFormat="1" applyFont="1" applyFill="1" applyBorder="1" applyAlignment="1">
      <alignment horizontal="center" vertical="center"/>
    </xf>
    <xf numFmtId="0" fontId="0" fillId="38" borderId="15" xfId="0" applyFill="1" applyBorder="1" applyAlignment="1">
      <alignment horizontal="center" vertical="center"/>
    </xf>
    <xf numFmtId="0" fontId="0" fillId="38" borderId="16" xfId="0" applyFill="1" applyBorder="1" applyAlignment="1">
      <alignment horizontal="center" vertical="center"/>
    </xf>
    <xf numFmtId="165" fontId="1" fillId="38" borderId="14" xfId="0" applyNumberFormat="1" applyFont="1" applyFill="1" applyBorder="1" applyAlignment="1">
      <alignment horizontal="center" vertical="center"/>
    </xf>
    <xf numFmtId="40" fontId="1" fillId="38" borderId="4" xfId="0" applyNumberFormat="1" applyFont="1" applyFill="1" applyBorder="1" applyAlignment="1">
      <alignment horizontal="center" vertical="center"/>
    </xf>
    <xf numFmtId="0" fontId="0" fillId="38" borderId="4" xfId="0" applyFill="1" applyBorder="1" applyAlignment="1">
      <alignment horizontal="center" vertical="center"/>
    </xf>
    <xf numFmtId="0" fontId="0" fillId="38" borderId="5" xfId="0" applyFill="1" applyBorder="1" applyAlignment="1">
      <alignment horizontal="center" vertical="center"/>
    </xf>
    <xf numFmtId="165" fontId="1" fillId="38" borderId="4" xfId="0" applyNumberFormat="1" applyFont="1" applyFill="1" applyBorder="1" applyAlignment="1">
      <alignment horizontal="center" vertical="center"/>
    </xf>
    <xf numFmtId="11" fontId="0" fillId="4" borderId="0" xfId="0" applyNumberFormat="1" applyFill="1"/>
    <xf numFmtId="40" fontId="31" fillId="0" borderId="0" xfId="0" applyNumberFormat="1" applyFont="1" applyAlignment="1">
      <alignment horizontal="center" vertical="center"/>
    </xf>
    <xf numFmtId="0" fontId="28" fillId="37" borderId="37" xfId="0" applyFont="1" applyFill="1" applyBorder="1" applyAlignment="1">
      <alignment horizontal="center" vertical="center"/>
    </xf>
    <xf numFmtId="0" fontId="0" fillId="0" borderId="38" xfId="0" applyBorder="1" applyAlignment="1">
      <alignment horizontal="center" vertical="center"/>
    </xf>
    <xf numFmtId="0" fontId="28" fillId="37" borderId="38" xfId="0" applyFont="1" applyFill="1" applyBorder="1" applyAlignment="1">
      <alignment horizontal="center" vertical="center"/>
    </xf>
    <xf numFmtId="0" fontId="1" fillId="41" borderId="36" xfId="0" applyFont="1" applyFill="1" applyBorder="1" applyAlignment="1">
      <alignment horizontal="center" vertical="center"/>
    </xf>
    <xf numFmtId="40" fontId="28" fillId="37" borderId="33" xfId="0" applyNumberFormat="1" applyFont="1" applyFill="1" applyBorder="1" applyAlignment="1">
      <alignment horizontal="center" vertical="center"/>
    </xf>
    <xf numFmtId="40" fontId="0" fillId="0" borderId="34" xfId="0" applyNumberFormat="1" applyBorder="1" applyAlignment="1">
      <alignment horizontal="center" vertical="center"/>
    </xf>
    <xf numFmtId="40" fontId="28" fillId="37" borderId="34" xfId="0" applyNumberFormat="1" applyFont="1" applyFill="1" applyBorder="1" applyAlignment="1">
      <alignment horizontal="center" vertical="center"/>
    </xf>
    <xf numFmtId="40" fontId="1" fillId="41" borderId="35" xfId="0" applyNumberFormat="1" applyFont="1" applyFill="1" applyBorder="1" applyAlignment="1">
      <alignment horizontal="center" vertical="center"/>
    </xf>
    <xf numFmtId="165" fontId="28" fillId="37" borderId="31" xfId="0" applyNumberFormat="1" applyFont="1" applyFill="1" applyBorder="1" applyAlignment="1">
      <alignment horizontal="center" vertical="center"/>
    </xf>
    <xf numFmtId="165" fontId="0" fillId="0" borderId="32" xfId="0" applyNumberFormat="1" applyBorder="1" applyAlignment="1">
      <alignment horizontal="center" vertical="center"/>
    </xf>
    <xf numFmtId="165" fontId="28" fillId="37" borderId="32" xfId="0" applyNumberFormat="1" applyFont="1" applyFill="1" applyBorder="1" applyAlignment="1">
      <alignment horizontal="center" vertical="center"/>
    </xf>
    <xf numFmtId="165" fontId="1" fillId="41" borderId="30" xfId="0" applyNumberFormat="1" applyFont="1" applyFill="1" applyBorder="1" applyAlignment="1">
      <alignment horizontal="center" vertical="center"/>
    </xf>
    <xf numFmtId="165" fontId="28" fillId="37" borderId="33" xfId="0" applyNumberFormat="1" applyFont="1" applyFill="1" applyBorder="1" applyAlignment="1">
      <alignment horizontal="center" vertical="center"/>
    </xf>
    <xf numFmtId="165" fontId="0" fillId="0" borderId="34" xfId="0" applyNumberFormat="1" applyBorder="1" applyAlignment="1">
      <alignment horizontal="center" vertical="center"/>
    </xf>
    <xf numFmtId="165" fontId="28" fillId="37" borderId="34" xfId="0" applyNumberFormat="1" applyFont="1" applyFill="1" applyBorder="1" applyAlignment="1">
      <alignment horizontal="center" vertical="center"/>
    </xf>
    <xf numFmtId="165" fontId="1" fillId="41" borderId="35" xfId="0" applyNumberFormat="1" applyFont="1" applyFill="1" applyBorder="1" applyAlignment="1">
      <alignment horizontal="center" vertical="center"/>
    </xf>
    <xf numFmtId="14" fontId="28" fillId="37" borderId="31" xfId="0" applyNumberFormat="1" applyFont="1" applyFill="1" applyBorder="1" applyAlignment="1">
      <alignment horizontal="center" vertical="center"/>
    </xf>
    <xf numFmtId="14" fontId="0" fillId="0" borderId="32" xfId="0" applyNumberFormat="1" applyBorder="1" applyAlignment="1">
      <alignment horizontal="center" vertical="center"/>
    </xf>
    <xf numFmtId="14" fontId="28" fillId="37" borderId="32" xfId="0" applyNumberFormat="1" applyFont="1" applyFill="1" applyBorder="1" applyAlignment="1">
      <alignment horizontal="center" vertical="center"/>
    </xf>
    <xf numFmtId="14" fontId="1" fillId="41" borderId="30" xfId="0" applyNumberFormat="1" applyFont="1" applyFill="1" applyBorder="1" applyAlignment="1">
      <alignment horizontal="center" vertical="center"/>
    </xf>
    <xf numFmtId="167" fontId="28" fillId="37" borderId="39" xfId="0" applyNumberFormat="1" applyFont="1" applyFill="1" applyBorder="1" applyAlignment="1">
      <alignment horizontal="center" vertical="center"/>
    </xf>
    <xf numFmtId="167" fontId="0" fillId="0" borderId="40" xfId="0" applyNumberFormat="1" applyBorder="1" applyAlignment="1">
      <alignment horizontal="center" vertical="center"/>
    </xf>
    <xf numFmtId="167" fontId="28" fillId="37" borderId="40" xfId="0" applyNumberFormat="1" applyFont="1" applyFill="1" applyBorder="1" applyAlignment="1">
      <alignment horizontal="center" vertical="center"/>
    </xf>
    <xf numFmtId="167" fontId="1" fillId="41" borderId="41" xfId="0" applyNumberFormat="1" applyFont="1" applyFill="1" applyBorder="1" applyAlignment="1">
      <alignment horizontal="center" vertical="center"/>
    </xf>
    <xf numFmtId="168" fontId="28" fillId="37" borderId="34" xfId="0" applyNumberFormat="1" applyFont="1" applyFill="1" applyBorder="1" applyAlignment="1">
      <alignment horizontal="center" vertical="center"/>
    </xf>
    <xf numFmtId="172" fontId="28" fillId="37" borderId="34" xfId="0" applyNumberFormat="1" applyFont="1" applyFill="1" applyBorder="1" applyAlignment="1">
      <alignment horizontal="center" vertical="center"/>
    </xf>
    <xf numFmtId="168" fontId="28" fillId="37" borderId="32" xfId="0" applyNumberFormat="1" applyFont="1" applyFill="1" applyBorder="1" applyAlignment="1">
      <alignment horizontal="center" vertical="center"/>
    </xf>
    <xf numFmtId="171" fontId="28" fillId="37" borderId="32" xfId="0" applyNumberFormat="1" applyFont="1" applyFill="1" applyBorder="1" applyAlignment="1">
      <alignment horizontal="center" vertical="center"/>
    </xf>
    <xf numFmtId="174" fontId="28" fillId="37" borderId="40" xfId="0" applyNumberFormat="1" applyFont="1" applyFill="1" applyBorder="1" applyAlignment="1">
      <alignment horizontal="center" vertical="center"/>
    </xf>
    <xf numFmtId="0" fontId="1" fillId="40" borderId="36" xfId="0" applyFont="1" applyFill="1" applyBorder="1" applyAlignment="1">
      <alignment horizontal="center" vertical="center"/>
    </xf>
    <xf numFmtId="0" fontId="1" fillId="40" borderId="15" xfId="0" applyFont="1" applyFill="1" applyBorder="1" applyAlignment="1">
      <alignment horizontal="center" vertical="center"/>
    </xf>
    <xf numFmtId="165" fontId="1" fillId="40" borderId="15" xfId="0" applyNumberFormat="1" applyFont="1" applyFill="1" applyBorder="1" applyAlignment="1">
      <alignment horizontal="center" vertical="center"/>
    </xf>
    <xf numFmtId="38" fontId="1" fillId="40" borderId="15" xfId="0" applyNumberFormat="1" applyFont="1" applyFill="1" applyBorder="1" applyAlignment="1">
      <alignment horizontal="center" vertical="center"/>
    </xf>
    <xf numFmtId="14" fontId="1" fillId="40" borderId="15" xfId="0" applyNumberFormat="1" applyFont="1" applyFill="1" applyBorder="1" applyAlignment="1">
      <alignment horizontal="center" vertical="center"/>
    </xf>
    <xf numFmtId="3" fontId="1" fillId="40" borderId="15" xfId="0" applyNumberFormat="1" applyFont="1" applyFill="1" applyBorder="1" applyAlignment="1">
      <alignment horizontal="center" vertical="center"/>
    </xf>
    <xf numFmtId="40" fontId="1" fillId="40" borderId="35" xfId="0" applyNumberFormat="1" applyFont="1" applyFill="1" applyBorder="1" applyAlignment="1">
      <alignment horizontal="center" vertical="center"/>
    </xf>
    <xf numFmtId="40" fontId="1" fillId="40" borderId="15" xfId="0" applyNumberFormat="1" applyFont="1" applyFill="1" applyBorder="1" applyAlignment="1">
      <alignment horizontal="center" vertical="center"/>
    </xf>
    <xf numFmtId="165" fontId="1" fillId="40" borderId="30" xfId="0" applyNumberFormat="1" applyFont="1" applyFill="1" applyBorder="1" applyAlignment="1">
      <alignment horizontal="center" vertical="center"/>
    </xf>
    <xf numFmtId="165" fontId="1" fillId="40" borderId="35" xfId="0" applyNumberFormat="1" applyFont="1" applyFill="1" applyBorder="1" applyAlignment="1">
      <alignment horizontal="center" vertical="center"/>
    </xf>
    <xf numFmtId="164" fontId="1" fillId="40" borderId="15" xfId="0" applyNumberFormat="1" applyFont="1" applyFill="1" applyBorder="1" applyAlignment="1">
      <alignment horizontal="center" vertical="center"/>
    </xf>
    <xf numFmtId="166" fontId="1" fillId="40" borderId="15" xfId="0" applyNumberFormat="1" applyFont="1" applyFill="1" applyBorder="1" applyAlignment="1">
      <alignment horizontal="center" vertical="center"/>
    </xf>
    <xf numFmtId="14" fontId="1" fillId="40" borderId="30" xfId="0" applyNumberFormat="1" applyFont="1" applyFill="1" applyBorder="1" applyAlignment="1">
      <alignment horizontal="center" vertical="center"/>
    </xf>
    <xf numFmtId="167" fontId="1" fillId="40" borderId="15" xfId="0" applyNumberFormat="1" applyFont="1" applyFill="1" applyBorder="1" applyAlignment="1">
      <alignment horizontal="center" vertical="center"/>
    </xf>
    <xf numFmtId="167" fontId="1" fillId="40" borderId="41" xfId="0" applyNumberFormat="1" applyFont="1" applyFill="1" applyBorder="1" applyAlignment="1">
      <alignment horizontal="center" vertical="center"/>
    </xf>
  </cellXfs>
  <cellStyles count="46">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Bad" xfId="10" builtinId="27" customBuiltin="1"/>
    <cellStyle name="Calculation" xfId="14" builtinId="22" customBuiltin="1"/>
    <cellStyle name="Check Cell" xfId="16" builtinId="23" customBuiltin="1"/>
    <cellStyle name="Comma" xfId="45" builtinId="3"/>
    <cellStyle name="Explanatory Text" xfId="19"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2" builtinId="20" customBuiltin="1"/>
    <cellStyle name="Linked Cell" xfId="15" builtinId="24" customBuiltin="1"/>
    <cellStyle name="Neutral" xfId="11" builtinId="28" customBuiltin="1"/>
    <cellStyle name="Normal" xfId="0" builtinId="0"/>
    <cellStyle name="Normal 330" xfId="3" xr:uid="{00000000-0005-0000-0000-000026000000}"/>
    <cellStyle name="Normal 331 2" xfId="2" xr:uid="{00000000-0005-0000-0000-000027000000}"/>
    <cellStyle name="Normal 554" xfId="1" xr:uid="{00000000-0005-0000-0000-000028000000}"/>
    <cellStyle name="Note" xfId="18" builtinId="10" customBuiltin="1"/>
    <cellStyle name="Output" xfId="13" builtinId="21" customBuiltin="1"/>
    <cellStyle name="Title" xfId="4" builtinId="15" customBuiltin="1"/>
    <cellStyle name="Total" xfId="20" builtinId="25" customBuiltin="1"/>
    <cellStyle name="Warning Text" xfId="17" builtinId="11" customBuiltin="1"/>
  </cellStyles>
  <dxfs count="2">
    <dxf>
      <fill>
        <patternFill>
          <fgColor indexed="64"/>
          <bgColor theme="0" tint="-0.14993743705557422"/>
        </patternFill>
      </fill>
    </dxf>
    <dxf>
      <fill>
        <patternFill>
          <fgColor indexed="64"/>
          <bgColor theme="0" tint="-0.14993743705557422"/>
        </patternFill>
      </fill>
    </dxf>
  </dxfs>
  <tableStyles count="0" defaultTableStyle="TableStyleMedium9" defaultPivotStyle="PivotStyleLight16"/>
  <colors>
    <mruColors>
      <color rgb="FF16365C"/>
      <color rgb="FFEEECE1"/>
      <color rgb="FF273B69"/>
      <color rgb="FF2B5395"/>
      <color rgb="FF367A63"/>
      <color rgb="FF008080"/>
      <color rgb="FF3A82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N/A</v>
        <stp/>
        <stp>BDP|12222457726728087685</stp>
        <tr r="BO23" s="3"/>
      </tp>
      <tp t="s">
        <v>#N/A N/A</v>
        <stp/>
        <stp>BDP|12760563547078698191</stp>
        <tr r="BE32" s="3"/>
      </tp>
      <tp t="s">
        <v>#N/A N/A</v>
        <stp/>
        <stp>BDP|10665830669621319565</stp>
        <tr r="BJ39" s="3"/>
      </tp>
      <tp t="s">
        <v>#N/A N/A</v>
        <stp/>
        <stp>BDP|13389751294015204283</stp>
        <tr r="AC25" s="3"/>
      </tp>
      <tp t="s">
        <v>#N/A N/A</v>
        <stp/>
        <stp>BDP|11168138543778815610</stp>
        <tr r="BD23" s="3"/>
      </tp>
      <tp t="s">
        <v>#N/A N/A</v>
        <stp/>
        <stp>BDP|15681321636969902632</stp>
        <tr r="BF18" s="3"/>
      </tp>
      <tp t="s">
        <v>#N/A N/A</v>
        <stp/>
        <stp>BDP|14908041680407743121</stp>
        <tr r="AI52" s="3"/>
      </tp>
      <tp t="s">
        <v>#N/A N/A</v>
        <stp/>
        <stp>BDP|15184765480208864846</stp>
        <tr r="BI51" s="3"/>
      </tp>
      <tp t="s">
        <v>#N/A N/A</v>
        <stp/>
        <stp>BDP|17979256124228202513</stp>
        <tr r="AZ63" s="3"/>
      </tp>
      <tp t="s">
        <v>#N/A N/A</v>
        <stp/>
        <stp>BDP|17711463184048640998</stp>
        <tr r="X55" s="3"/>
      </tp>
      <tp t="s">
        <v>#N/A N/A</v>
        <stp/>
        <stp>BDP|18249920459268625653</stp>
        <tr r="AB33" s="3"/>
      </tp>
      <tp t="s">
        <v>#N/A N/A</v>
        <stp/>
        <stp>BDP|16949952650871764163</stp>
        <tr r="AI68" s="3"/>
      </tp>
      <tp t="s">
        <v>#N/A N/A</v>
        <stp/>
        <stp>BDP|13124051818131290935</stp>
        <tr r="BH36" s="3"/>
      </tp>
      <tp t="s">
        <v>#N/A N/A</v>
        <stp/>
        <stp>BDP|13277535089850522404</stp>
        <tr r="AZ35" s="3"/>
      </tp>
      <tp t="s">
        <v>#N/A N/A</v>
        <stp/>
        <stp>BDP|16340983445567349604</stp>
        <tr r="BO52" s="3"/>
      </tp>
      <tp t="s">
        <v>#N/A N/A</v>
        <stp/>
        <stp>BDP|17792118383973880702</stp>
        <tr r="BM41" s="3"/>
      </tp>
      <tp t="s">
        <v>#N/A N/A</v>
        <stp/>
        <stp>BDP|16024919942739880865</stp>
        <tr r="AL45" s="3"/>
      </tp>
      <tp t="s">
        <v>#N/A N/A</v>
        <stp/>
        <stp>BDP|13866531361199749303</stp>
        <tr r="BC18" s="3"/>
      </tp>
      <tp t="s">
        <v>#N/A N/A</v>
        <stp/>
        <stp>BDP|10571354952015812975</stp>
        <tr r="Z35" s="3"/>
      </tp>
      <tp t="s">
        <v>#N/A N/A</v>
        <stp/>
        <stp>BDP|14285563188865175603</stp>
        <tr r="AU31" s="3"/>
      </tp>
      <tp t="s">
        <v>#N/A N/A</v>
        <stp/>
        <stp>BDP|11473324986103455391</stp>
        <tr r="AL56" s="3"/>
      </tp>
      <tp t="s">
        <v>#N/A N/A</v>
        <stp/>
        <stp>BDP|12767969599449074158</stp>
        <tr r="AF42" s="3"/>
      </tp>
      <tp t="s">
        <v>#N/A N/A</v>
        <stp/>
        <stp>BDP|11430239272679158785</stp>
        <tr r="Z29" s="3"/>
      </tp>
      <tp t="s">
        <v>#N/A N/A</v>
        <stp/>
        <stp>BDP|16081589449008594588</stp>
        <tr r="BQ69" s="3"/>
      </tp>
      <tp t="s">
        <v>#N/A N/A</v>
        <stp/>
        <stp>BDP|10257644299290457545</stp>
        <tr r="BF50" s="3"/>
      </tp>
      <tp t="s">
        <v>#N/A N/A</v>
        <stp/>
        <stp>BDP|16559259598385357249</stp>
        <tr r="AI27" s="3"/>
      </tp>
      <tp t="s">
        <v>#N/A N/A</v>
        <stp/>
        <stp>BDP|15949415459727947972</stp>
        <tr r="AN22" s="3"/>
      </tp>
      <tp t="s">
        <v>#N/A N/A</v>
        <stp/>
        <stp>BDP|11580691296965420115</stp>
        <tr r="BF25" s="3"/>
      </tp>
      <tp t="s">
        <v>#N/A N/A</v>
        <stp/>
        <stp>BDP|12166239078529331471</stp>
        <tr r="BE52" s="3"/>
      </tp>
      <tp t="s">
        <v>#N/A N/A</v>
        <stp/>
        <stp>BDP|12081845725274813671</stp>
        <tr r="AV26" s="3"/>
      </tp>
      <tp t="s">
        <v>#N/A N/A</v>
        <stp/>
        <stp>BDP|14315479394840685389</stp>
        <tr r="W57" s="3"/>
      </tp>
      <tp t="s">
        <v>#N/A N/A</v>
        <stp/>
        <stp>BDP|18226279436935447697</stp>
        <tr r="AN26" s="3"/>
      </tp>
      <tp t="s">
        <v>#N/A N/A</v>
        <stp/>
        <stp>BDP|18325379736453228114</stp>
        <tr r="AV24" s="3"/>
      </tp>
      <tp t="s">
        <v>#N/A N/A</v>
        <stp/>
        <stp>BDP|12169306781947031416</stp>
        <tr r="BC21" s="3"/>
      </tp>
      <tp t="s">
        <v>#N/A N/A</v>
        <stp/>
        <stp>BDP|14033802371034189519</stp>
        <tr r="AL36" s="3"/>
      </tp>
      <tp t="s">
        <v>#N/A N/A</v>
        <stp/>
        <stp>BDP|12406860491039645042</stp>
        <tr r="BI36" s="3"/>
      </tp>
      <tp t="s">
        <v>#N/A N/A</v>
        <stp/>
        <stp>BDP|10071443794375170204</stp>
        <tr r="BL50" s="3"/>
      </tp>
      <tp t="s">
        <v>#N/A N/A</v>
        <stp/>
        <stp>BDP|15743728547175203906</stp>
        <tr r="AC27" s="3"/>
      </tp>
      <tp t="s">
        <v>#N/A N/A</v>
        <stp/>
        <stp>BDP|13996147785047160791</stp>
        <tr r="BK19" s="3"/>
      </tp>
      <tp t="s">
        <v>#N/A N/A</v>
        <stp/>
        <stp>BDP|16733929902912624710</stp>
        <tr r="AR28" s="3"/>
      </tp>
      <tp t="s">
        <v>#N/A N/A</v>
        <stp/>
        <stp>BDP|17762636977348335400</stp>
        <tr r="AV37" s="3"/>
      </tp>
      <tp t="s">
        <v>#N/A N/A</v>
        <stp/>
        <stp>BDP|11027577065889578141</stp>
        <tr r="AZ54" s="3"/>
      </tp>
      <tp t="s">
        <v>#N/A N/A</v>
        <stp/>
        <stp>BDP|15629163767850005843</stp>
        <tr r="BM53" s="3"/>
      </tp>
      <tp t="s">
        <v>#N/A N/A</v>
        <stp/>
        <stp>BDP|15718835476305848599</stp>
        <tr r="BJ42" s="3"/>
      </tp>
      <tp t="s">
        <v>#N/A N/A</v>
        <stp/>
        <stp>BDP|17881945040736785688</stp>
        <tr r="BB15" s="3"/>
      </tp>
      <tp t="s">
        <v>#N/A N/A</v>
        <stp/>
        <stp>BDP|15011295708894439960</stp>
        <tr r="AF53" s="3"/>
      </tp>
      <tp t="s">
        <v>#N/A N/A</v>
        <stp/>
        <stp>BDP|15328926522111421543</stp>
        <tr r="AC38" s="3"/>
      </tp>
      <tp t="s">
        <v>#N/A N/A</v>
        <stp/>
        <stp>BDP|11178444299813675586</stp>
        <tr r="AJ60" s="3"/>
      </tp>
      <tp t="s">
        <v>#N/A N/A</v>
        <stp/>
        <stp>BDP|10306180797953926171</stp>
        <tr r="Z56" s="3"/>
      </tp>
      <tp t="s">
        <v>#N/A N/A</v>
        <stp/>
        <stp>BDP|18061436832536756348</stp>
        <tr r="AL47" s="3"/>
      </tp>
      <tp t="s">
        <v>#N/A N/A</v>
        <stp/>
        <stp>BDP|18081326240281832487</stp>
        <tr r="BQ40" s="3"/>
      </tp>
      <tp t="s">
        <v>#N/A N/A</v>
        <stp/>
        <stp>BDP|17958326988456894090</stp>
        <tr r="V40" s="3"/>
      </tp>
      <tp t="s">
        <v>#N/A N/A</v>
        <stp/>
        <stp>BDP|10638531897175210320</stp>
        <tr r="AO60" s="3"/>
      </tp>
      <tp t="s">
        <v>#N/A N/A</v>
        <stp/>
        <stp>BDP|14686459127509137175</stp>
        <tr r="AG67" s="3"/>
      </tp>
      <tp t="s">
        <v>#N/A N/A</v>
        <stp/>
        <stp>BDP|16248143493284325047</stp>
        <tr r="AI38" s="3"/>
      </tp>
      <tp t="s">
        <v>#N/A N/A</v>
        <stp/>
        <stp>BDP|12979664341729933351</stp>
        <tr r="U27" s="3"/>
      </tp>
      <tp t="s">
        <v>#N/A N/A</v>
        <stp/>
        <stp>BDP|13777414265363094862</stp>
        <tr r="AO63" s="3"/>
      </tp>
      <tp t="s">
        <v>#N/A N/A</v>
        <stp/>
        <stp>BDP|14779266882911026567</stp>
        <tr r="AQ68" s="3"/>
      </tp>
      <tp t="s">
        <v>#N/A N/A</v>
        <stp/>
        <stp>BDP|15619460681227583400</stp>
        <tr r="Y15" s="3"/>
      </tp>
      <tp t="s">
        <v>#N/A N/A</v>
        <stp/>
        <stp>BDP|10545674784743242703</stp>
        <tr r="BN60" s="3"/>
      </tp>
      <tp t="s">
        <v>#N/A N/A</v>
        <stp/>
        <stp>BDP|12235414623796079847</stp>
        <tr r="AR65" s="3"/>
      </tp>
      <tp t="s">
        <v>#N/A N/A</v>
        <stp/>
        <stp>BDP|16582342830119144548</stp>
        <tr r="AO23" s="3"/>
      </tp>
      <tp t="s">
        <v>#N/A N/A</v>
        <stp/>
        <stp>BDP|17113338347973647973</stp>
        <tr r="AH39" s="3"/>
      </tp>
      <tp t="s">
        <v>#N/A N/A</v>
        <stp/>
        <stp>BDP|12059113367139322611</stp>
        <tr r="AN58" s="3"/>
      </tp>
      <tp t="s">
        <v>#N/A N/A</v>
        <stp/>
        <stp>BDP|14972012599004486327</stp>
        <tr r="BF54" s="3"/>
      </tp>
      <tp t="s">
        <v>#N/A N/A</v>
        <stp/>
        <stp>BDP|14496498755847713881</stp>
        <tr r="Y30" s="3"/>
      </tp>
      <tp t="s">
        <v>#N/A N/A</v>
        <stp/>
        <stp>BDP|17290011474319534356</stp>
        <tr r="Y31" s="3"/>
      </tp>
      <tp t="s">
        <v>#N/A N/A</v>
        <stp/>
        <stp>BDP|10788710809115879815</stp>
        <tr r="AY53" s="3"/>
      </tp>
      <tp t="s">
        <v>#N/A N/A</v>
        <stp/>
        <stp>BDP|12696210171748773572</stp>
        <tr r="BK51" s="3"/>
      </tp>
      <tp t="s">
        <v>#N/A N/A</v>
        <stp/>
        <stp>BDP|16270795388237681437</stp>
        <tr r="AS56" s="3"/>
      </tp>
      <tp t="s">
        <v>#N/A N/A</v>
        <stp/>
        <stp>BDP|13403716587813350579</stp>
        <tr r="BN23" s="3"/>
      </tp>
      <tp t="s">
        <v>#N/A N/A</v>
        <stp/>
        <stp>BDP|13031503554770326912</stp>
        <tr r="BO56" s="3"/>
      </tp>
      <tp t="s">
        <v>#N/A N/A</v>
        <stp/>
        <stp>BDP|11495694202145040966</stp>
        <tr r="AV15" s="3"/>
      </tp>
      <tp t="s">
        <v>#N/A N/A</v>
        <stp/>
        <stp>BDP|11233996427966639733</stp>
        <tr r="BF36" s="3"/>
      </tp>
      <tp t="s">
        <v>#N/A N/A</v>
        <stp/>
        <stp>BDP|16957356583174543234</stp>
        <tr r="AA26" s="3"/>
      </tp>
      <tp t="s">
        <v>#N/A N/A</v>
        <stp/>
        <stp>BDP|15627280640439432130</stp>
        <tr r="X18" s="3"/>
      </tp>
      <tp t="s">
        <v>#N/A N/A</v>
        <stp/>
        <stp>BDP|17993976237006988093</stp>
        <tr r="AZ62" s="3"/>
      </tp>
      <tp t="s">
        <v>#N/A N/A</v>
        <stp/>
        <stp>BDP|16567683783511315258</stp>
        <tr r="AC15" s="3"/>
      </tp>
      <tp t="s">
        <v>#N/A N/A</v>
        <stp/>
        <stp>BDP|13486341989490105302</stp>
        <tr r="BH29" s="3"/>
      </tp>
      <tp t="s">
        <v>#N/A N/A</v>
        <stp/>
        <stp>BDP|17405026832088984750</stp>
        <tr r="AU16" s="3"/>
      </tp>
      <tp t="s">
        <v>#N/A N/A</v>
        <stp/>
        <stp>BDP|17195562899810765014</stp>
        <tr r="AT29" s="3"/>
      </tp>
      <tp t="s">
        <v>#N/A N/A</v>
        <stp/>
        <stp>BDP|13166323093460014280</stp>
        <tr r="BL37" s="3"/>
      </tp>
      <tp t="s">
        <v>#N/A N/A</v>
        <stp/>
        <stp>BDP|16796045220428278798</stp>
        <tr r="BO35" s="3"/>
      </tp>
      <tp t="s">
        <v>#N/A N/A</v>
        <stp/>
        <stp>BDP|15405394793737662335</stp>
        <tr r="AR50" s="3"/>
      </tp>
      <tp t="s">
        <v>#N/A N/A</v>
        <stp/>
        <stp>BDP|10734443687981726697</stp>
        <tr r="AX37" s="3"/>
      </tp>
      <tp t="s">
        <v>#N/A N/A</v>
        <stp/>
        <stp>BDP|18418492506223424450</stp>
        <tr r="AM59" s="3"/>
      </tp>
      <tp t="s">
        <v>#N/A N/A</v>
        <stp/>
        <stp>BDP|17016596615561580945</stp>
        <tr r="AR64" s="3"/>
      </tp>
      <tp t="s">
        <v>#N/A N/A</v>
        <stp/>
        <stp>BDP|11296664583486831227</stp>
        <tr r="AA31" s="3"/>
      </tp>
      <tp t="s">
        <v>#N/A N/A</v>
        <stp/>
        <stp>BDP|12855971348370922439</stp>
        <tr r="BF47" s="3"/>
      </tp>
      <tp t="s">
        <v>#N/A N/A</v>
        <stp/>
        <stp>BDP|10315379399792781371</stp>
        <tr r="AC29" s="3"/>
      </tp>
      <tp t="s">
        <v>#N/A N/A</v>
        <stp/>
        <stp>BDP|13157543429256724960</stp>
        <tr r="AT55" s="3"/>
      </tp>
      <tp t="s">
        <v>#N/A N/A</v>
        <stp/>
        <stp>BDP|15090887772658336950</stp>
        <tr r="AI20" s="3"/>
      </tp>
      <tp t="s">
        <v>#N/A N/A</v>
        <stp/>
        <stp>BDP|10455697218319959505</stp>
        <tr r="AX15" s="3"/>
      </tp>
      <tp t="s">
        <v>#N/A N/A</v>
        <stp/>
        <stp>BDP|11874057040399252737</stp>
        <tr r="AJ29" s="3"/>
      </tp>
      <tp t="s">
        <v>#N/A N/A</v>
        <stp/>
        <stp>BDP|17008885932520594739</stp>
        <tr r="AB49" s="3"/>
      </tp>
      <tp t="s">
        <v>#N/A N/A</v>
        <stp/>
        <stp>BDP|16573397497557063074</stp>
        <tr r="AA33" s="3"/>
      </tp>
      <tp t="s">
        <v>#N/A N/A</v>
        <stp/>
        <stp>BDP|17381180401645410829</stp>
        <tr r="AM41" s="3"/>
      </tp>
      <tp t="s">
        <v>#N/A N/A</v>
        <stp/>
        <stp>BDP|17759074587104915025</stp>
        <tr r="BJ49" s="3"/>
      </tp>
      <tp t="s">
        <v>#N/A N/A</v>
        <stp/>
        <stp>BDP|18097335638561134251</stp>
        <tr r="BN18" s="3"/>
      </tp>
      <tp t="s">
        <v>#N/A N/A</v>
        <stp/>
        <stp>BDP|16057977938927950096</stp>
        <tr r="BE26" s="3"/>
      </tp>
      <tp t="s">
        <v>#N/A N/A</v>
        <stp/>
        <stp>BDP|14714932750840269395</stp>
        <tr r="Y63" s="3"/>
      </tp>
      <tp t="s">
        <v>#N/A N/A</v>
        <stp/>
        <stp>BDP|11461064791835919654</stp>
        <tr r="AQ43" s="3"/>
      </tp>
      <tp t="s">
        <v>#N/A N/A</v>
        <stp/>
        <stp>BDP|15517684966949769736</stp>
        <tr r="BM26" s="3"/>
      </tp>
      <tp t="s">
        <v>#N/A N/A</v>
        <stp/>
        <stp>BDP|14638974370172765393</stp>
        <tr r="BK63" s="3"/>
      </tp>
      <tp t="s">
        <v>#N/A N/A</v>
        <stp/>
        <stp>BDP|12184084567729704669</stp>
        <tr r="W61" s="3"/>
      </tp>
      <tp t="s">
        <v>#N/A N/A</v>
        <stp/>
        <stp>BDP|12213418381954882158</stp>
        <tr r="AN33" s="3"/>
      </tp>
      <tp t="s">
        <v>#N/A N/A</v>
        <stp/>
        <stp>BDP|16046192913839256461</stp>
        <tr r="AH32" s="3"/>
      </tp>
      <tp t="s">
        <v>#N/A N/A</v>
        <stp/>
        <stp>BDP|17760151948880308971</stp>
        <tr r="BG26" s="3"/>
      </tp>
      <tp t="s">
        <v>#N/A N/A</v>
        <stp/>
        <stp>BDP|17257581844229781473</stp>
        <tr r="BN56" s="3"/>
      </tp>
      <tp t="s">
        <v>#N/A N/A</v>
        <stp/>
        <stp>BDP|17112334312227874963</stp>
        <tr r="AU30" s="3"/>
      </tp>
      <tp t="s">
        <v>#N/A N/A</v>
        <stp/>
        <stp>BDP|14192656242969077482</stp>
        <tr r="AT48" s="3"/>
      </tp>
      <tp t="s">
        <v>#N/A N/A</v>
        <stp/>
        <stp>BDP|18404054449305477222</stp>
        <tr r="BL21" s="3"/>
      </tp>
      <tp t="s">
        <v>#N/A N/A</v>
        <stp/>
        <stp>BDP|13361781649673086832</stp>
        <tr r="V53" s="3"/>
      </tp>
      <tp t="s">
        <v>#N/A N/A</v>
        <stp/>
        <stp>BDP|15674242820749582766</stp>
        <tr r="BL30" s="3"/>
      </tp>
      <tp t="s">
        <v>#N/A N/A</v>
        <stp/>
        <stp>BDP|12370280409118379306</stp>
        <tr r="Y44" s="3"/>
      </tp>
      <tp t="s">
        <v>#N/A N/A</v>
        <stp/>
        <stp>BDP|12006835802068996999</stp>
        <tr r="V50" s="3"/>
      </tp>
      <tp t="s">
        <v>#N/A N/A</v>
        <stp/>
        <stp>BDP|11990665479658267346</stp>
        <tr r="BN53" s="3"/>
      </tp>
      <tp t="s">
        <v>#N/A N/A</v>
        <stp/>
        <stp>BDP|18398962223901313969</stp>
        <tr r="AF66" s="3"/>
      </tp>
      <tp t="s">
        <v>#N/A N/A</v>
        <stp/>
        <stp>BDP|13732808731392059152</stp>
        <tr r="Z25" s="3"/>
      </tp>
      <tp t="s">
        <v>#N/A N/A</v>
        <stp/>
        <stp>BDP|11266151794923727172</stp>
        <tr r="AU60" s="3"/>
      </tp>
      <tp t="s">
        <v>#N/A N/A</v>
        <stp/>
        <stp>BDP|16353935071450158337</stp>
        <tr r="AZ38" s="3"/>
      </tp>
      <tp t="s">
        <v>#N/A N/A</v>
        <stp/>
        <stp>BDP|14459460785337367476</stp>
        <tr r="BD47" s="3"/>
      </tp>
      <tp t="s">
        <v>#N/A N/A</v>
        <stp/>
        <stp>BDP|11955709343329084092</stp>
        <tr r="AT15" s="3"/>
      </tp>
      <tp t="s">
        <v>#N/A N/A</v>
        <stp/>
        <stp>BDP|12796133192513728233</stp>
        <tr r="AT50" s="3"/>
      </tp>
      <tp t="s">
        <v>#N/A N/A</v>
        <stp/>
        <stp>BDP|16792932212175377070</stp>
        <tr r="BH34" s="3"/>
      </tp>
      <tp t="s">
        <v>#N/A N/A</v>
        <stp/>
        <stp>BDP|12600800712080392055</stp>
        <tr r="AP58" s="3"/>
      </tp>
      <tp t="s">
        <v>#N/A N/A</v>
        <stp/>
        <stp>BDP|12307740405246436843</stp>
        <tr r="BP49" s="3"/>
      </tp>
      <tp t="s">
        <v>#N/A N/A</v>
        <stp/>
        <stp>BDP|18282125269785841139</stp>
        <tr r="BQ15" s="3"/>
      </tp>
      <tp t="s">
        <v>#N/A N/A</v>
        <stp/>
        <stp>BDP|15604734702370344964</stp>
        <tr r="AE40" s="3"/>
      </tp>
      <tp t="s">
        <v>#N/A N/A</v>
        <stp/>
        <stp>BDP|11852839338806089718</stp>
        <tr r="AR55" s="3"/>
      </tp>
      <tp t="s">
        <v>#N/A N/A</v>
        <stp/>
        <stp>BDP|18298824092995363749</stp>
        <tr r="U47" s="3"/>
      </tp>
      <tp t="s">
        <v>#N/A N/A</v>
        <stp/>
        <stp>BDP|15669726564566355967</stp>
        <tr r="AG55" s="3"/>
      </tp>
      <tp t="s">
        <v>#N/A N/A</v>
        <stp/>
        <stp>BDP|15834042987102635485</stp>
        <tr r="BA18" s="3"/>
      </tp>
      <tp t="s">
        <v>#N/A N/A</v>
        <stp/>
        <stp>BDP|13832485725027593966</stp>
        <tr r="AA67" s="3"/>
      </tp>
      <tp t="s">
        <v>#N/A N/A</v>
        <stp/>
        <stp>BDP|14891766938299363233</stp>
        <tr r="BO63" s="3"/>
      </tp>
      <tp t="s">
        <v>#N/A N/A</v>
        <stp/>
        <stp>BDP|16811756218209161221</stp>
        <tr r="AR49" s="3"/>
      </tp>
      <tp t="s">
        <v>#N/A N/A</v>
        <stp/>
        <stp>BDP|11431737085072722737</stp>
        <tr r="V61" s="3"/>
      </tp>
      <tp t="s">
        <v>#N/A N/A</v>
        <stp/>
        <stp>BDP|16869933746149928926</stp>
        <tr r="AV49" s="3"/>
      </tp>
      <tp t="s">
        <v>#N/A N/A</v>
        <stp/>
        <stp>BDP|15382523596565984781</stp>
        <tr r="BD40" s="3"/>
      </tp>
      <tp t="s">
        <v>#N/A N/A</v>
        <stp/>
        <stp>BDP|17128012706889597556</stp>
        <tr r="BN21" s="3"/>
      </tp>
      <tp t="s">
        <v>#N/A N/A</v>
        <stp/>
        <stp>BDP|12030484976132010882</stp>
        <tr r="AC37" s="3"/>
      </tp>
      <tp t="s">
        <v>#N/A N/A</v>
        <stp/>
        <stp>BDP|11379554233789671556</stp>
        <tr r="BO17" s="3"/>
      </tp>
      <tp t="s">
        <v>#N/A N/A</v>
        <stp/>
        <stp>BDP|12963297013660389997</stp>
        <tr r="AQ27" s="3"/>
      </tp>
      <tp t="s">
        <v>#N/A N/A</v>
        <stp/>
        <stp>BDP|14524214901148443680</stp>
        <tr r="AO58" s="3"/>
      </tp>
      <tp t="s">
        <v>#N/A N/A</v>
        <stp/>
        <stp>BDP|16083183488844915303</stp>
        <tr r="AS64" s="3"/>
      </tp>
      <tp t="s">
        <v>#N/A N/A</v>
        <stp/>
        <stp>BDP|12228759128558595732</stp>
        <tr r="BD64" s="3"/>
      </tp>
      <tp t="s">
        <v>#N/A N/A</v>
        <stp/>
        <stp>BDP|15845815133633153526</stp>
        <tr r="AS22" s="3"/>
      </tp>
      <tp t="s">
        <v>#N/A N/A</v>
        <stp/>
        <stp>BDP|13162245591270993053</stp>
        <tr r="AR29" s="3"/>
      </tp>
      <tp t="s">
        <v>#N/A N/A</v>
        <stp/>
        <stp>BDP|10144597011134611879</stp>
        <tr r="BJ69" s="3"/>
      </tp>
      <tp t="s">
        <v>#N/A N/A</v>
        <stp/>
        <stp>BDP|17422534000973667996</stp>
        <tr r="AZ68" s="3"/>
      </tp>
      <tp t="s">
        <v>#N/A N/A</v>
        <stp/>
        <stp>BDP|11412985253764592124</stp>
        <tr r="AP28" s="3"/>
      </tp>
      <tp t="s">
        <v>#N/A N/A</v>
        <stp/>
        <stp>BDP|17244925074726525799</stp>
        <tr r="AE68" s="3"/>
      </tp>
      <tp t="s">
        <v>#N/A N/A</v>
        <stp/>
        <stp>BDP|18331728568641096013</stp>
        <tr r="W30" s="3"/>
      </tp>
      <tp t="s">
        <v>#N/A N/A</v>
        <stp/>
        <stp>BDP|13774510876201892809</stp>
        <tr r="AO25" s="3"/>
      </tp>
      <tp t="s">
        <v>#N/A N/A</v>
        <stp/>
        <stp>BDP|14038966241136973766</stp>
        <tr r="AQ60" s="3"/>
      </tp>
      <tp t="s">
        <v>#N/A N/A</v>
        <stp/>
        <stp>BDP|11511801700601998070</stp>
        <tr r="AX30" s="3"/>
      </tp>
      <tp t="s">
        <v>#N/A N/A</v>
        <stp/>
        <stp>BDP|14100928069786716561</stp>
        <tr r="AP65" s="3"/>
      </tp>
      <tp t="s">
        <v>#N/A N/A</v>
        <stp/>
        <stp>BDP|17187900020256332282</stp>
        <tr r="AV69" s="3"/>
      </tp>
      <tp t="s">
        <v>#N/A N/A</v>
        <stp/>
        <stp>BDP|13577301739802267942</stp>
        <tr r="AK60" s="3"/>
      </tp>
      <tp t="s">
        <v>#N/A N/A</v>
        <stp/>
        <stp>BDP|14686504002038875161</stp>
        <tr r="BI67" s="3"/>
      </tp>
      <tp t="s">
        <v>#N/A N/A</v>
        <stp/>
        <stp>BDP|10866403227758140643</stp>
        <tr r="BA42" s="3"/>
      </tp>
      <tp t="s">
        <v>#N/A N/A</v>
        <stp/>
        <stp>BDP|11107575500025382984</stp>
        <tr r="AA40" s="3"/>
      </tp>
      <tp t="s">
        <v>#N/A N/A</v>
        <stp/>
        <stp>BDP|12697136865024575984</stp>
        <tr r="AF15" s="3"/>
      </tp>
      <tp t="s">
        <v>#N/A N/A</v>
        <stp/>
        <stp>BDP|14029953037662768482</stp>
        <tr r="BC41" s="3"/>
      </tp>
      <tp t="s">
        <v>#N/A N/A</v>
        <stp/>
        <stp>BDP|11617992045616179263</stp>
        <tr r="BM64" s="3"/>
      </tp>
      <tp t="s">
        <v>#N/A N/A</v>
        <stp/>
        <stp>BDP|15141692185616296529</stp>
        <tr r="AQ30" s="3"/>
      </tp>
      <tp t="s">
        <v>#N/A N/A</v>
        <stp/>
        <stp>BDP|16501011229149703576</stp>
        <tr r="BN54" s="3"/>
      </tp>
      <tp t="s">
        <v>#N/A N/A</v>
        <stp/>
        <stp>BDP|10434641191050710793</stp>
        <tr r="BI28" s="3"/>
      </tp>
      <tp t="s">
        <v>#N/A N/A</v>
        <stp/>
        <stp>BDP|18237348340973116485</stp>
        <tr r="AD36" s="3"/>
      </tp>
      <tp t="s">
        <v>#N/A N/A</v>
        <stp/>
        <stp>BDP|10877967646595494026</stp>
        <tr r="AF67" s="3"/>
      </tp>
      <tp t="s">
        <v>#N/A N/A</v>
        <stp/>
        <stp>BDP|14529997837974549202</stp>
        <tr r="AE39" s="3"/>
      </tp>
      <tp t="s">
        <v>#N/A N/A</v>
        <stp/>
        <stp>BDP|13554099799646228491</stp>
        <tr r="AR43" s="3"/>
      </tp>
      <tp t="s">
        <v>#N/A N/A</v>
        <stp/>
        <stp>BDP|11494347884410343293</stp>
        <tr r="AZ33" s="3"/>
      </tp>
      <tp t="s">
        <v>#N/A N/A</v>
        <stp/>
        <stp>BDP|13182868578136137200</stp>
        <tr r="BE30" s="3"/>
      </tp>
      <tp t="s">
        <v>#N/A N/A</v>
        <stp/>
        <stp>BDP|11383805611078985854</stp>
        <tr r="Y62" s="3"/>
      </tp>
      <tp t="s">
        <v>#N/A N/A</v>
        <stp/>
        <stp>BDP|17533652388654119571</stp>
        <tr r="AV50" s="3"/>
      </tp>
      <tp t="s">
        <v>#N/A N/A</v>
        <stp/>
        <stp>BDP|16070800065430294060</stp>
        <tr r="BL61" s="3"/>
      </tp>
      <tp t="s">
        <v>#N/A N/A</v>
        <stp/>
        <stp>BDP|15248850304810313515</stp>
        <tr r="BN64" s="3"/>
      </tp>
      <tp t="s">
        <v>#N/A N/A</v>
        <stp/>
        <stp>BDP|11134589601239083596</stp>
        <tr r="BO32" s="3"/>
      </tp>
      <tp t="s">
        <v>#N/A N/A</v>
        <stp/>
        <stp>BDP|16248155483994743335</stp>
        <tr r="AU24" s="3"/>
      </tp>
      <tp t="s">
        <v>#N/A N/A</v>
        <stp/>
        <stp>BDP|12702930547113298414</stp>
        <tr r="BF32" s="3"/>
      </tp>
      <tp t="s">
        <v>#N/A N/A</v>
        <stp/>
        <stp>BDP|12674516625314550977</stp>
        <tr r="AL48" s="3"/>
      </tp>
      <tp t="s">
        <v>#N/A N/A</v>
        <stp/>
        <stp>BDP|12392584675889834163</stp>
        <tr r="AW53" s="3"/>
      </tp>
      <tp t="s">
        <v>#N/A N/A</v>
        <stp/>
        <stp>BDP|12904266539309230243</stp>
        <tr r="AP54" s="3"/>
      </tp>
      <tp t="s">
        <v>#N/A N/A</v>
        <stp/>
        <stp>BDP|11653528610358461536</stp>
        <tr r="BK31" s="3"/>
      </tp>
      <tp t="s">
        <v>#N/A N/A</v>
        <stp/>
        <stp>BDP|10238368693927086547</stp>
        <tr r="W26" s="3"/>
      </tp>
      <tp t="s">
        <v>#N/A N/A</v>
        <stp/>
        <stp>BDP|15901974011137599298</stp>
        <tr r="AP59" s="3"/>
      </tp>
      <tp t="s">
        <v>#N/A N/A</v>
        <stp/>
        <stp>BDP|13894146389560505225</stp>
        <tr r="BE23" s="3"/>
      </tp>
      <tp t="s">
        <v>#N/A N/A</v>
        <stp/>
        <stp>BDP|11969129575596896940</stp>
        <tr r="X49" s="3"/>
      </tp>
      <tp t="s">
        <v>#N/A N/A</v>
        <stp/>
        <stp>BDP|15939291406026112951</stp>
        <tr r="BG58" s="3"/>
      </tp>
      <tp t="s">
        <v>#N/A N/A</v>
        <stp/>
        <stp>BDP|17662125597967391023</stp>
        <tr r="BN63" s="3"/>
      </tp>
      <tp t="s">
        <v>#N/A N/A</v>
        <stp/>
        <stp>BDP|11784334795466742535</stp>
        <tr r="AZ27" s="3"/>
      </tp>
      <tp t="s">
        <v>#N/A N/A</v>
        <stp/>
        <stp>BDP|18026779143762176105</stp>
        <tr r="U26" s="3"/>
      </tp>
      <tp t="s">
        <v>#N/A N/A</v>
        <stp/>
        <stp>BDP|10782882097988846154</stp>
        <tr r="AF41" s="3"/>
      </tp>
      <tp t="s">
        <v>#N/A N/A</v>
        <stp/>
        <stp>BDP|11916253382116300599</stp>
        <tr r="AG19" s="3"/>
      </tp>
      <tp t="s">
        <v>#N/A N/A</v>
        <stp/>
        <stp>BDP|12938534389316730104</stp>
        <tr r="AU25" s="3"/>
      </tp>
      <tp t="s">
        <v>#N/A N/A</v>
        <stp/>
        <stp>BDP|15340954637761235675</stp>
        <tr r="Z24" s="3"/>
      </tp>
      <tp t="s">
        <v>#N/A N/A</v>
        <stp/>
        <stp>BDP|13646421699830040698</stp>
        <tr r="V19" s="3"/>
      </tp>
      <tp t="s">
        <v>#N/A N/A</v>
        <stp/>
        <stp>BDP|10916972036094863645</stp>
        <tr r="BJ20" s="3"/>
      </tp>
      <tp t="s">
        <v>#N/A N/A</v>
        <stp/>
        <stp>BDP|16147445183351329310</stp>
        <tr r="AR19" s="3"/>
      </tp>
      <tp t="s">
        <v>#N/A N/A</v>
        <stp/>
        <stp>BDP|15247816047760835181</stp>
        <tr r="AV28" s="3"/>
      </tp>
      <tp t="s">
        <v>#N/A N/A</v>
        <stp/>
        <stp>BDP|18068420911463427636</stp>
        <tr r="AL31" s="3"/>
      </tp>
      <tp t="s">
        <v>#N/A N/A</v>
        <stp/>
        <stp>BDP|18379360743632650541</stp>
        <tr r="U63" s="3"/>
      </tp>
      <tp t="s">
        <v>#N/A N/A</v>
        <stp/>
        <stp>BDP|12308801868351602597</stp>
        <tr r="AK40" s="3"/>
      </tp>
      <tp t="s">
        <v>#N/A N/A</v>
        <stp/>
        <stp>BDP|13940353278798358730</stp>
        <tr r="AX19" s="3"/>
      </tp>
      <tp t="s">
        <v>#N/A N/A</v>
        <stp/>
        <stp>BDP|17076243587360466534</stp>
        <tr r="W51" s="3"/>
      </tp>
      <tp t="s">
        <v>#N/A N/A</v>
        <stp/>
        <stp>BDP|14329520122083188852</stp>
        <tr r="AF55" s="3"/>
      </tp>
      <tp t="s">
        <v>#N/A N/A</v>
        <stp/>
        <stp>BDP|17392690214181052990</stp>
        <tr r="BN24" s="3"/>
      </tp>
      <tp t="s">
        <v>#N/A N/A</v>
        <stp/>
        <stp>BDP|12518056035459667046</stp>
        <tr r="BO60" s="3"/>
      </tp>
      <tp t="s">
        <v>#N/A N/A</v>
        <stp/>
        <stp>BDP|11726019917121283944</stp>
        <tr r="BP39" s="3"/>
      </tp>
      <tp t="s">
        <v>#N/A N/A</v>
        <stp/>
        <stp>BDP|10965738357543280986</stp>
        <tr r="W34" s="3"/>
      </tp>
      <tp t="s">
        <v>#N/A N/A</v>
        <stp/>
        <stp>BDP|13370290669557007854</stp>
        <tr r="BF51" s="3"/>
      </tp>
      <tp t="s">
        <v>#N/A N/A</v>
        <stp/>
        <stp>BDP|17071262733159748744</stp>
        <tr r="AR63" s="3"/>
      </tp>
      <tp t="s">
        <v>#N/A N/A</v>
        <stp/>
        <stp>BDP|11183747492804970279</stp>
        <tr r="AH15" s="3"/>
      </tp>
      <tp t="s">
        <v>#N/A N/A</v>
        <stp/>
        <stp>BDP|16284616509971034836</stp>
        <tr r="AR33" s="3"/>
      </tp>
      <tp t="s">
        <v>#N/A N/A</v>
        <stp/>
        <stp>BDP|12302890792513958986</stp>
        <tr r="AB40" s="3"/>
      </tp>
      <tp t="s">
        <v>#N/A N/A</v>
        <stp/>
        <stp>BDP|12937080799075562758</stp>
        <tr r="AD57" s="3"/>
      </tp>
      <tp t="s">
        <v>#N/A N/A</v>
        <stp/>
        <stp>BDP|14434177332056955902</stp>
        <tr r="AP15" s="3"/>
      </tp>
      <tp t="s">
        <v>#N/A N/A</v>
        <stp/>
        <stp>BDP|13028189043146351922</stp>
        <tr r="AA68" s="3"/>
      </tp>
      <tp t="s">
        <v>#N/A N/A</v>
        <stp/>
        <stp>BDP|14925288992830061697</stp>
        <tr r="AQ46" s="3"/>
      </tp>
      <tp t="s">
        <v>#N/A N/A</v>
        <stp/>
        <stp>BDP|11388223962438631484</stp>
        <tr r="AI23" s="3"/>
      </tp>
      <tp t="s">
        <v>#N/A N/A</v>
        <stp/>
        <stp>BDP|15040490174259439642</stp>
        <tr r="AO34" s="3"/>
      </tp>
      <tp t="s">
        <v>#N/A N/A</v>
        <stp/>
        <stp>BDP|18184297544851060617</stp>
        <tr r="BM33" s="3"/>
      </tp>
      <tp t="s">
        <v>#N/A N/A</v>
        <stp/>
        <stp>BDP|15285584245099264412</stp>
        <tr r="U44" s="3"/>
      </tp>
      <tp t="s">
        <v>#N/A N/A</v>
        <stp/>
        <stp>BDP|16552567882613410196</stp>
        <tr r="BF67" s="3"/>
      </tp>
      <tp t="s">
        <v>#N/A N/A</v>
        <stp/>
        <stp>BDP|16160292511725430929</stp>
        <tr r="AY65" s="3"/>
      </tp>
      <tp t="s">
        <v>#N/A N/A</v>
        <stp/>
        <stp>BDP|12094022601392954955</stp>
        <tr r="AE38" s="3"/>
      </tp>
      <tp t="s">
        <v>#N/A N/A</v>
        <stp/>
        <stp>BDP|10693367453487553891</stp>
        <tr r="AZ56" s="3"/>
      </tp>
      <tp t="s">
        <v>#N/A N/A</v>
        <stp/>
        <stp>BDP|18139850957495573993</stp>
        <tr r="Z17" s="3"/>
      </tp>
      <tp t="s">
        <v>#N/A N/A</v>
        <stp/>
        <stp>BDP|18031213350430775693</stp>
        <tr r="BL32" s="3"/>
      </tp>
      <tp t="s">
        <v>#N/A N/A</v>
        <stp/>
        <stp>BDP|13985916891963189978</stp>
        <tr r="Z28" s="3"/>
      </tp>
      <tp t="s">
        <v>#N/A N/A</v>
        <stp/>
        <stp>BDP|15648360348963210858</stp>
        <tr r="AV18" s="3"/>
      </tp>
      <tp t="s">
        <v>#N/A N/A</v>
        <stp/>
        <stp>BDP|11893862471620744761</stp>
        <tr r="AM43" s="3"/>
      </tp>
      <tp t="s">
        <v>#N/A N/A</v>
        <stp/>
        <stp>BDP|12390927242381720757</stp>
        <tr r="BA16" s="3"/>
      </tp>
      <tp t="s">
        <v>#N/A N/A</v>
        <stp/>
        <stp>BDP|10235668081645158256</stp>
        <tr r="AW68" s="3"/>
      </tp>
      <tp t="s">
        <v>#N/A N/A</v>
        <stp/>
        <stp>BDP|18364703372774586556</stp>
        <tr r="Y66" s="3"/>
      </tp>
      <tp t="s">
        <v>#N/A N/A</v>
        <stp/>
        <stp>BDP|12231180509388323211</stp>
        <tr r="BE35" s="3"/>
      </tp>
      <tp t="s">
        <v>#N/A N/A</v>
        <stp/>
        <stp>BDP|13262831635219350867</stp>
        <tr r="BH41" s="3"/>
      </tp>
      <tp t="s">
        <v>#N/A N/A</v>
        <stp/>
        <stp>BDP|17385407325409559134</stp>
        <tr r="BA19" s="3"/>
      </tp>
      <tp t="s">
        <v>#N/A N/A</v>
        <stp/>
        <stp>BDP|12120351281220090051</stp>
        <tr r="AR60" s="3"/>
      </tp>
      <tp t="s">
        <v>#N/A N/A</v>
        <stp/>
        <stp>BDP|13268264534043786876</stp>
        <tr r="AT22" s="3"/>
      </tp>
      <tp t="s">
        <v>#N/A N/A</v>
        <stp/>
        <stp>BDP|17293086758559596270</stp>
        <tr r="AH52" s="3"/>
      </tp>
      <tp t="s">
        <v>#N/A N/A</v>
        <stp/>
        <stp>BDP|13789981671673993774</stp>
        <tr r="BK45" s="3"/>
      </tp>
      <tp t="s">
        <v>#N/A N/A</v>
        <stp/>
        <stp>BDP|12068564956562666966</stp>
        <tr r="AU44" s="3"/>
      </tp>
      <tp t="s">
        <v>#N/A N/A</v>
        <stp/>
        <stp>BDP|16224345365253235928</stp>
        <tr r="AE44" s="3"/>
      </tp>
      <tp t="s">
        <v>#N/A N/A</v>
        <stp/>
        <stp>BDP|11620078889837361788</stp>
        <tr r="AD62" s="3"/>
      </tp>
      <tp t="s">
        <v>#N/A N/A</v>
        <stp/>
        <stp>BDP|15818839673063322092</stp>
        <tr r="BO19" s="3"/>
      </tp>
      <tp t="s">
        <v>#N/A N/A</v>
        <stp/>
        <stp>BDP|14766554981865272531</stp>
        <tr r="AX34" s="3"/>
      </tp>
      <tp t="s">
        <v>#N/A N/A</v>
        <stp/>
        <stp>BDP|15418927145839396824</stp>
        <tr r="AS47" s="3"/>
      </tp>
      <tp t="s">
        <v>#N/A N/A</v>
        <stp/>
        <stp>BDP|14412253492835563348</stp>
        <tr r="AE65" s="3"/>
      </tp>
      <tp t="s">
        <v>#N/A N/A</v>
        <stp/>
        <stp>BDP|14846812341357423699</stp>
        <tr r="AV19" s="3"/>
      </tp>
      <tp t="s">
        <v>#N/A N/A</v>
        <stp/>
        <stp>BDP|11515319113813203901</stp>
        <tr r="AV64" s="3"/>
      </tp>
      <tp t="s">
        <v>#N/A N/A</v>
        <stp/>
        <stp>BDP|14541038386390168548</stp>
        <tr r="AY37" s="3"/>
      </tp>
      <tp t="s">
        <v>#N/A N/A</v>
        <stp/>
        <stp>BDP|17677917157855157748</stp>
        <tr r="AX45" s="3"/>
      </tp>
      <tp t="s">
        <v>#N/A N/A</v>
        <stp/>
        <stp>BDP|14180573166268158648</stp>
        <tr r="BI35" s="3"/>
      </tp>
      <tp t="s">
        <v>#N/A N/A</v>
        <stp/>
        <stp>BDP|16699867277600152025</stp>
        <tr r="AL57" s="3"/>
      </tp>
      <tp t="s">
        <v>#N/A N/A</v>
        <stp/>
        <stp>BDP|17006067963018965089</stp>
        <tr r="AS54" s="3"/>
      </tp>
      <tp t="s">
        <v>#N/A N/A</v>
        <stp/>
        <stp>BDP|17539637693784191502</stp>
        <tr r="AW57" s="3"/>
      </tp>
      <tp t="s">
        <v>#N/A N/A</v>
        <stp/>
        <stp>BDP|15721140629196749994</stp>
        <tr r="BI23" s="3"/>
      </tp>
      <tp t="s">
        <v>#N/A N/A</v>
        <stp/>
        <stp>BDP|17142054893657565059</stp>
        <tr r="AI66" s="3"/>
      </tp>
      <tp t="s">
        <v>#N/A N/A</v>
        <stp/>
        <stp>BDP|14068344186900454612</stp>
        <tr r="BQ25" s="3"/>
      </tp>
      <tp t="s">
        <v>#N/A N/A</v>
        <stp/>
        <stp>BDP|17342707392263715314</stp>
        <tr r="AZ29" s="3"/>
      </tp>
      <tp t="s">
        <v>#N/A N/A</v>
        <stp/>
        <stp>BDP|14930072720649837607</stp>
        <tr r="AY42" s="3"/>
      </tp>
      <tp t="s">
        <v>#N/A N/A</v>
        <stp/>
        <stp>BDP|14195045881237145238</stp>
        <tr r="U31" s="3"/>
      </tp>
      <tp t="s">
        <v>#N/A N/A</v>
        <stp/>
        <stp>BDP|12347963840410451672</stp>
        <tr r="AX20" s="3"/>
      </tp>
      <tp t="s">
        <v>#N/A N/A</v>
        <stp/>
        <stp>BDP|16862757750039942421</stp>
        <tr r="AG38" s="3"/>
      </tp>
      <tp t="s">
        <v>#N/A N/A</v>
        <stp/>
        <stp>BDP|13234273357264132955</stp>
        <tr r="BF66" s="3"/>
      </tp>
      <tp t="s">
        <v>#N/A N/A</v>
        <stp/>
        <stp>BDP|16796680499432844570</stp>
        <tr r="W69" s="3"/>
      </tp>
      <tp t="s">
        <v>#N/A N/A</v>
        <stp/>
        <stp>BDP|11512903327070839439</stp>
        <tr r="BM52" s="3"/>
      </tp>
      <tp t="s">
        <v>#N/A N/A</v>
        <stp/>
        <stp>BDP|11832269295751701555</stp>
        <tr r="BI66" s="3"/>
      </tp>
      <tp t="s">
        <v>#N/A N/A</v>
        <stp/>
        <stp>BDP|14340951011831871364</stp>
        <tr r="BD50" s="3"/>
      </tp>
      <tp t="s">
        <v>#N/A N/A</v>
        <stp/>
        <stp>BDP|18136491321451498143</stp>
        <tr r="BF17" s="3"/>
      </tp>
      <tp t="s">
        <v>#N/A N/A</v>
        <stp/>
        <stp>BDP|17081934217715546496</stp>
        <tr r="X19" s="3"/>
      </tp>
      <tp t="s">
        <v>#N/A N/A</v>
        <stp/>
        <stp>BDP|10759823206995924321</stp>
        <tr r="BE28" s="3"/>
      </tp>
      <tp t="s">
        <v>#N/A N/A</v>
        <stp/>
        <stp>BDP|11953710153435002808</stp>
        <tr r="AW22" s="3"/>
      </tp>
      <tp t="s">
        <v>#N/A N/A</v>
        <stp/>
        <stp>BDP|16224845785919151197</stp>
        <tr r="BF49" s="3"/>
      </tp>
      <tp t="s">
        <v>#N/A N/A</v>
        <stp/>
        <stp>BDP|17206551965248101281</stp>
        <tr r="AQ41" s="3"/>
      </tp>
      <tp t="s">
        <v>#N/A N/A</v>
        <stp/>
        <stp>BDP|16767753237404934875</stp>
        <tr r="AU58" s="3"/>
      </tp>
      <tp t="s">
        <v>#N/A N/A</v>
        <stp/>
        <stp>BDP|13094357023229937549</stp>
        <tr r="AG37" s="3"/>
      </tp>
      <tp t="s">
        <v>#N/A N/A</v>
        <stp/>
        <stp>BDP|12926912923155347227</stp>
        <tr r="AX53" s="3"/>
      </tp>
      <tp t="s">
        <v>#N/A N/A</v>
        <stp/>
        <stp>BDP|14629960303204151784</stp>
        <tr r="AR35" s="3"/>
      </tp>
      <tp t="s">
        <v>#N/A N/A</v>
        <stp/>
        <stp>BDP|13680917798325518808</stp>
        <tr r="AN49" s="3"/>
      </tp>
      <tp t="s">
        <v>#N/A N/A</v>
        <stp/>
        <stp>BDP|17494946801803922321</stp>
        <tr r="AQ55" s="3"/>
      </tp>
      <tp t="s">
        <v>#N/A N/A</v>
        <stp/>
        <stp>BDP|12372904917962911606</stp>
        <tr r="AP63" s="3"/>
      </tp>
      <tp t="s">
        <v>#N/A N/A</v>
        <stp/>
        <stp>BDP|17421630009399595668</stp>
        <tr r="AW69" s="3"/>
      </tp>
      <tp t="s">
        <v>#N/A N/A</v>
        <stp/>
        <stp>BDP|18329931471669968153</stp>
        <tr r="AS57" s="3"/>
      </tp>
      <tp t="s">
        <v>#N/A N/A</v>
        <stp/>
        <stp>BDP|12048209080455820340</stp>
        <tr r="BI17" s="3"/>
      </tp>
      <tp t="s">
        <v>#N/A N/A</v>
        <stp/>
        <stp>BDP|15735938266277954372</stp>
        <tr r="AY33" s="3"/>
      </tp>
      <tp t="s">
        <v>#N/A N/A</v>
        <stp/>
        <stp>BDP|17599005381281160099</stp>
        <tr r="BM46" s="3"/>
      </tp>
      <tp t="s">
        <v>#N/A N/A</v>
        <stp/>
        <stp>BDP|16600296634040271951</stp>
        <tr r="AC30" s="3"/>
      </tp>
      <tp t="s">
        <v>#N/A N/A</v>
        <stp/>
        <stp>BDP|13993937941012344275</stp>
        <tr r="AM23" s="3"/>
      </tp>
      <tp t="s">
        <v>#N/A N/A</v>
        <stp/>
        <stp>BDP|13099613171615756984</stp>
        <tr r="BC26" s="3"/>
      </tp>
      <tp t="s">
        <v>#N/A N/A</v>
        <stp/>
        <stp>BDP|15449180536098273172</stp>
        <tr r="AG22" s="3"/>
      </tp>
      <tp t="s">
        <v>#N/A N/A</v>
        <stp/>
        <stp>BDP|13214144794411540484</stp>
        <tr r="BJ67" s="3"/>
      </tp>
      <tp t="s">
        <v>#N/A N/A</v>
        <stp/>
        <stp>BDP|13468265960050961945</stp>
        <tr r="V60" s="3"/>
      </tp>
      <tp t="s">
        <v>#N/A N/A</v>
        <stp/>
        <stp>BDP|15322488312956122871</stp>
        <tr r="AN66" s="3"/>
      </tp>
      <tp t="s">
        <v>#N/A N/A</v>
        <stp/>
        <stp>BDP|11083255323086893910</stp>
        <tr r="BN31" s="3"/>
      </tp>
      <tp t="s">
        <v>#N/A N/A</v>
        <stp/>
        <stp>BDP|12744828654022668390</stp>
        <tr r="AK51" s="3"/>
      </tp>
      <tp t="s">
        <v>#N/A N/A</v>
        <stp/>
        <stp>BDP|17284297834059278135</stp>
        <tr r="W44" s="3"/>
      </tp>
      <tp t="s">
        <v>#N/A N/A</v>
        <stp/>
        <stp>BDP|17787506369842881888</stp>
        <tr r="AK36" s="3"/>
      </tp>
      <tp t="s">
        <v>#N/A N/A</v>
        <stp/>
        <stp>BDP|18196962420909743418</stp>
        <tr r="AQ40" s="3"/>
      </tp>
      <tp t="s">
        <v>#N/A N/A</v>
        <stp/>
        <stp>BDP|15997818751424838205</stp>
        <tr r="AW67" s="3"/>
      </tp>
      <tp t="s">
        <v>#N/A N/A</v>
        <stp/>
        <stp>BDP|11606809235832462660</stp>
        <tr r="AO15" s="3"/>
      </tp>
      <tp t="s">
        <v>#N/A N/A</v>
        <stp/>
        <stp>BDP|13667447898704873434</stp>
        <tr r="BG64" s="3"/>
      </tp>
      <tp t="s">
        <v>#N/A N/A</v>
        <stp/>
        <stp>BDP|18037206676656273551</stp>
        <tr r="BJ55" s="3"/>
      </tp>
      <tp t="s">
        <v>#N/A N/A</v>
        <stp/>
        <stp>BDP|18130587317825735792</stp>
        <tr r="AN56" s="3"/>
      </tp>
      <tp t="s">
        <v>#N/A N/A</v>
        <stp/>
        <stp>BDP|11949858962868690980</stp>
        <tr r="AB32" s="3"/>
      </tp>
      <tp t="s">
        <v>#N/A N/A</v>
        <stp/>
        <stp>BDP|14129475616697975890</stp>
        <tr r="AV31" s="3"/>
      </tp>
      <tp t="s">
        <v>#N/A N/A</v>
        <stp/>
        <stp>BDP|15154374105871109913</stp>
        <tr r="U41" s="3"/>
      </tp>
      <tp t="s">
        <v>#N/A N/A</v>
        <stp/>
        <stp>BDP|12787227735959260419</stp>
        <tr r="AZ43" s="3"/>
      </tp>
      <tp t="s">
        <v>#N/A N/A</v>
        <stp/>
        <stp>BDP|12703179943921556858</stp>
        <tr r="AO22" s="3"/>
      </tp>
      <tp t="s">
        <v>#N/A N/A</v>
        <stp/>
        <stp>BDP|15053557156103540855</stp>
        <tr r="BG47" s="3"/>
      </tp>
      <tp t="s">
        <v>#N/A N/A</v>
        <stp/>
        <stp>BDP|18240920796943491515</stp>
        <tr r="Z27" s="3"/>
      </tp>
      <tp t="s">
        <v>#N/A N/A</v>
        <stp/>
        <stp>BDP|12327286330709155493</stp>
        <tr r="BF40" s="3"/>
      </tp>
      <tp t="s">
        <v>#N/A N/A</v>
        <stp/>
        <stp>BDP|13328437683138421954</stp>
        <tr r="AI28" s="3"/>
      </tp>
      <tp t="s">
        <v>#N/A N/A</v>
        <stp/>
        <stp>BDP|13018366719189947640</stp>
        <tr r="W31" s="3"/>
      </tp>
      <tp t="s">
        <v>#N/A N/A</v>
        <stp/>
        <stp>BDP|16823497257568767130</stp>
        <tr r="BQ24" s="3"/>
      </tp>
      <tp t="s">
        <v>#N/A N/A</v>
        <stp/>
        <stp>BDP|14220091266528853476</stp>
        <tr r="AW42" s="3"/>
      </tp>
      <tp t="s">
        <v>#N/A N/A</v>
        <stp/>
        <stp>BDP|16627941052893443710</stp>
        <tr r="W25" s="3"/>
      </tp>
      <tp t="s">
        <v>#N/A N/A</v>
        <stp/>
        <stp>BDP|15144921524517081732</stp>
        <tr r="AO45" s="3"/>
      </tp>
      <tp t="s">
        <v>#N/A N/A</v>
        <stp/>
        <stp>BDP|16209893565305949332</stp>
        <tr r="BF65" s="3"/>
      </tp>
      <tp t="s">
        <v>#N/A N/A</v>
        <stp/>
        <stp>BDP|11908887943987440410</stp>
        <tr r="V48" s="3"/>
      </tp>
      <tp t="s">
        <v>#N/A N/A</v>
        <stp/>
        <stp>BDP|14655945852901661712</stp>
        <tr r="AZ17" s="3"/>
      </tp>
      <tp t="s">
        <v>#N/A N/A</v>
        <stp/>
        <stp>BDP|17409548403104472814</stp>
        <tr r="X39" s="3"/>
      </tp>
      <tp t="s">
        <v>#N/A N/A</v>
        <stp/>
        <stp>BDP|15782606386274380148</stp>
        <tr r="AB45" s="3"/>
      </tp>
      <tp t="s">
        <v>#N/A N/A</v>
        <stp/>
        <stp>BDP|12002324814099412749</stp>
        <tr r="U16" s="3"/>
      </tp>
      <tp t="s">
        <v>#N/A N/A</v>
        <stp/>
        <stp>BDP|12476810103801683564</stp>
        <tr r="AW40" s="3"/>
      </tp>
      <tp t="s">
        <v>#N/A N/A</v>
        <stp/>
        <stp>BDP|18183738461681342660</stp>
        <tr r="BE51" s="3"/>
      </tp>
      <tp t="s">
        <v>#N/A N/A</v>
        <stp/>
        <stp>BDP|17362599583464215121</stp>
        <tr r="BL53" s="3"/>
      </tp>
      <tp t="s">
        <v>#N/A N/A</v>
        <stp/>
        <stp>BDP|17654522469032307968</stp>
        <tr r="Y59" s="3"/>
      </tp>
      <tp t="s">
        <v>#N/A N/A</v>
        <stp/>
        <stp>BDP|18120097244620552319</stp>
        <tr r="BJ47" s="3"/>
      </tp>
      <tp t="s">
        <v>#N/A N/A</v>
        <stp/>
        <stp>BDP|13094725986042474187</stp>
        <tr r="AG60" s="3"/>
      </tp>
      <tp t="s">
        <v>#N/A N/A</v>
        <stp/>
        <stp>BDP|16127362999665293675</stp>
        <tr r="AS38" s="3"/>
      </tp>
      <tp t="s">
        <v>#N/A N/A</v>
        <stp/>
        <stp>BDP|14283783709638066481</stp>
        <tr r="BM47" s="3"/>
      </tp>
      <tp t="s">
        <v>#N/A N/A</v>
        <stp/>
        <stp>BDP|10885603907060039942</stp>
        <tr r="AI61" s="3"/>
      </tp>
      <tp t="s">
        <v>#N/A N/A</v>
        <stp/>
        <stp>BDP|14578145533078927107</stp>
        <tr r="AZ26" s="3"/>
      </tp>
      <tp t="s">
        <v>#N/A N/A</v>
        <stp/>
        <stp>BDP|14193534688984186209</stp>
        <tr r="AB53" s="3"/>
      </tp>
      <tp t="s">
        <v>#N/A N/A</v>
        <stp/>
        <stp>BDP|18253998754709431217</stp>
        <tr r="AW39" s="3"/>
      </tp>
      <tp t="s">
        <v>#N/A N/A</v>
        <stp/>
        <stp>BDP|14909288767717843849</stp>
        <tr r="BP64" s="3"/>
      </tp>
      <tp t="s">
        <v>#N/A N/A</v>
        <stp/>
        <stp>BDP|13819415262709080719</stp>
        <tr r="AN39" s="3"/>
      </tp>
      <tp t="s">
        <v>#N/A N/A</v>
        <stp/>
        <stp>BDP|16220884350042430645</stp>
        <tr r="BH50" s="3"/>
      </tp>
      <tp t="s">
        <v>#N/A N/A</v>
        <stp/>
        <stp>BDP|18282428558697719150</stp>
        <tr r="BE57" s="3"/>
      </tp>
      <tp t="s">
        <v>#N/A N/A</v>
        <stp/>
        <stp>BDP|18317279390404874812</stp>
        <tr r="AE55" s="3"/>
      </tp>
      <tp t="s">
        <v>#N/A N/A</v>
        <stp/>
        <stp>BDP|17471819542946986238</stp>
        <tr r="AJ34" s="3"/>
      </tp>
      <tp t="s">
        <v>#N/A N/A</v>
        <stp/>
        <stp>BDP|11060223645829966126</stp>
        <tr r="BM22" s="3"/>
      </tp>
      <tp t="s">
        <v>#N/A N/A</v>
        <stp/>
        <stp>BDP|14348898617384765665</stp>
        <tr r="W32" s="3"/>
      </tp>
      <tp t="s">
        <v>#N/A N/A</v>
        <stp/>
        <stp>BDP|14029996624305945581</stp>
        <tr r="AM66" s="3"/>
      </tp>
      <tp t="s">
        <v>#N/A N/A</v>
        <stp/>
        <stp>BDP|12653895553197339730</stp>
        <tr r="BC46" s="3"/>
      </tp>
      <tp t="s">
        <v>#N/A N/A</v>
        <stp/>
        <stp>BDP|14824699367949908233</stp>
        <tr r="V68" s="3"/>
      </tp>
      <tp t="s">
        <v>#N/A N/A</v>
        <stp/>
        <stp>BDP|11211842563519940930</stp>
        <tr r="AE26" s="3"/>
      </tp>
      <tp t="s">
        <v>#N/A N/A</v>
        <stp/>
        <stp>BDP|13084904063723881047</stp>
        <tr r="AS18" s="3"/>
      </tp>
      <tp t="s">
        <v>#N/A N/A</v>
        <stp/>
        <stp>BDP|17972838905664149407</stp>
        <tr r="U35" s="3"/>
      </tp>
      <tp t="s">
        <v>#N/A N/A</v>
        <stp/>
        <stp>BDP|11373301919184665828</stp>
        <tr r="Y54" s="3"/>
      </tp>
      <tp t="s">
        <v>#N/A N/A</v>
        <stp/>
        <stp>BDP|17080985382309030045</stp>
        <tr r="AV54" s="3"/>
      </tp>
      <tp t="s">
        <v>#N/A N/A</v>
        <stp/>
        <stp>BDP|16951521324586241836</stp>
        <tr r="X34" s="3"/>
      </tp>
      <tp t="s">
        <v>#N/A N/A</v>
        <stp/>
        <stp>BDP|10134965054285817657</stp>
        <tr r="AR44" s="3"/>
      </tp>
      <tp t="s">
        <v>#N/A N/A</v>
        <stp/>
        <stp>BDP|10894492789633580034</stp>
        <tr r="AD68" s="3"/>
      </tp>
      <tp t="s">
        <v>#N/A N/A</v>
        <stp/>
        <stp>BDP|10944410666538525557</stp>
        <tr r="BL18" s="3"/>
      </tp>
      <tp t="s">
        <v>#N/A N/A</v>
        <stp/>
        <stp>BDP|16592178392866277735</stp>
        <tr r="BH66" s="3"/>
      </tp>
      <tp t="s">
        <v>#N/A N/A</v>
        <stp/>
        <stp>BDP|15398354446425373822</stp>
        <tr r="Z30" s="3"/>
      </tp>
      <tp t="s">
        <v>#N/A N/A</v>
        <stp/>
        <stp>BDP|16140053132379191368</stp>
        <tr r="AP55" s="3"/>
      </tp>
      <tp t="s">
        <v>#N/A N/A</v>
        <stp/>
        <stp>BDP|16028065081106490734</stp>
        <tr r="BG46" s="3"/>
      </tp>
      <tp t="s">
        <v>#N/A N/A</v>
        <stp/>
        <stp>BDP|11367275683434337046</stp>
        <tr r="BC62" s="3"/>
      </tp>
      <tp t="s">
        <v>#N/A N/A</v>
        <stp/>
        <stp>BDP|13689673657686040969</stp>
        <tr r="AK39" s="3"/>
      </tp>
      <tp t="s">
        <v>#N/A N/A</v>
        <stp/>
        <stp>BDP|14430960373171953487</stp>
        <tr r="AZ57" s="3"/>
      </tp>
      <tp t="s">
        <v>#N/A N/A</v>
        <stp/>
        <stp>BDP|12878481286267635601</stp>
        <tr r="AG25" s="3"/>
      </tp>
      <tp t="s">
        <v>#N/A N/A</v>
        <stp/>
        <stp>BDP|12203274384117974084</stp>
        <tr r="AL61" s="3"/>
      </tp>
      <tp t="s">
        <v>#N/A N/A</v>
        <stp/>
        <stp>BDP|17635374084535463611</stp>
        <tr r="AE47" s="3"/>
      </tp>
      <tp t="s">
        <v>#N/A N/A</v>
        <stp/>
        <stp>BDP|10600186071890449981</stp>
        <tr r="BP65" s="3"/>
      </tp>
      <tp t="s">
        <v>#N/A N/A</v>
        <stp/>
        <stp>BDP|13789428597690600174</stp>
        <tr r="AG59" s="3"/>
      </tp>
      <tp t="s">
        <v>#N/A N/A</v>
        <stp/>
        <stp>BDP|14492210021432189965</stp>
        <tr r="AB16" s="3"/>
      </tp>
      <tp t="s">
        <v>#N/A N/A</v>
        <stp/>
        <stp>BDP|11128848415830476771</stp>
        <tr r="BN35" s="3"/>
      </tp>
      <tp t="s">
        <v>#N/A N/A</v>
        <stp/>
        <stp>BDP|12726763563339927599</stp>
        <tr r="BN62" s="3"/>
      </tp>
      <tp t="s">
        <v>#N/A N/A</v>
        <stp/>
        <stp>BDP|14494069566005280841</stp>
        <tr r="AF47" s="3"/>
      </tp>
      <tp t="s">
        <v>#N/A N/A</v>
        <stp/>
        <stp>BDP|18420457278830350481</stp>
        <tr r="AN40" s="3"/>
      </tp>
      <tp t="s">
        <v>#N/A N/A</v>
        <stp/>
        <stp>BDP|16614405699480892451</stp>
        <tr r="AI24" s="3"/>
      </tp>
      <tp t="s">
        <v>#N/A N/A</v>
        <stp/>
        <stp>BDP|13806328911666992804</stp>
        <tr r="BJ33" s="3"/>
      </tp>
      <tp t="s">
        <v>#N/A N/A</v>
        <stp/>
        <stp>BDP|13618826769376956467</stp>
        <tr r="AA48" s="3"/>
      </tp>
      <tp t="s">
        <v>#N/A N/A</v>
        <stp/>
        <stp>BDP|12014340090323776411</stp>
        <tr r="BB32" s="3"/>
      </tp>
      <tp t="s">
        <v>#N/A N/A</v>
        <stp/>
        <stp>BDP|14445944723720653008</stp>
        <tr r="BI55" s="3"/>
      </tp>
      <tp t="s">
        <v>#N/A N/A</v>
        <stp/>
        <stp>BDP|15073328280287224657</stp>
        <tr r="AS55" s="3"/>
      </tp>
      <tp t="s">
        <v>#N/A N/A</v>
        <stp/>
        <stp>BDP|10985651795062427284</stp>
        <tr r="AA24" s="3"/>
      </tp>
      <tp t="s">
        <v>#N/A N/A</v>
        <stp/>
        <stp>BDP|13406252930918310579</stp>
        <tr r="BM29" s="3"/>
      </tp>
      <tp t="s">
        <v>#N/A N/A</v>
        <stp/>
        <stp>BDP|17347261592963792056</stp>
        <tr r="V38" s="3"/>
      </tp>
      <tp t="s">
        <v>#N/A N/A</v>
        <stp/>
        <stp>BDP|16105062286341001046</stp>
        <tr r="AL39" s="3"/>
      </tp>
      <tp t="s">
        <v>#N/A N/A</v>
        <stp/>
        <stp>BDP|17691008224063168963</stp>
        <tr r="BB30" s="3"/>
      </tp>
      <tp t="s">
        <v>#N/A N/A</v>
        <stp/>
        <stp>BDP|14166813500465062653</stp>
        <tr r="AM19" s="3"/>
      </tp>
      <tp t="s">
        <v>#N/A N/A</v>
        <stp/>
        <stp>BDP|15287054714699006248</stp>
        <tr r="AH25" s="3"/>
      </tp>
      <tp t="s">
        <v>#N/A N/A</v>
        <stp/>
        <stp>BDP|12939869612884318092</stp>
        <tr r="AA59" s="3"/>
      </tp>
      <tp t="s">
        <v>#N/A N/A</v>
        <stp/>
        <stp>BDP|12083850525644699310</stp>
        <tr r="AO69" s="3"/>
      </tp>
      <tp t="s">
        <v>#N/A N/A</v>
        <stp/>
        <stp>BDP|11552970613976777000</stp>
        <tr r="BA25" s="3"/>
      </tp>
      <tp t="s">
        <v>#N/A N/A</v>
        <stp/>
        <stp>BDP|17075884310762757398</stp>
        <tr r="BL47" s="3"/>
      </tp>
      <tp t="s">
        <v>#N/A N/A</v>
        <stp/>
        <stp>BDP|18035961702299248709</stp>
        <tr r="BM16" s="3"/>
      </tp>
      <tp t="s">
        <v>#N/A N/A</v>
        <stp/>
        <stp>BDP|11744841676163721246</stp>
        <tr r="AS66" s="3"/>
      </tp>
      <tp t="s">
        <v>#N/A N/A</v>
        <stp/>
        <stp>BDP|15579671202848871717</stp>
        <tr r="AT19" s="3"/>
      </tp>
      <tp t="s">
        <v>#N/A N/A</v>
        <stp/>
        <stp>BDP|17688085587427140411</stp>
        <tr r="BQ43" s="3"/>
      </tp>
      <tp t="s">
        <v>#N/A N/A</v>
        <stp/>
        <stp>BDP|15581152598111629079</stp>
        <tr r="AE49" s="3"/>
      </tp>
      <tp t="s">
        <v>#N/A N/A</v>
        <stp/>
        <stp>BDP|12089185220169410441</stp>
        <tr r="AX41" s="3"/>
      </tp>
      <tp t="s">
        <v>#N/A N/A</v>
        <stp/>
        <stp>BDP|16206361006749339097</stp>
        <tr r="AV29" s="3"/>
      </tp>
      <tp t="s">
        <v>#N/A N/A</v>
        <stp/>
        <stp>BDP|10621947232795004383</stp>
        <tr r="BG23" s="3"/>
      </tp>
      <tp t="s">
        <v>#N/A N/A</v>
        <stp/>
        <stp>BDP|12146309251728999014</stp>
        <tr r="BB53" s="3"/>
      </tp>
      <tp t="s">
        <v>#N/A N/A</v>
        <stp/>
        <stp>BDP|17177417096010842663</stp>
        <tr r="AY41" s="3"/>
      </tp>
      <tp t="s">
        <v>#N/A N/A</v>
        <stp/>
        <stp>BDP|16916204209668821007</stp>
        <tr r="AC63" s="3"/>
      </tp>
      <tp t="s">
        <v>#N/A N/A</v>
        <stp/>
        <stp>BDP|10972754067998187513</stp>
        <tr r="BE55" s="3"/>
      </tp>
      <tp t="s">
        <v>#N/A N/A</v>
        <stp/>
        <stp>BDP|15969619115506238849</stp>
        <tr r="AS15" s="3"/>
      </tp>
      <tp t="s">
        <v>#N/A N/A</v>
        <stp/>
        <stp>BDP|18211882911565409841</stp>
        <tr r="BM18" s="3"/>
      </tp>
      <tp t="s">
        <v>#N/A N/A</v>
        <stp/>
        <stp>BDP|13275936979861493076</stp>
        <tr r="BP34" s="3"/>
      </tp>
      <tp t="s">
        <v>#N/A N/A</v>
        <stp/>
        <stp>BDP|12415301396523061788</stp>
        <tr r="BE21" s="3"/>
      </tp>
      <tp t="s">
        <v>#N/A N/A</v>
        <stp/>
        <stp>BDP|12285467478019419421</stp>
        <tr r="BH59" s="3"/>
      </tp>
      <tp t="s">
        <v>#N/A N/A</v>
        <stp/>
        <stp>BDP|15983036780183399239</stp>
        <tr r="BK26" s="3"/>
      </tp>
      <tp t="s">
        <v>#N/A N/A</v>
        <stp/>
        <stp>BDP|12704044559769751278</stp>
        <tr r="BM31" s="3"/>
      </tp>
      <tp t="s">
        <v>#N/A N/A</v>
        <stp/>
        <stp>BDP|16905726391330411441</stp>
        <tr r="AL60" s="3"/>
      </tp>
      <tp t="s">
        <v>#N/A N/A</v>
        <stp/>
        <stp>BDP|10033508839509035345</stp>
        <tr r="BF29" s="3"/>
      </tp>
      <tp t="s">
        <v>#N/A N/A</v>
        <stp/>
        <stp>BDP|16008076963765173988</stp>
        <tr r="BL38" s="3"/>
      </tp>
      <tp t="s">
        <v>#N/A N/A</v>
        <stp/>
        <stp>BDP|14155178793982169291</stp>
        <tr r="AJ36" s="3"/>
      </tp>
      <tp t="s">
        <v>#N/A N/A</v>
        <stp/>
        <stp>BDP|13384566285770575288</stp>
        <tr r="BQ33" s="3"/>
      </tp>
      <tp t="s">
        <v>#N/A N/A</v>
        <stp/>
        <stp>BDP|11971816866216419577</stp>
        <tr r="AT18" s="3"/>
      </tp>
      <tp t="s">
        <v>#N/A N/A</v>
        <stp/>
        <stp>BDP|17292672227566610985</stp>
        <tr r="AB27" s="3"/>
      </tp>
      <tp t="s">
        <v>#N/A N/A</v>
        <stp/>
        <stp>BDP|17608890641076700158</stp>
        <tr r="BA64" s="3"/>
      </tp>
      <tp t="s">
        <v>#N/A N/A</v>
        <stp/>
        <stp>BDP|10691636922980375883</stp>
        <tr r="AA65" s="3"/>
      </tp>
      <tp t="s">
        <v>#N/A N/A</v>
        <stp/>
        <stp>BDP|11252280464740088917</stp>
        <tr r="AV46" s="3"/>
      </tp>
      <tp t="s">
        <v>#N/A N/A</v>
        <stp/>
        <stp>BDP|15853254421591523865</stp>
        <tr r="V69" s="3"/>
      </tp>
      <tp t="s">
        <v>#N/A N/A</v>
        <stp/>
        <stp>BDP|15513399085542372043</stp>
        <tr r="AP18" s="3"/>
      </tp>
      <tp t="s">
        <v>#N/A N/A</v>
        <stp/>
        <stp>BDP|12993442654376363947</stp>
        <tr r="AD45" s="3"/>
      </tp>
      <tp t="s">
        <v>#N/A N/A</v>
        <stp/>
        <stp>BDP|11257377046829809356</stp>
        <tr r="BH30" s="3"/>
      </tp>
      <tp t="s">
        <v>#N/A N/A</v>
        <stp/>
        <stp>BDP|14733958738127299562</stp>
        <tr r="AI65" s="3"/>
      </tp>
      <tp t="s">
        <v>#N/A N/A</v>
        <stp/>
        <stp>BDP|16743913292572192846</stp>
        <tr r="AG44" s="3"/>
      </tp>
      <tp t="s">
        <v>#N/A N/A</v>
        <stp/>
        <stp>BDP|13044514434160454901</stp>
        <tr r="AR21" s="3"/>
      </tp>
      <tp t="s">
        <v>#N/A N/A</v>
        <stp/>
        <stp>BDP|12229551401802724916</stp>
        <tr r="AA60" s="3"/>
      </tp>
      <tp t="s">
        <v>#N/A N/A</v>
        <stp/>
        <stp>BDP|11806843948984226564</stp>
        <tr r="AK35" s="3"/>
      </tp>
      <tp t="s">
        <v>#N/A N/A</v>
        <stp/>
        <stp>BDP|15323592096642692792</stp>
        <tr r="AO18" s="3"/>
      </tp>
      <tp t="s">
        <v>#N/A N/A</v>
        <stp/>
        <stp>BDP|10110402243079375529</stp>
        <tr r="BG61" s="3"/>
      </tp>
      <tp t="s">
        <v>#N/A N/A</v>
        <stp/>
        <stp>BDP|11011826620580383729</stp>
        <tr r="W54" s="3"/>
      </tp>
      <tp t="s">
        <v>#N/A N/A</v>
        <stp/>
        <stp>BDP|13485597298696398556</stp>
        <tr r="AX61" s="3"/>
      </tp>
      <tp t="s">
        <v>#N/A N/A</v>
        <stp/>
        <stp>BDP|10631867346112795235</stp>
        <tr r="BO53" s="3"/>
      </tp>
      <tp t="s">
        <v>#N/A N/A</v>
        <stp/>
        <stp>BDP|14464904564167285002</stp>
        <tr r="BJ18" s="3"/>
      </tp>
      <tp t="s">
        <v>#N/A N/A</v>
        <stp/>
        <stp>BDP|15392367430278026106</stp>
        <tr r="AN17" s="3"/>
      </tp>
      <tp t="s">
        <v>#N/A N/A</v>
        <stp/>
        <stp>BDP|17345671393211237503</stp>
        <tr r="BE40" s="3"/>
      </tp>
      <tp t="s">
        <v>#N/A N/A</v>
        <stp/>
        <stp>BDP|15893693518539566783</stp>
        <tr r="BE66" s="3"/>
      </tp>
      <tp t="s">
        <v>#N/A N/A</v>
        <stp/>
        <stp>BDP|17418415011068018604</stp>
        <tr r="AA39" s="3"/>
      </tp>
      <tp t="s">
        <v>#N/A N/A</v>
        <stp/>
        <stp>BDP|14030368991011556351</stp>
        <tr r="AZ64" s="3"/>
      </tp>
      <tp t="s">
        <v>#N/A N/A</v>
        <stp/>
        <stp>BDP|14486413551171690852</stp>
        <tr r="BQ22" s="3"/>
      </tp>
      <tp t="s">
        <v>#N/A N/A</v>
        <stp/>
        <stp>BDP|13326970035181309453</stp>
        <tr r="AS40" s="3"/>
      </tp>
      <tp t="s">
        <v>#N/A N/A</v>
        <stp/>
        <stp>BDP|14119317599234934670</stp>
        <tr r="AF17" s="3"/>
      </tp>
      <tp t="s">
        <v>#N/A N/A</v>
        <stp/>
        <stp>BDP|15925178408091085914</stp>
        <tr r="AH66" s="3"/>
      </tp>
      <tp t="s">
        <v>#N/A N/A</v>
        <stp/>
        <stp>BDP|15559488147900852948</stp>
        <tr r="BI61" s="3"/>
      </tp>
      <tp t="s">
        <v>#N/A N/A</v>
        <stp/>
        <stp>BDP|11341895415131809512</stp>
        <tr r="BO27" s="3"/>
      </tp>
      <tp t="s">
        <v>#N/A N/A</v>
        <stp/>
        <stp>BDP|16767999664814923155</stp>
        <tr r="AW37" s="3"/>
      </tp>
      <tp t="s">
        <v>#N/A N/A</v>
        <stp/>
        <stp>BDP|10977325179708522011</stp>
        <tr r="BA40" s="3"/>
      </tp>
      <tp t="s">
        <v>#N/A N/A</v>
        <stp/>
        <stp>BDP|14386264593636760579</stp>
        <tr r="AX21" s="3"/>
      </tp>
      <tp t="s">
        <v>#N/A N/A</v>
        <stp/>
        <stp>BDP|14244889692408606070</stp>
        <tr r="AJ20" s="3"/>
      </tp>
      <tp t="s">
        <v>#N/A N/A</v>
        <stp/>
        <stp>BDP|10979969200476021267</stp>
        <tr r="BO58" s="3"/>
      </tp>
      <tp t="s">
        <v>#N/A N/A</v>
        <stp/>
        <stp>BDP|15569074765406828864</stp>
        <tr r="BC65" s="3"/>
      </tp>
      <tp t="s">
        <v>#N/A N/A</v>
        <stp/>
        <stp>BDP|16969248851154535809</stp>
        <tr r="BQ55" s="3"/>
      </tp>
      <tp t="s">
        <v>#N/A N/A</v>
        <stp/>
        <stp>BDP|15643004578316491921</stp>
        <tr r="AE17" s="3"/>
      </tp>
      <tp t="s">
        <v>#N/A N/A</v>
        <stp/>
        <stp>BDP|15102836809204453478</stp>
        <tr r="BC33" s="3"/>
      </tp>
      <tp t="s">
        <v>#N/A N/A</v>
        <stp/>
        <stp>BDP|11304963148308586905</stp>
        <tr r="Z42" s="3"/>
      </tp>
      <tp t="s">
        <v>#N/A N/A</v>
        <stp/>
        <stp>BDP|12750680845838228503</stp>
        <tr r="BA57" s="3"/>
      </tp>
      <tp t="s">
        <v>#N/A N/A</v>
        <stp/>
        <stp>BDP|13805867683596274877</stp>
        <tr r="BO46" s="3"/>
      </tp>
      <tp t="s">
        <v>#N/A N/A</v>
        <stp/>
        <stp>BDP|15622599212625180943</stp>
        <tr r="AM34" s="3"/>
      </tp>
      <tp t="s">
        <v>#N/A N/A</v>
        <stp/>
        <stp>BDP|10403144214565766886</stp>
        <tr r="AQ51" s="3"/>
      </tp>
      <tp t="s">
        <v>#N/A N/A</v>
        <stp/>
        <stp>BDP|11580757745236755998</stp>
        <tr r="BA62" s="3"/>
      </tp>
      <tp t="s">
        <v>#N/A N/A</v>
        <stp/>
        <stp>BDP|15020280008963842939</stp>
        <tr r="BG54" s="3"/>
      </tp>
      <tp t="s">
        <v>#N/A N/A</v>
        <stp/>
        <stp>BDP|12484869374075901544</stp>
        <tr r="AI60" s="3"/>
      </tp>
      <tp t="s">
        <v>#N/A N/A</v>
        <stp/>
        <stp>BDP|16915734203215785947</stp>
        <tr r="AI40" s="3"/>
      </tp>
      <tp t="s">
        <v>#N/A N/A</v>
        <stp/>
        <stp>BDP|15336691192610470760</stp>
        <tr r="AW20" s="3"/>
      </tp>
      <tp t="s">
        <v>#N/A N/A</v>
        <stp/>
        <stp>BDP|12512102732429232489</stp>
        <tr r="AI58" s="3"/>
      </tp>
      <tp t="s">
        <v>#N/A N/A</v>
        <stp/>
        <stp>BDP|16494563146263001999</stp>
        <tr r="AD23" s="3"/>
      </tp>
      <tp t="s">
        <v>#N/A N/A</v>
        <stp/>
        <stp>BDP|15367359317973841942</stp>
        <tr r="X57" s="3"/>
      </tp>
      <tp t="s">
        <v>#N/A N/A</v>
        <stp/>
        <stp>BDP|17910819844834187216</stp>
        <tr r="BD68" s="3"/>
      </tp>
      <tp t="s">
        <v>#N/A N/A</v>
        <stp/>
        <stp>BDP|15011167138603641946</stp>
        <tr r="V66" s="3"/>
      </tp>
      <tp t="s">
        <v>#N/A N/A</v>
        <stp/>
        <stp>BDP|13932421861455191979</stp>
        <tr r="AD54" s="3"/>
      </tp>
      <tp t="s">
        <v>#N/A N/A</v>
        <stp/>
        <stp>BDP|17880842935239129875</stp>
        <tr r="BE36" s="3"/>
      </tp>
      <tp t="s">
        <v>#N/A N/A</v>
        <stp/>
        <stp>BDP|12879519424878016029</stp>
        <tr r="BI34" s="3"/>
      </tp>
      <tp t="s">
        <v>#N/A N/A</v>
        <stp/>
        <stp>BDP|12783886780876559954</stp>
        <tr r="AR15" s="3"/>
      </tp>
      <tp t="s">
        <v>#N/A N/A</v>
        <stp/>
        <stp>BDP|17857736484390409544</stp>
        <tr r="AZ51" s="3"/>
      </tp>
      <tp t="s">
        <v>#N/A N/A</v>
        <stp/>
        <stp>BDP|11579219118719794658</stp>
        <tr r="AO26" s="3"/>
      </tp>
      <tp t="s">
        <v>#N/A N/A</v>
        <stp/>
        <stp>BDP|17444399943278647563</stp>
        <tr r="BD60" s="3"/>
      </tp>
      <tp t="s">
        <v>#N/A N/A</v>
        <stp/>
        <stp>BDP|10670783424040427803</stp>
        <tr r="AX48" s="3"/>
      </tp>
      <tp t="s">
        <v>#N/A N/A</v>
        <stp/>
        <stp>BDP|12497629994935594594</stp>
        <tr r="AX42" s="3"/>
      </tp>
      <tp t="s">
        <v>#N/A N/A</v>
        <stp/>
        <stp>BDP|12411396108399081545</stp>
        <tr r="AG50" s="3"/>
      </tp>
      <tp t="s">
        <v>#N/A N/A</v>
        <stp/>
        <stp>BDP|12465791565427960909</stp>
        <tr r="BH58" s="3"/>
      </tp>
      <tp t="s">
        <v>#N/A N/A</v>
        <stp/>
        <stp>BDP|18146930517739059445</stp>
        <tr r="U57" s="3"/>
      </tp>
      <tp t="s">
        <v>#N/A N/A</v>
        <stp/>
        <stp>BDP|10114461462379037643</stp>
        <tr r="AO61" s="3"/>
      </tp>
      <tp t="s">
        <v>#N/A N/A</v>
        <stp/>
        <stp>BDP|16778513980016170060</stp>
        <tr r="W52" s="3"/>
      </tp>
      <tp t="s">
        <v>#N/A N/A</v>
        <stp/>
        <stp>BDP|18040730166082130651</stp>
        <tr r="BJ21" s="3"/>
      </tp>
      <tp t="s">
        <v>#N/A N/A</v>
        <stp/>
        <stp>BDP|12930630656125412996</stp>
        <tr r="BJ38" s="3"/>
      </tp>
      <tp t="s">
        <v>#N/A N/A</v>
        <stp/>
        <stp>BDP|16387910734805291441</stp>
        <tr r="AI47" s="3"/>
      </tp>
      <tp t="s">
        <v>#N/A N/A</v>
        <stp/>
        <stp>BDP|13919992011652824496</stp>
        <tr r="AQ67" s="3"/>
      </tp>
      <tp t="s">
        <v>#N/A N/A</v>
        <stp/>
        <stp>BDP|15497908715307726766</stp>
        <tr r="BD15" s="3"/>
      </tp>
      <tp t="s">
        <v>#N/A N/A</v>
        <stp/>
        <stp>BDP|12938874838120368468</stp>
        <tr r="V28" s="3"/>
      </tp>
      <tp t="s">
        <v>#N/A N/A</v>
        <stp/>
        <stp>BDP|17118218154045616815</stp>
        <tr r="AM65" s="3"/>
      </tp>
      <tp t="s">
        <v>#N/A N/A</v>
        <stp/>
        <stp>BDP|18070653941680662711</stp>
        <tr r="Z53" s="3"/>
      </tp>
      <tp t="s">
        <v>#N/A N/A</v>
        <stp/>
        <stp>BDP|13112374504989332431</stp>
        <tr r="AZ60" s="3"/>
      </tp>
      <tp t="s">
        <v>#N/A N/A</v>
        <stp/>
        <stp>BDP|14638101601601508906</stp>
        <tr r="BI50" s="3"/>
      </tp>
      <tp t="s">
        <v>#N/A N/A</v>
        <stp/>
        <stp>BDP|13129965411265694355</stp>
        <tr r="AP50" s="3"/>
      </tp>
      <tp t="s">
        <v>#N/A N/A</v>
        <stp/>
        <stp>BDP|18115888587580993520</stp>
        <tr r="AX27" s="3"/>
      </tp>
      <tp t="s">
        <v>#N/A N/A</v>
        <stp/>
        <stp>BDP|15804097724998597253</stp>
        <tr r="AT23" s="3"/>
      </tp>
      <tp t="s">
        <v>#N/A N/A</v>
        <stp/>
        <stp>BDP|18393112877300506342</stp>
        <tr r="AG17" s="3"/>
      </tp>
      <tp t="s">
        <v>#N/A N/A</v>
        <stp/>
        <stp>BDP|16352499774250319897</stp>
        <tr r="BM39" s="3"/>
      </tp>
      <tp t="s">
        <v>#N/A N/A</v>
        <stp/>
        <stp>BDP|16580016592485068721</stp>
        <tr r="AT34" s="3"/>
      </tp>
      <tp t="s">
        <v>#N/A N/A</v>
        <stp/>
        <stp>BDP|10677466682422483329</stp>
        <tr r="AR58" s="3"/>
      </tp>
      <tp t="s">
        <v>#N/A N/A</v>
        <stp/>
        <stp>BDP|14699519044439120159</stp>
        <tr r="AJ63" s="3"/>
      </tp>
      <tp t="s">
        <v>#N/A N/A</v>
        <stp/>
        <stp>BDP|13338612776089383605</stp>
        <tr r="AT39" s="3"/>
      </tp>
      <tp t="s">
        <v>#N/A N/A</v>
        <stp/>
        <stp>BDP|18116927863202032876</stp>
        <tr r="AZ41" s="3"/>
      </tp>
      <tp t="s">
        <v>#N/A N/A</v>
        <stp/>
        <stp>BDP|12710435285811282243</stp>
        <tr r="AK21" s="3"/>
      </tp>
      <tp t="s">
        <v>#N/A N/A</v>
        <stp/>
        <stp>BDP|15969581781554778103</stp>
        <tr r="BK69" s="3"/>
      </tp>
      <tp t="s">
        <v>#N/A N/A</v>
        <stp/>
        <stp>BDP|15299113465159171610</stp>
        <tr r="AA15" s="3"/>
      </tp>
      <tp t="s">
        <v>#N/A N/A</v>
        <stp/>
        <stp>BDP|10477647382877273463</stp>
        <tr r="BO34" s="3"/>
      </tp>
      <tp t="s">
        <v>#N/A N/A</v>
        <stp/>
        <stp>BDP|15047165039002164886</stp>
        <tr r="AP33" s="3"/>
      </tp>
      <tp t="s">
        <v>#N/A N/A</v>
        <stp/>
        <stp>BDP|16483713006179286572</stp>
        <tr r="AY63" s="3"/>
      </tp>
      <tp t="s">
        <v>#N/A N/A</v>
        <stp/>
        <stp>BDP|14785438078222684731</stp>
        <tr r="AW34" s="3"/>
      </tp>
      <tp t="s">
        <v>#N/A N/A</v>
        <stp/>
        <stp>BDP|16477289860734360461</stp>
        <tr r="AP42" s="3"/>
      </tp>
      <tp t="s">
        <v>#N/A N/A</v>
        <stp/>
        <stp>BDP|10019351741554959141</stp>
        <tr r="AB56" s="3"/>
      </tp>
      <tp t="s">
        <v>#N/A N/A</v>
        <stp/>
        <stp>BDP|12136445469483271173</stp>
        <tr r="AI57" s="3"/>
      </tp>
      <tp t="s">
        <v>#N/A N/A</v>
        <stp/>
        <stp>BDP|12927058806879065930</stp>
        <tr r="BO37" s="3"/>
      </tp>
      <tp t="s">
        <v>#N/A N/A</v>
        <stp/>
        <stp>BDP|15220183252447713460</stp>
        <tr r="BO44" s="3"/>
      </tp>
      <tp t="s">
        <v>#N/A N/A</v>
        <stp/>
        <stp>BDP|13123770438430251549</stp>
        <tr r="AG30" s="3"/>
      </tp>
      <tp t="s">
        <v>#N/A N/A</v>
        <stp/>
        <stp>BDP|13510738209202236450</stp>
        <tr r="AW33" s="3"/>
      </tp>
      <tp t="s">
        <v>#N/A N/A</v>
        <stp/>
        <stp>BDP|13502245160033934608</stp>
        <tr r="AN62" s="3"/>
      </tp>
      <tp t="s">
        <v>#N/A N/A</v>
        <stp/>
        <stp>BDP|11328498713284112204</stp>
        <tr r="BE49" s="3"/>
      </tp>
      <tp t="s">
        <v>#N/A N/A</v>
        <stp/>
        <stp>BDP|13340141508851489139</stp>
        <tr r="Z16" s="3"/>
      </tp>
      <tp t="s">
        <v>#N/A N/A</v>
        <stp/>
        <stp>BDP|11972627514466359242</stp>
        <tr r="BD25" s="3"/>
      </tp>
      <tp t="s">
        <v>#N/A N/A</v>
        <stp/>
        <stp>BDP|11911479325875176022</stp>
        <tr r="U54" s="3"/>
      </tp>
      <tp t="s">
        <v>#N/A N/A</v>
        <stp/>
        <stp>BDP|12020559653683409393</stp>
        <tr r="BC15" s="3"/>
      </tp>
      <tp t="s">
        <v>#N/A N/A</v>
        <stp/>
        <stp>BDP|15162829497994725284</stp>
        <tr r="BE67" s="3"/>
      </tp>
      <tp t="s">
        <v>#N/A N/A</v>
        <stp/>
        <stp>BDP|11184258979662700413</stp>
        <tr r="BH55" s="3"/>
      </tp>
      <tp t="s">
        <v>#N/A N/A</v>
        <stp/>
        <stp>BDP|13980233320153390239</stp>
        <tr r="AF43" s="3"/>
      </tp>
      <tp t="s">
        <v>#N/A N/A</v>
        <stp/>
        <stp>BDP|12801572865850086302</stp>
        <tr r="AN69" s="3"/>
      </tp>
      <tp t="s">
        <v>#N/A N/A</v>
        <stp/>
        <stp>BDP|17986298178746603643</stp>
        <tr r="BP31" s="3"/>
      </tp>
      <tp t="s">
        <v>#N/A N/A</v>
        <stp/>
        <stp>BDP|18311010587171125392</stp>
        <tr r="AK44" s="3"/>
      </tp>
      <tp t="s">
        <v>#N/A N/A</v>
        <stp/>
        <stp>BDP|12722797127275012040</stp>
        <tr r="AC57" s="3"/>
      </tp>
      <tp t="s">
        <v>#N/A N/A</v>
        <stp/>
        <stp>BDP|13026303248901052759</stp>
        <tr r="BP46" s="3"/>
      </tp>
      <tp t="s">
        <v>#N/A N/A</v>
        <stp/>
        <stp>BDP|11651692410311693555</stp>
        <tr r="AZ47" s="3"/>
      </tp>
      <tp t="s">
        <v>#N/A N/A</v>
        <stp/>
        <stp>BDP|15880772436111657231</stp>
        <tr r="AW18" s="3"/>
      </tp>
      <tp t="s">
        <v>#N/A N/A</v>
        <stp/>
        <stp>BDP|14543258413375954067</stp>
        <tr r="AJ58" s="3"/>
      </tp>
      <tp t="s">
        <v>#N/A N/A</v>
        <stp/>
        <stp>BDP|11936259333943026130</stp>
        <tr r="BQ62" s="3"/>
      </tp>
      <tp t="s">
        <v>#N/A N/A</v>
        <stp/>
        <stp>BDP|17792440848101212459</stp>
        <tr r="Z52" s="3"/>
      </tp>
      <tp t="s">
        <v>#N/A N/A</v>
        <stp/>
        <stp>BDP|17807676434423197353</stp>
        <tr r="BF15" s="3"/>
      </tp>
      <tp t="s">
        <v>#N/A N/A</v>
        <stp/>
        <stp>BDP|12248732536902046684</stp>
        <tr r="AI51" s="3"/>
      </tp>
      <tp t="s">
        <v>#N/A N/A</v>
        <stp/>
        <stp>BDP|14028191326333878684</stp>
        <tr r="BE29" s="3"/>
      </tp>
      <tp t="s">
        <v>#N/A N/A</v>
        <stp/>
        <stp>BDP|16151390872479091958</stp>
        <tr r="AW49" s="3"/>
      </tp>
      <tp t="s">
        <v>#N/A N/A</v>
        <stp/>
        <stp>BDP|10993049640320613645</stp>
        <tr r="BI48" s="3"/>
      </tp>
      <tp t="s">
        <v>#N/A N/A</v>
        <stp/>
        <stp>BDP|15438080800005126224</stp>
        <tr r="BC29" s="3"/>
      </tp>
      <tp t="s">
        <v>#N/A N/A</v>
        <stp/>
        <stp>BDP|15452796956815687039</stp>
        <tr r="AT21" s="3"/>
      </tp>
      <tp t="s">
        <v>#N/A N/A</v>
        <stp/>
        <stp>BDP|10423024166052615685</stp>
        <tr r="BE56" s="3"/>
      </tp>
      <tp t="s">
        <v>#N/A N/A</v>
        <stp/>
        <stp>BDP|13951676130002411645</stp>
        <tr r="X16" s="3"/>
      </tp>
      <tp t="s">
        <v>#N/A N/A</v>
        <stp/>
        <stp>BDP|16558453302516458681</stp>
        <tr r="BQ56" s="3"/>
      </tp>
      <tp t="s">
        <v>#N/A N/A</v>
        <stp/>
        <stp>BDP|14166284505512541677</stp>
        <tr r="AW15" s="3"/>
      </tp>
      <tp t="s">
        <v>#N/A N/A</v>
        <stp/>
        <stp>BDP|17980533099350262904</stp>
        <tr r="AY29" s="3"/>
      </tp>
      <tp t="s">
        <v>#N/A N/A</v>
        <stp/>
        <stp>BDP|11512202103898555920</stp>
        <tr r="Z60" s="3"/>
      </tp>
      <tp t="s">
        <v>#N/A N/A</v>
        <stp/>
        <stp>BDP|11112034427768275968</stp>
        <tr r="AN31" s="3"/>
      </tp>
      <tp t="s">
        <v>#N/A N/A</v>
        <stp/>
        <stp>BDP|12225660425044234023</stp>
        <tr r="AL21" s="3"/>
      </tp>
      <tp t="s">
        <v>#N/A N/A</v>
        <stp/>
        <stp>BDP|10998566855283883135</stp>
        <tr r="V67" s="3"/>
      </tp>
      <tp t="s">
        <v>#N/A N/A</v>
        <stp/>
        <stp>BDP|16599429206843468348</stp>
        <tr r="BO54" s="3"/>
      </tp>
      <tp t="s">
        <v>#N/A N/A</v>
        <stp/>
        <stp>BDP|15068274114840263417</stp>
        <tr r="AM24" s="3"/>
      </tp>
      <tp t="s">
        <v>#N/A N/A</v>
        <stp/>
        <stp>BDP|12422613477859717852</stp>
        <tr r="Z32" s="3"/>
      </tp>
      <tp t="s">
        <v>#N/A N/A</v>
        <stp/>
        <stp>BDP|12422500505020355529</stp>
        <tr r="BF20" s="3"/>
      </tp>
      <tp t="s">
        <v>#N/A N/A</v>
        <stp/>
        <stp>BDP|12279096938796180523</stp>
        <tr r="AJ39" s="3"/>
      </tp>
      <tp t="s">
        <v>#N/A N/A</v>
        <stp/>
        <stp>BDP|14914393566593592032</stp>
        <tr r="BL24" s="3"/>
      </tp>
      <tp t="s">
        <v>#N/A N/A</v>
        <stp/>
        <stp>BDP|12108885277729690689</stp>
        <tr r="AE57" s="3"/>
      </tp>
      <tp t="s">
        <v>#N/A N/A</v>
        <stp/>
        <stp>BDP|16648120460381468204</stp>
        <tr r="BG69" s="3"/>
      </tp>
      <tp t="s">
        <v>#N/A N/A</v>
        <stp/>
        <stp>BDP|13235268020367735615</stp>
        <tr r="AL68" s="3"/>
      </tp>
      <tp t="s">
        <v>#N/A N/A</v>
        <stp/>
        <stp>BDP|11222687348909181818</stp>
        <tr r="V18" s="3"/>
      </tp>
      <tp t="s">
        <v>#N/A N/A</v>
        <stp/>
        <stp>BDP|17030458570285720308</stp>
        <tr r="V23" s="3"/>
      </tp>
      <tp t="s">
        <v>#N/A N/A</v>
        <stp/>
        <stp>BDP|17517787627329820906</stp>
        <tr r="AM44" s="3"/>
      </tp>
      <tp t="s">
        <v>#N/A N/A</v>
        <stp/>
        <stp>BDP|12885070573096941178</stp>
        <tr r="X67" s="3"/>
      </tp>
      <tp t="s">
        <v>#N/A N/A</v>
        <stp/>
        <stp>BDP|15888964367639876142</stp>
        <tr r="AC55" s="3"/>
      </tp>
      <tp t="s">
        <v>#N/A N/A</v>
        <stp/>
        <stp>BDP|15174600205700983186</stp>
        <tr r="V34" s="3"/>
      </tp>
      <tp t="s">
        <v>#N/A N/A</v>
        <stp/>
        <stp>BDP|16656945554830528866</stp>
        <tr r="Z37" s="3"/>
      </tp>
      <tp t="s">
        <v>#N/A N/A</v>
        <stp/>
        <stp>BDP|10006904135520497849</stp>
        <tr r="AW52" s="3"/>
      </tp>
      <tp t="s">
        <v>#N/A N/A</v>
        <stp/>
        <stp>BDP|16427299831070002581</stp>
        <tr r="BO38" s="3"/>
      </tp>
      <tp t="s">
        <v>#N/A N/A</v>
        <stp/>
        <stp>BDP|17325471756211196572</stp>
        <tr r="AL34" s="3"/>
      </tp>
      <tp t="s">
        <v>#N/A N/A</v>
        <stp/>
        <stp>BDP|13381363864811483518</stp>
        <tr r="AJ16" s="3"/>
      </tp>
      <tp t="s">
        <v>#N/A N/A</v>
        <stp/>
        <stp>BDP|15364339220453137559</stp>
        <tr r="AM29" s="3"/>
      </tp>
      <tp t="s">
        <v>#N/A N/A</v>
        <stp/>
        <stp>BDP|18439565004599053627</stp>
        <tr r="AC52" s="3"/>
      </tp>
      <tp t="s">
        <v>#N/A N/A</v>
        <stp/>
        <stp>BDP|10027500416677629146</stp>
        <tr r="BM50" s="3"/>
      </tp>
      <tp t="s">
        <v>#N/A N/A</v>
        <stp/>
        <stp>BDP|13954165317550521191</stp>
        <tr r="AW63" s="3"/>
      </tp>
      <tp t="s">
        <v>#N/A N/A</v>
        <stp/>
        <stp>BDP|12919268166133762795</stp>
        <tr r="AY56" s="3"/>
      </tp>
      <tp t="s">
        <v>#N/A N/A</v>
        <stp/>
        <stp>BDP|10003868267244570836</stp>
        <tr r="Y32" s="3"/>
      </tp>
      <tp t="s">
        <v>#N/A N/A</v>
        <stp/>
        <stp>BDP|10781730358251328185</stp>
        <tr r="AE41" s="3"/>
      </tp>
      <tp t="s">
        <v>#N/A N/A</v>
        <stp/>
        <stp>BDP|17173209820283656605</stp>
        <tr r="X37" s="3"/>
      </tp>
      <tp t="s">
        <v>#N/A N/A</v>
        <stp/>
        <stp>BDP|10651495618562360531</stp>
        <tr r="AX33" s="3"/>
      </tp>
      <tp t="s">
        <v>#N/A N/A</v>
        <stp/>
        <stp>BDP|18397826318553739098</stp>
        <tr r="AM17" s="3"/>
      </tp>
      <tp t="s">
        <v>#N/A N/A</v>
        <stp/>
        <stp>BDP|14377874432114760965</stp>
        <tr r="BB28" s="3"/>
      </tp>
      <tp t="s">
        <v>#N/A N/A</v>
        <stp/>
        <stp>BDP|10722401902453714551</stp>
        <tr r="X21" s="3"/>
      </tp>
      <tp t="s">
        <v>#N/A N/A</v>
        <stp/>
        <stp>BDP|16675377206632481549</stp>
        <tr r="AM64" s="3"/>
      </tp>
      <tp t="s">
        <v>#N/A N/A</v>
        <stp/>
        <stp>BDP|17844995097892842798</stp>
        <tr r="AX65" s="3"/>
      </tp>
      <tp t="s">
        <v>#N/A N/A</v>
        <stp/>
        <stp>BDP|11439671824781990699</stp>
        <tr r="AW16" s="3"/>
      </tp>
      <tp t="s">
        <v>#N/A N/A</v>
        <stp/>
        <stp>BDP|16422413064721232740</stp>
        <tr r="BN37" s="3"/>
      </tp>
      <tp t="s">
        <v>#N/A N/A</v>
        <stp/>
        <stp>BDP|17160577081281765971</stp>
        <tr r="AG35" s="3"/>
      </tp>
      <tp t="s">
        <v>#N/A N/A</v>
        <stp/>
        <stp>BDP|14701664124350789241</stp>
        <tr r="AM42" s="3"/>
      </tp>
      <tp t="s">
        <v>#N/A N/A</v>
        <stp/>
        <stp>BDP|14777646550887417215</stp>
        <tr r="BH48" s="3"/>
      </tp>
      <tp t="s">
        <v>#N/A N/A</v>
        <stp/>
        <stp>BDP|14840233027843274584</stp>
        <tr r="AL15" s="3"/>
      </tp>
      <tp t="s">
        <v>#N/A N/A</v>
        <stp/>
        <stp>BDP|16931481931280523333</stp>
        <tr r="BI26" s="3"/>
      </tp>
      <tp t="s">
        <v>#N/A N/A</v>
        <stp/>
        <stp>BDP|11992633186074825928</stp>
        <tr r="AO49" s="3"/>
      </tp>
      <tp t="s">
        <v>#N/A N/A</v>
        <stp/>
        <stp>BDP|12401392130421986129</stp>
        <tr r="BA55" s="3"/>
      </tp>
      <tp t="s">
        <v>#N/A N/A</v>
        <stp/>
        <stp>BDP|10866139374901178587</stp>
        <tr r="AK34" s="3"/>
      </tp>
      <tp t="s">
        <v>#N/A N/A</v>
        <stp/>
        <stp>BDP|13766755360757461704</stp>
        <tr r="AY60" s="3"/>
      </tp>
      <tp t="s">
        <v>#N/A N/A</v>
        <stp/>
        <stp>BDP|14435746285008198129</stp>
        <tr r="AB36" s="3"/>
      </tp>
      <tp t="s">
        <v>#N/A N/A</v>
        <stp/>
        <stp>BDP|12077003257592646770</stp>
        <tr r="BQ53" s="3"/>
      </tp>
      <tp t="s">
        <v>#N/A N/A</v>
        <stp/>
        <stp>BDP|13523676346793061021</stp>
        <tr r="BP52" s="3"/>
      </tp>
      <tp t="s">
        <v>#N/A N/A</v>
        <stp/>
        <stp>BDP|10891521728711297462</stp>
        <tr r="BH28" s="3"/>
      </tp>
      <tp t="s">
        <v>#N/A N/A</v>
        <stp/>
        <stp>BDP|11681528730785457199</stp>
        <tr r="AA21" s="3"/>
      </tp>
      <tp t="s">
        <v>#N/A N/A</v>
        <stp/>
        <stp>BDP|11168120289719592261</stp>
        <tr r="AE54" s="3"/>
      </tp>
      <tp t="s">
        <v>#N/A N/A</v>
        <stp/>
        <stp>BDP|15782375444092804355</stp>
        <tr r="AX23" s="3"/>
      </tp>
      <tp t="s">
        <v>#N/A N/A</v>
        <stp/>
        <stp>BDP|13145113835251439389</stp>
        <tr r="AN24" s="3"/>
      </tp>
      <tp t="s">
        <v>#N/A N/A</v>
        <stp/>
        <stp>BDP|16027185840078086811</stp>
        <tr r="AT60" s="3"/>
      </tp>
      <tp t="s">
        <v>#N/A N/A</v>
        <stp/>
        <stp>BDP|18201863142611609697</stp>
        <tr r="AV20" s="3"/>
      </tp>
      <tp t="s">
        <v>#N/A N/A</v>
        <stp/>
        <stp>BDP|14972703619714974503</stp>
        <tr r="AN67" s="3"/>
      </tp>
      <tp t="s">
        <v>#N/A N/A</v>
        <stp/>
        <stp>BDP|17210624105247889554</stp>
        <tr r="BB69" s="3"/>
      </tp>
      <tp t="s">
        <v>#N/A N/A</v>
        <stp/>
        <stp>BDP|10075851158037709925</stp>
        <tr r="AS25" s="3"/>
      </tp>
      <tp t="s">
        <v>#N/A N/A</v>
        <stp/>
        <stp>BDP|12223402468364527770</stp>
        <tr r="AB62" s="3"/>
      </tp>
      <tp t="s">
        <v>#N/A N/A</v>
        <stp/>
        <stp>BDP|11268228609486783665</stp>
        <tr r="BG65" s="3"/>
      </tp>
      <tp t="s">
        <v>#N/A N/A</v>
        <stp/>
        <stp>BDP|15450923462929989069</stp>
        <tr r="AQ63" s="3"/>
      </tp>
      <tp t="s">
        <v>#N/A N/A</v>
        <stp/>
        <stp>BDP|10716326071672708585</stp>
        <tr r="AG36" s="3"/>
      </tp>
      <tp t="s">
        <v>#N/A N/A</v>
        <stp/>
        <stp>BDP|17677439086891929910</stp>
        <tr r="AG64" s="3"/>
      </tp>
      <tp t="s">
        <v>#N/A N/A</v>
        <stp/>
        <stp>BDP|13668797079079559980</stp>
        <tr r="AC53" s="3"/>
      </tp>
      <tp t="s">
        <v>#N/A N/A</v>
        <stp/>
        <stp>BDP|11770760955327884766</stp>
        <tr r="BD62" s="3"/>
      </tp>
      <tp t="s">
        <v>#N/A N/A</v>
        <stp/>
        <stp>BDP|18055630282565291090</stp>
        <tr r="X63" s="3"/>
      </tp>
      <tp t="s">
        <v>#N/A N/A</v>
        <stp/>
        <stp>BDP|14730244698145881992</stp>
        <tr r="Y21" s="3"/>
      </tp>
      <tp t="s">
        <v>#N/A N/A</v>
        <stp/>
        <stp>BDP|15995178955475428756</stp>
        <tr r="AG69" s="3"/>
      </tp>
      <tp t="s">
        <v>#N/A N/A</v>
        <stp/>
        <stp>BDP|17786778077296976243</stp>
        <tr r="Z62" s="3"/>
      </tp>
      <tp t="s">
        <v>#N/A N/A</v>
        <stp/>
        <stp>BDP|14296449480768507391</stp>
        <tr r="BN16" s="3"/>
      </tp>
      <tp t="s">
        <v>#N/A N/A</v>
        <stp/>
        <stp>BDP|17153193110191757528</stp>
        <tr r="U15" s="3"/>
      </tp>
      <tp t="s">
        <v>#N/A N/A</v>
        <stp/>
        <stp>BDP|12602786239884964137</stp>
        <tr r="AA27" s="3"/>
      </tp>
      <tp t="s">
        <v>#N/A N/A</v>
        <stp/>
        <stp>BDP|11551161511975806770</stp>
        <tr r="BL60" s="3"/>
      </tp>
      <tp t="s">
        <v>#N/A N/A</v>
        <stp/>
        <stp>BDP|11020358362705283283</stp>
        <tr r="BF63" s="3"/>
      </tp>
      <tp t="s">
        <v>#N/A N/A</v>
        <stp/>
        <stp>BDP|13756626565611829153</stp>
        <tr r="BC35" s="3"/>
      </tp>
      <tp t="s">
        <v>#N/A N/A</v>
        <stp/>
        <stp>BDP|13559703052874382686</stp>
        <tr r="BQ37" s="3"/>
      </tp>
      <tp t="s">
        <v>#N/A N/A</v>
        <stp/>
        <stp>BDP|13976727424544949199</stp>
        <tr r="AL29" s="3"/>
      </tp>
      <tp t="s">
        <v>#N/A N/A</v>
        <stp/>
        <stp>BDP|11502116058717196120</stp>
        <tr r="BD55" s="3"/>
      </tp>
      <tp t="s">
        <v>#N/A N/A</v>
        <stp/>
        <stp>BDP|15069189470685231557</stp>
        <tr r="BB61" s="3"/>
      </tp>
      <tp t="s">
        <v>#N/A N/A</v>
        <stp/>
        <stp>BDP|13769499247292687204</stp>
        <tr r="AQ48" s="3"/>
      </tp>
      <tp t="s">
        <v>#N/A N/A</v>
        <stp/>
        <stp>BDP|18373914796589820233</stp>
        <tr r="AS26" s="3"/>
      </tp>
      <tp t="s">
        <v>#N/A N/A</v>
        <stp/>
        <stp>BDP|15511368835195151388</stp>
        <tr r="BG38" s="3"/>
      </tp>
      <tp t="s">
        <v>#N/A N/A</v>
        <stp/>
        <stp>BDP|17952426025815890788</stp>
        <tr r="AV59" s="3"/>
      </tp>
      <tp t="s">
        <v>#N/A N/A</v>
        <stp/>
        <stp>BDP|10250634709237384258</stp>
        <tr r="AH34" s="3"/>
      </tp>
      <tp t="s">
        <v>#N/A N/A</v>
        <stp/>
        <stp>BDP|14330625768594740300</stp>
        <tr r="AA34" s="3"/>
      </tp>
      <tp t="s">
        <v>#N/A N/A</v>
        <stp/>
        <stp>BDP|18259007889167642431</stp>
        <tr r="AJ54" s="3"/>
      </tp>
      <tp t="s">
        <v>#N/A N/A</v>
        <stp/>
        <stp>BDP|13696459177667763429</stp>
        <tr r="AJ51" s="3"/>
      </tp>
      <tp t="s">
        <v>#N/A N/A</v>
        <stp/>
        <stp>BDP|14380865214539929794</stp>
        <tr r="AG29" s="3"/>
      </tp>
      <tp t="s">
        <v>#N/A N/A</v>
        <stp/>
        <stp>BDP|16453993749411259970</stp>
        <tr r="BD63" s="3"/>
      </tp>
      <tp t="s">
        <v>#N/A N/A</v>
        <stp/>
        <stp>BDP|15950388945842419313</stp>
        <tr r="BF16" s="3"/>
      </tp>
      <tp t="s">
        <v>#N/A N/A</v>
        <stp/>
        <stp>BDP|13648516422033358473</stp>
        <tr r="BC27" s="3"/>
      </tp>
      <tp t="s">
        <v>#N/A N/A</v>
        <stp/>
        <stp>BDP|11126009566026718204</stp>
        <tr r="BO33" s="3"/>
      </tp>
      <tp t="s">
        <v>#N/A N/A</v>
        <stp/>
        <stp>BDP|15647772725891303270</stp>
        <tr r="AP62" s="3"/>
      </tp>
      <tp t="s">
        <v>#N/A N/A</v>
        <stp/>
        <stp>BDP|18028812226500783100</stp>
        <tr r="BD44" s="3"/>
      </tp>
      <tp t="s">
        <v>#N/A N/A</v>
        <stp/>
        <stp>BDP|14639469223115255412</stp>
        <tr r="BD28" s="3"/>
      </tp>
      <tp t="s">
        <v>#N/A N/A</v>
        <stp/>
        <stp>BDP|11560040080003052911</stp>
        <tr r="AI62" s="3"/>
      </tp>
      <tp t="s">
        <v>#N/A N/A</v>
        <stp/>
        <stp>BDP|11261146408505916672</stp>
        <tr r="U52" s="3"/>
      </tp>
      <tp t="s">
        <v>#N/A N/A</v>
        <stp/>
        <stp>BDP|15856536117247841541</stp>
        <tr r="AH61" s="3"/>
      </tp>
      <tp t="s">
        <v>#N/A N/A</v>
        <stp/>
        <stp>BDP|13729559983398042527</stp>
        <tr r="AO44" s="3"/>
      </tp>
      <tp t="s">
        <v>#N/A N/A</v>
        <stp/>
        <stp>BDP|14459472414697422518</stp>
        <tr r="AE56" s="3"/>
      </tp>
      <tp t="s">
        <v>#N/A N/A</v>
        <stp/>
        <stp>BDP|11007309955307498339</stp>
        <tr r="AX56" s="3"/>
      </tp>
      <tp t="s">
        <v>#N/A N/A</v>
        <stp/>
        <stp>BDP|15316136966597340678</stp>
        <tr r="AR17" s="3"/>
      </tp>
      <tp t="s">
        <v>#N/A N/A</v>
        <stp/>
        <stp>BDP|10579400468249648896</stp>
        <tr r="AK47" s="3"/>
      </tp>
      <tp t="s">
        <v>#N/A N/A</v>
        <stp/>
        <stp>BDP|16973043725112293589</stp>
        <tr r="AD42" s="3"/>
      </tp>
      <tp t="s">
        <v>#N/A N/A</v>
        <stp/>
        <stp>BDP|14924464830941946131</stp>
        <tr r="BA60" s="3"/>
      </tp>
      <tp t="s">
        <v>#N/A N/A</v>
        <stp/>
        <stp>BDP|10915281528611868240</stp>
        <tr r="U29" s="3"/>
      </tp>
      <tp t="s">
        <v>#N/A N/A</v>
        <stp/>
        <stp>BDP|15230056873853580242</stp>
        <tr r="BH21" s="3"/>
      </tp>
      <tp t="s">
        <v>#N/A N/A</v>
        <stp/>
        <stp>BDP|16345159983095005910</stp>
        <tr r="Z59" s="3"/>
      </tp>
      <tp t="s">
        <v>#N/A N/A</v>
        <stp/>
        <stp>BDP|10177926986443257130</stp>
        <tr r="AS43" s="3"/>
      </tp>
      <tp t="s">
        <v>#N/A N/A</v>
        <stp/>
        <stp>BDP|11298937692334418607</stp>
        <tr r="Z26" s="3"/>
      </tp>
      <tp t="s">
        <v>#N/A N/A</v>
        <stp/>
        <stp>BDP|12592776026093623757</stp>
        <tr r="X29" s="3"/>
      </tp>
      <tp t="s">
        <v>#N/A N/A</v>
        <stp/>
        <stp>BDP|18089863210542687078</stp>
        <tr r="BL19" s="3"/>
      </tp>
      <tp t="s">
        <v>#N/A N/A</v>
        <stp/>
        <stp>BDP|11983242705327910769</stp>
        <tr r="AU39" s="3"/>
      </tp>
      <tp t="s">
        <v>#N/A N/A</v>
        <stp/>
        <stp>BDP|12868625754770102282</stp>
        <tr r="AH26" s="3"/>
      </tp>
      <tp t="s">
        <v>#N/A N/A</v>
        <stp/>
        <stp>BDP|15365788332124671692</stp>
        <tr r="U21" s="3"/>
      </tp>
      <tp t="s">
        <v>#N/A N/A</v>
        <stp/>
        <stp>BDP|15743100526953560623</stp>
        <tr r="BG18" s="3"/>
      </tp>
      <tp t="s">
        <v>#N/A N/A</v>
        <stp/>
        <stp>BDP|17096816212695346862</stp>
        <tr r="AV34" s="3"/>
      </tp>
      <tp t="s">
        <v>#N/A N/A</v>
        <stp/>
        <stp>BDP|10291280202443869267</stp>
        <tr r="BP54" s="3"/>
      </tp>
      <tp t="s">
        <v>#N/A N/A</v>
        <stp/>
        <stp>BDP|14581579279356438392</stp>
        <tr r="AR25" s="3"/>
      </tp>
      <tp t="s">
        <v>#N/A N/A</v>
        <stp/>
        <stp>BDP|18269255378357968904</stp>
        <tr r="AD32" s="3"/>
      </tp>
      <tp t="s">
        <v>#N/A N/A</v>
        <stp/>
        <stp>BDP|12443612173094453442</stp>
        <tr r="AJ27" s="3"/>
      </tp>
      <tp t="s">
        <v>#N/A N/A</v>
        <stp/>
        <stp>BDP|10871274813304259483</stp>
        <tr r="BD61" s="3"/>
      </tp>
      <tp t="s">
        <v>#N/A N/A</v>
        <stp/>
        <stp>BDP|14572907094912087689</stp>
        <tr r="BP63" s="3"/>
      </tp>
      <tp t="s">
        <v>#N/A N/A</v>
        <stp/>
        <stp>BDP|15824768430091122066</stp>
        <tr r="AJ21" s="3"/>
      </tp>
      <tp t="s">
        <v>#N/A N/A</v>
        <stp/>
        <stp>BDP|15475190565716649473</stp>
        <tr r="AO33" s="3"/>
      </tp>
      <tp t="s">
        <v>#N/A N/A</v>
        <stp/>
        <stp>BDP|10671721298627206977</stp>
        <tr r="AO37" s="3"/>
      </tp>
      <tp t="s">
        <v>#N/A N/A</v>
        <stp/>
        <stp>BDP|18390637544893410991</stp>
        <tr r="X48" s="3"/>
      </tp>
      <tp t="s">
        <v>#N/A N/A</v>
        <stp/>
        <stp>BDP|10660834859065647830</stp>
        <tr r="BF21" s="3"/>
      </tp>
      <tp t="s">
        <v>#N/A N/A</v>
        <stp/>
        <stp>BDP|14240353312433911549</stp>
        <tr r="AX66" s="3"/>
      </tp>
      <tp t="s">
        <v>#N/A N/A</v>
        <stp/>
        <stp>BDP|13525343787981759992</stp>
        <tr r="AN68" s="3"/>
      </tp>
      <tp t="s">
        <v>#N/A N/A</v>
        <stp/>
        <stp>BDP|10105618751464000799</stp>
        <tr r="BO18" s="3"/>
      </tp>
      <tp t="s">
        <v>#N/A N/A</v>
        <stp/>
        <stp>BDP|16829371858862922252</stp>
        <tr r="BQ26" s="3"/>
      </tp>
      <tp t="s">
        <v>#N/A N/A</v>
        <stp/>
        <stp>BDP|12643868431828894123</stp>
        <tr r="BQ35" s="3"/>
      </tp>
      <tp t="s">
        <v>#N/A N/A</v>
        <stp/>
        <stp>BDP|13457629921171933653</stp>
        <tr r="AX28" s="3"/>
      </tp>
      <tp t="s">
        <v>#N/A N/A</v>
        <stp/>
        <stp>BDP|14834157541179311846</stp>
        <tr r="BM17" s="3"/>
      </tp>
      <tp t="s">
        <v>#N/A N/A</v>
        <stp/>
        <stp>BDP|14820156536452384438</stp>
        <tr r="BM38" s="3"/>
      </tp>
      <tp t="s">
        <v>#N/A N/A</v>
        <stp/>
        <stp>BDP|13443757556096537797</stp>
        <tr r="AG33" s="3"/>
      </tp>
      <tp t="s">
        <v>#N/A N/A</v>
        <stp/>
        <stp>BDP|12822583831097970333</stp>
        <tr r="AE61" s="3"/>
      </tp>
      <tp t="s">
        <v>#N/A N/A</v>
        <stp/>
        <stp>BDP|15707608165403892611</stp>
        <tr r="AZ66" s="3"/>
      </tp>
      <tp t="s">
        <v>#N/A N/A</v>
        <stp/>
        <stp>BDP|12247050787583316999</stp>
        <tr r="AA32" s="3"/>
      </tp>
      <tp t="s">
        <v>#N/A N/A</v>
        <stp/>
        <stp>BDP|10398190502398737957</stp>
        <tr r="AA69" s="3"/>
      </tp>
      <tp t="s">
        <v>#N/A N/A</v>
        <stp/>
        <stp>BDP|15973371211814697336</stp>
        <tr r="BG59" s="3"/>
      </tp>
      <tp t="s">
        <v>#N/A N/A</v>
        <stp/>
        <stp>BDP|14615089050641172058</stp>
        <tr r="AM39" s="3"/>
      </tp>
      <tp t="s">
        <v>#N/A N/A</v>
        <stp/>
        <stp>BDP|12976172594352729872</stp>
        <tr r="BG68" s="3"/>
      </tp>
      <tp t="s">
        <v>#N/A N/A</v>
        <stp/>
        <stp>BDP|15664327625030422488</stp>
        <tr r="AV23" s="3"/>
      </tp>
      <tp t="s">
        <v>#N/A N/A</v>
        <stp/>
        <stp>BDP|13611881575734120878</stp>
        <tr r="BN47" s="3"/>
      </tp>
      <tp t="s">
        <v>#N/A N/A</v>
        <stp/>
        <stp>BDP|18219760074540966840</stp>
        <tr r="AH23" s="3"/>
      </tp>
      <tp t="s">
        <v>#N/A N/A</v>
        <stp/>
        <stp>BDP|17300352664057716599</stp>
        <tr r="AW60" s="3"/>
      </tp>
      <tp t="s">
        <v>#N/A N/A</v>
        <stp/>
        <stp>BDP|15564508085318877040</stp>
        <tr r="AH41" s="3"/>
      </tp>
      <tp t="s">
        <v>#N/A N/A</v>
        <stp/>
        <stp>BDP|17230409903317948445</stp>
        <tr r="AF59" s="3"/>
      </tp>
      <tp t="s">
        <v>#N/A N/A</v>
        <stp/>
        <stp>BDP|15861007621701068651</stp>
        <tr r="Y49" s="3"/>
      </tp>
      <tp t="s">
        <v>#N/A N/A</v>
        <stp/>
        <stp>BDP|10038779138893645757</stp>
        <tr r="BL49" s="3"/>
      </tp>
      <tp t="s">
        <v>#N/A N/A</v>
        <stp/>
        <stp>BDP|14837197673774922671</stp>
        <tr r="AT32" s="3"/>
      </tp>
      <tp t="s">
        <v>#N/A N/A</v>
        <stp/>
        <stp>BDP|13096203949996246377</stp>
        <tr r="X45" s="3"/>
      </tp>
      <tp t="s">
        <v>#N/A N/A</v>
        <stp/>
        <stp>BDP|14868535749294729195</stp>
        <tr r="AV43" s="3"/>
      </tp>
      <tp t="s">
        <v>#N/A N/A</v>
        <stp/>
        <stp>BDP|12618503189569362604</stp>
        <tr r="AQ38" s="3"/>
      </tp>
      <tp t="s">
        <v>#N/A N/A</v>
        <stp/>
        <stp>BDP|14486783431926358623</stp>
        <tr r="BP61" s="3"/>
      </tp>
      <tp t="s">
        <v>#N/A N/A</v>
        <stp/>
        <stp>BDP|13563594503347599156</stp>
        <tr r="V57" s="3"/>
      </tp>
      <tp t="s">
        <v>#N/A N/A</v>
        <stp/>
        <stp>BDP|14162443408322127237</stp>
        <tr r="BC52" s="3"/>
      </tp>
      <tp t="s">
        <v>#N/A N/A</v>
        <stp/>
        <stp>BDP|16813370014514644022</stp>
        <tr r="BB60" s="3"/>
      </tp>
      <tp t="s">
        <v>#N/A N/A</v>
        <stp/>
        <stp>BDP|11332164390431317894</stp>
        <tr r="BB64" s="3"/>
      </tp>
      <tp t="s">
        <v>#N/A N/A</v>
        <stp/>
        <stp>BDP|15296670951680928634</stp>
        <tr r="Z36" s="3"/>
      </tp>
      <tp t="s">
        <v>#N/A N/A</v>
        <stp/>
        <stp>BDP|16864117067752769379</stp>
        <tr r="BK27" s="3"/>
      </tp>
      <tp t="s">
        <v>#N/A N/A</v>
        <stp/>
        <stp>BDP|13433619539087364113</stp>
        <tr r="BJ50" s="3"/>
      </tp>
      <tp t="s">
        <v>#N/A N/A</v>
        <stp/>
        <stp>BDP|10117492034906570172</stp>
        <tr r="AD58" s="3"/>
      </tp>
      <tp t="s">
        <v>#N/A N/A</v>
        <stp/>
        <stp>BDP|12296460913682863514</stp>
        <tr r="BH45" s="3"/>
      </tp>
      <tp t="s">
        <v>#N/A N/A</v>
        <stp/>
        <stp>BDP|17136627558405080154</stp>
        <tr r="BL595" s="3"/>
        <tr r="BQ596" s="3"/>
        <tr r="BM586" s="3"/>
        <tr r="BL591" s="3"/>
        <tr r="BQ587" s="3"/>
        <tr r="BP585" s="3"/>
        <tr r="BP584" s="3"/>
        <tr r="BQ593" s="3"/>
        <tr r="BM582" s="3"/>
        <tr r="BM589" s="3"/>
        <tr r="BL586" s="3"/>
        <tr r="BO592" s="3"/>
        <tr r="BN588" s="3"/>
        <tr r="BM585" s="3"/>
        <tr r="BM594" s="3"/>
        <tr r="BO584" s="3"/>
        <tr r="BL589" s="3"/>
        <tr r="BL585" s="3"/>
        <tr r="BL592" s="3"/>
        <tr r="BO589" s="3"/>
        <tr r="BN592" s="3"/>
        <tr r="BN582" s="3"/>
        <tr r="BM584" s="3"/>
        <tr r="BL594" s="3"/>
        <tr r="BN594" s="3"/>
        <tr r="BO590" s="3"/>
        <tr r="BP583" s="3"/>
        <tr r="BO587" s="3"/>
        <tr r="BN591" s="3"/>
        <tr r="BO588" s="3"/>
        <tr r="BL582" s="3"/>
        <tr r="BN584" s="3"/>
        <tr r="BM587" s="3"/>
        <tr r="BM592" s="3"/>
        <tr r="BM595" s="3"/>
        <tr r="BM591" s="3"/>
        <tr r="BQ586" s="3"/>
        <tr r="BP590" s="3"/>
        <tr r="BN583" s="3"/>
        <tr r="BM588" s="3"/>
        <tr r="BN585" s="3"/>
        <tr r="BQ591" s="3"/>
        <tr r="BO596" s="3"/>
        <tr r="BP596" s="3"/>
        <tr r="BN595" s="3"/>
        <tr r="BL587" s="3"/>
        <tr r="BP588" s="3"/>
        <tr r="BN586" s="3"/>
        <tr r="BM593" s="3"/>
        <tr r="BP594" s="3"/>
        <tr r="BL593" s="3"/>
        <tr r="BN596" s="3"/>
        <tr r="BL596" s="3"/>
        <tr r="BQ594" s="3"/>
        <tr r="BN587" s="3"/>
        <tr r="BN590" s="3"/>
        <tr r="BQ590" s="3"/>
        <tr r="BO585" s="3"/>
        <tr r="BO586" s="3"/>
        <tr r="BL588" s="3"/>
        <tr r="BO583" s="3"/>
        <tr r="BL590" s="3"/>
        <tr r="BQ592" s="3"/>
        <tr r="BP595" s="3"/>
        <tr r="BM590" s="3"/>
        <tr r="BP582" s="3"/>
        <tr r="BL583" s="3"/>
        <tr r="BQ583" s="3"/>
        <tr r="BQ584" s="3"/>
        <tr r="BQ585" s="3"/>
        <tr r="BO591" s="3"/>
        <tr r="BQ589" s="3"/>
        <tr r="BP587" s="3"/>
        <tr r="BQ595" s="3"/>
        <tr r="BL584" s="3"/>
        <tr r="BP589" s="3"/>
        <tr r="BP593" s="3"/>
        <tr r="BQ582" s="3"/>
        <tr r="BM596" s="3"/>
        <tr r="BM583" s="3"/>
        <tr r="BO593" s="3"/>
        <tr r="BP592" s="3"/>
        <tr r="BN593" s="3"/>
        <tr r="BO595" s="3"/>
        <tr r="BQ588" s="3"/>
        <tr r="BO594" s="3"/>
        <tr r="BN589" s="3"/>
        <tr r="BP591" s="3"/>
        <tr r="BO582" s="3"/>
        <tr r="BP586" s="3"/>
      </tp>
      <tp t="s">
        <v>#N/A N/A</v>
        <stp/>
        <stp>BDP|13609872069338148579</stp>
        <tr r="Z39" s="3"/>
      </tp>
      <tp t="s">
        <v>#N/A N/A</v>
        <stp/>
        <stp>BDP|14509714754573873565</stp>
        <tr r="BA36" s="3"/>
      </tp>
      <tp t="s">
        <v>#N/A N/A</v>
        <stp/>
        <stp>BDP|15300160753751071082</stp>
        <tr r="AB28" s="3"/>
      </tp>
      <tp t="s">
        <v>#N/A N/A</v>
        <stp/>
        <stp>BDP|11219323660041823561</stp>
        <tr r="AO42" s="3"/>
      </tp>
      <tp t="s">
        <v>#N/A N/A</v>
        <stp/>
        <stp>BDP|17897081561467241623</stp>
        <tr r="BM44" s="3"/>
      </tp>
      <tp t="s">
        <v>#N/A N/A</v>
        <stp/>
        <stp>BDP|10355391572142896615</stp>
        <tr r="AA57" s="3"/>
      </tp>
      <tp t="s">
        <v>#N/A N/A</v>
        <stp/>
        <stp>BDP|15252754152227264067</stp>
        <tr r="BP23" s="3"/>
      </tp>
      <tp t="s">
        <v>#N/A N/A</v>
        <stp/>
        <stp>BDP|14790353011841795759</stp>
        <tr r="AO41" s="3"/>
      </tp>
      <tp t="s">
        <v>#N/A N/A</v>
        <stp/>
        <stp>BDP|10507287327978384880</stp>
        <tr r="AY67" s="3"/>
      </tp>
      <tp t="s">
        <v>#N/A N/A</v>
        <stp/>
        <stp>BDP|15604829332466572831</stp>
        <tr r="AR39" s="3"/>
      </tp>
      <tp t="s">
        <v>#N/A N/A</v>
        <stp/>
        <stp>BDP|10436554114394382066</stp>
        <tr r="Z50" s="3"/>
      </tp>
      <tp t="s">
        <v>#N/A N/A</v>
        <stp/>
        <stp>BDP|15578616266580637549</stp>
        <tr r="AY46" s="3"/>
      </tp>
      <tp t="s">
        <v>#N/A N/A</v>
        <stp/>
        <stp>BDP|10051111826216586522</stp>
        <tr r="AF16" s="3"/>
      </tp>
      <tp t="s">
        <v>#N/A N/A</v>
        <stp/>
        <stp>BDP|15155975394662239706</stp>
        <tr r="AP57" s="3"/>
      </tp>
      <tp t="s">
        <v>#N/A N/A</v>
        <stp/>
        <stp>BDP|14776112833521139741</stp>
        <tr r="BE38" s="3"/>
      </tp>
      <tp t="s">
        <v>#N/A N/A</v>
        <stp/>
        <stp>BDP|16575815854549267224</stp>
        <tr r="BG17" s="3"/>
      </tp>
      <tp t="s">
        <v>#N/A N/A</v>
        <stp/>
        <stp>BDP|10217490161192245080</stp>
        <tr r="AV67" s="3"/>
      </tp>
      <tp t="s">
        <v>#N/A N/A</v>
        <stp/>
        <stp>BDP|17424565215356484507</stp>
        <tr r="AH44" s="3"/>
      </tp>
      <tp t="s">
        <v>#N/A N/A</v>
        <stp/>
        <stp>BDP|13019905951996153931</stp>
        <tr r="AF58" s="3"/>
      </tp>
      <tp t="s">
        <v>#N/A N/A</v>
        <stp/>
        <stp>BDP|16017045884956426877</stp>
        <tr r="BB54" s="3"/>
      </tp>
      <tp t="s">
        <v>#N/A N/A</v>
        <stp/>
        <stp>BDP|11284029948825843032</stp>
        <tr r="U39" s="3"/>
      </tp>
      <tp t="s">
        <v>#N/A N/A</v>
        <stp/>
        <stp>BDP|10319325013177843596</stp>
        <tr r="AV47" s="3"/>
      </tp>
      <tp t="s">
        <v>#N/A N/A</v>
        <stp/>
        <stp>BDP|15636903260538665234</stp>
        <tr r="BJ44" s="3"/>
      </tp>
      <tp t="s">
        <v>#N/A N/A</v>
        <stp/>
        <stp>BDP|11791527128073633588</stp>
        <tr r="AT44" s="3"/>
      </tp>
      <tp t="s">
        <v>#N/A N/A</v>
        <stp/>
        <stp>BDP|10496077290660345938</stp>
        <tr r="BD32" s="3"/>
      </tp>
      <tp t="s">
        <v>#N/A N/A</v>
        <stp/>
        <stp>BDP|14572439313694349558</stp>
        <tr r="AN63" s="3"/>
      </tp>
      <tp t="s">
        <v>#N/A N/A</v>
        <stp/>
        <stp>BDP|13199651475594311607</stp>
        <tr r="W40" s="3"/>
      </tp>
      <tp t="s">
        <v>#N/A N/A</v>
        <stp/>
        <stp>BDP|17462263485579680436</stp>
        <tr r="BF19" s="3"/>
      </tp>
      <tp t="s">
        <v>#N/A N/A</v>
        <stp/>
        <stp>BDP|14951505258574099031</stp>
        <tr r="BL41" s="3"/>
      </tp>
      <tp t="s">
        <v>#N/A N/A</v>
        <stp/>
        <stp>BDP|14050237169400138096</stp>
        <tr r="BJ57" s="3"/>
      </tp>
      <tp t="s">
        <v>#N/A N/A</v>
        <stp/>
        <stp>BDP|17125418236726071649</stp>
        <tr r="AR51" s="3"/>
      </tp>
      <tp t="s">
        <v>#N/A N/A</v>
        <stp/>
        <stp>BDP|10374373987392085960</stp>
        <tr r="AI31" s="3"/>
      </tp>
      <tp t="s">
        <v>#N/A N/A</v>
        <stp/>
        <stp>BDP|18421919566940397755</stp>
        <tr r="AT57" s="3"/>
      </tp>
      <tp t="s">
        <v>#N/A N/A</v>
        <stp/>
        <stp>BDP|10390687869596171662</stp>
        <tr r="AE52" s="3"/>
      </tp>
      <tp t="s">
        <v>#N/A N/A</v>
        <stp/>
        <stp>BDP|14672541104097405671</stp>
        <tr r="BL35" s="3"/>
      </tp>
      <tp t="s">
        <v>#N/A N/A</v>
        <stp/>
        <stp>BDP|16450617666046378052</stp>
        <tr r="BN41" s="3"/>
      </tp>
      <tp t="s">
        <v>#N/A N/A</v>
        <stp/>
        <stp>BDP|18233057294939534824</stp>
        <tr r="AP35" s="3"/>
      </tp>
      <tp t="s">
        <v>#N/A N/A</v>
        <stp/>
        <stp>BDP|10149329549900610788</stp>
        <tr r="AY17" s="3"/>
      </tp>
      <tp t="s">
        <v>#N/A N/A</v>
        <stp/>
        <stp>BDP|14199875542201352936</stp>
        <tr r="BQ65" s="3"/>
      </tp>
      <tp t="s">
        <v>#N/A N/A</v>
        <stp/>
        <stp>BDP|15744794465235954159</stp>
        <tr r="BC66" s="3"/>
      </tp>
      <tp t="s">
        <v>#N/A N/A</v>
        <stp/>
        <stp>BDP|16772934609406321998</stp>
        <tr r="AV60" s="3"/>
      </tp>
      <tp t="s">
        <v>#N/A N/A</v>
        <stp/>
        <stp>BDP|15625288458573413159</stp>
        <tr r="BF26" s="3"/>
      </tp>
      <tp t="s">
        <v>#N/A N/A</v>
        <stp/>
        <stp>BDP|11242331362120445405</stp>
        <tr r="BP25" s="3"/>
      </tp>
      <tp t="s">
        <v>#N/A N/A</v>
        <stp/>
        <stp>BDP|11746693455983467197</stp>
        <tr r="BH40" s="3"/>
      </tp>
      <tp t="s">
        <v>#N/A N/A</v>
        <stp/>
        <stp>BDP|10428357355275691340</stp>
        <tr r="BC60" s="3"/>
      </tp>
      <tp t="s">
        <v>#N/A N/A</v>
        <stp/>
        <stp>BDP|14093078731220957798</stp>
        <tr r="BN26" s="3"/>
      </tp>
      <tp t="s">
        <v>#N/A N/A</v>
        <stp/>
        <stp>BDP|17379071250952963140</stp>
        <tr r="BO51" s="3"/>
      </tp>
      <tp t="s">
        <v>#N/A N/A</v>
        <stp/>
        <stp>BDP|12342943579868364541</stp>
        <tr r="AE62" s="3"/>
      </tp>
      <tp t="s">
        <v>#N/A N/A</v>
        <stp/>
        <stp>BDP|15912605463637560369</stp>
        <tr r="AB57" s="3"/>
      </tp>
      <tp t="s">
        <v>#N/A N/A</v>
        <stp/>
        <stp>BDP|12336243906580926116</stp>
        <tr r="BE61" s="3"/>
      </tp>
      <tp t="s">
        <v>#N/A N/A</v>
        <stp/>
        <stp>BDP|17611739345050101588</stp>
        <tr r="AZ53" s="3"/>
      </tp>
      <tp t="s">
        <v>#N/A N/A</v>
        <stp/>
        <stp>BDP|17858871692755761233</stp>
        <tr r="AF37" s="3"/>
      </tp>
      <tp t="s">
        <v>#N/A N/A</v>
        <stp/>
        <stp>BDP|16110972897335858200</stp>
        <tr r="U17" s="3"/>
      </tp>
      <tp t="s">
        <v>#N/A N/A</v>
        <stp/>
        <stp>BDP|10599204412411623390</stp>
        <tr r="AE60" s="3"/>
      </tp>
      <tp t="s">
        <v>#N/A N/A</v>
        <stp/>
        <stp>BDP|15541969254690737887</stp>
        <tr r="V44" s="3"/>
      </tp>
      <tp t="s">
        <v>#N/A N/A</v>
        <stp/>
        <stp>BDP|11504688061365061540</stp>
        <tr r="AP53" s="3"/>
      </tp>
      <tp t="s">
        <v>#N/A N/A</v>
        <stp/>
        <stp>BDP|17428553931703114392</stp>
        <tr r="AB25" s="3"/>
      </tp>
      <tp t="s">
        <v>#N/A N/A</v>
        <stp/>
        <stp>BDP|10311939820203266997</stp>
        <tr r="AE21" s="3"/>
      </tp>
      <tp t="s">
        <v>#N/A N/A</v>
        <stp/>
        <stp>BDP|16151428206521974274</stp>
        <tr r="AD49" s="3"/>
      </tp>
      <tp t="s">
        <v>#N/A N/A</v>
        <stp/>
        <stp>BDP|14941073410747081354</stp>
        <tr r="AN65" s="3"/>
      </tp>
      <tp t="s">
        <v>#N/A N/A</v>
        <stp/>
        <stp>BDP|12589907842486484882</stp>
        <tr r="BF53" s="3"/>
      </tp>
      <tp t="s">
        <v>#N/A N/A</v>
        <stp/>
        <stp>BDP|13084634764485868755</stp>
        <tr r="BL58" s="3"/>
      </tp>
      <tp t="s">
        <v>#N/A N/A</v>
        <stp/>
        <stp>BDP|16881491247332523592</stp>
        <tr r="BA58" s="3"/>
      </tp>
      <tp t="s">
        <v>#N/A N/A</v>
        <stp/>
        <stp>BDP|18215898069475017284</stp>
        <tr r="AR46" s="3"/>
      </tp>
      <tp t="s">
        <v>#N/A N/A</v>
        <stp/>
        <stp>BDP|16460195710815002277</stp>
        <tr r="Y42" s="3"/>
      </tp>
      <tp t="s">
        <v>#N/A N/A</v>
        <stp/>
        <stp>BDP|17925645515946501779</stp>
        <tr r="AJ56" s="3"/>
      </tp>
      <tp t="s">
        <v>#N/A N/A</v>
        <stp/>
        <stp>BDP|16206869184271943638</stp>
        <tr r="AU51" s="3"/>
      </tp>
      <tp t="s">
        <v>#N/A N/A</v>
        <stp/>
        <stp>BDP|12532592582317450902</stp>
        <tr r="BH49" s="3"/>
      </tp>
      <tp t="s">
        <v>#N/A N/A</v>
        <stp/>
        <stp>BDP|11015678774951867013</stp>
        <tr r="BK43" s="3"/>
      </tp>
      <tp t="s">
        <v>#N/A N/A</v>
        <stp/>
        <stp>BDP|10430099021090365358</stp>
        <tr r="BE48" s="3"/>
      </tp>
      <tp t="s">
        <v>#N/A N/A</v>
        <stp/>
        <stp>BDP|12273008586998859367</stp>
        <tr r="AQ53" s="3"/>
      </tp>
      <tp t="s">
        <v>#N/A N/A</v>
        <stp/>
        <stp>BDP|10322918981784662481</stp>
        <tr r="AT25" s="3"/>
      </tp>
      <tp t="s">
        <v>#N/A N/A</v>
        <stp/>
        <stp>BDP|17194083979982935349</stp>
        <tr r="AS69" s="3"/>
      </tp>
      <tp t="s">
        <v>#N/A N/A</v>
        <stp/>
        <stp>BDP|17111259164961914349</stp>
        <tr r="U23" s="3"/>
      </tp>
      <tp t="s">
        <v>#N/A N/A</v>
        <stp/>
        <stp>BDP|13303308799460370843</stp>
        <tr r="BQ64" s="3"/>
      </tp>
      <tp t="s">
        <v>#N/A N/A</v>
        <stp/>
        <stp>BDP|17285937089277701021</stp>
        <tr r="AQ25" s="3"/>
      </tp>
      <tp t="s">
        <v>#N/A N/A</v>
        <stp/>
        <stp>BDP|17822550436054246446</stp>
        <tr r="BH68" s="3"/>
      </tp>
      <tp t="s">
        <v>#N/A N/A</v>
        <stp/>
        <stp>BDP|15808576803335810490</stp>
        <tr r="AY51" s="3"/>
      </tp>
      <tp t="s">
        <v>#N/A N/A</v>
        <stp/>
        <stp>BDP|10343198139654973765</stp>
        <tr r="BF31" s="3"/>
      </tp>
      <tp t="s">
        <v>#N/A N/A</v>
        <stp/>
        <stp>BDP|13802666143500342027</stp>
        <tr r="BC67" s="3"/>
      </tp>
      <tp t="s">
        <v>#N/A N/A</v>
        <stp/>
        <stp>BDP|12998770492355577866</stp>
        <tr r="AQ61" s="3"/>
      </tp>
      <tp t="s">
        <v>#N/A N/A</v>
        <stp/>
        <stp>BDP|17874858681325745346</stp>
        <tr r="AL66" s="3"/>
      </tp>
      <tp t="s">
        <v>#N/A N/A</v>
        <stp/>
        <stp>BDP|13304995325348601178</stp>
        <tr r="AQ52" s="3"/>
      </tp>
      <tp t="s">
        <v>#N/A N/A</v>
        <stp/>
        <stp>BDP|14023457963206040181</stp>
        <tr r="AF34" s="3"/>
      </tp>
      <tp t="s">
        <v>#N/A N/A</v>
        <stp/>
        <stp>BDP|17653076536142143784</stp>
        <tr r="AG49" s="3"/>
      </tp>
      <tp t="s">
        <v>#N/A N/A</v>
        <stp/>
        <stp>BDP|16976037113825013378</stp>
        <tr r="U36" s="3"/>
      </tp>
      <tp t="s">
        <v>#N/A N/A</v>
        <stp/>
        <stp>BDP|10616811620739044269</stp>
        <tr r="AW31" s="3"/>
      </tp>
      <tp t="s">
        <v>#N/A N/A</v>
        <stp/>
        <stp>BDP|13241930583640385307</stp>
        <tr r="AA44" s="3"/>
      </tp>
      <tp t="s">
        <v>#N/A N/A</v>
        <stp/>
        <stp>BDP|14656563117738059968</stp>
        <tr r="AK31" s="3"/>
      </tp>
      <tp t="s">
        <v>#N/A N/A</v>
        <stp/>
        <stp>BDP|17475508313645780710</stp>
        <tr r="BC24" s="3"/>
      </tp>
      <tp t="s">
        <v>#N/A N/A</v>
        <stp/>
        <stp>BDP|15145788568696124303</stp>
        <tr r="BE39" s="3"/>
      </tp>
      <tp t="s">
        <v>#N/A N/A</v>
        <stp/>
        <stp>BDP|10731063338326076497</stp>
        <tr r="AS23" s="3"/>
      </tp>
      <tp t="s">
        <v>#N/A N/A</v>
        <stp/>
        <stp>BDP|15711554373143051511</stp>
        <tr r="AB59" s="3"/>
      </tp>
      <tp t="s">
        <v>#N/A N/A</v>
        <stp/>
        <stp>BDP|10905028097709413189</stp>
        <tr r="BK55" s="3"/>
      </tp>
      <tp t="s">
        <v>#N/A N/A</v>
        <stp/>
        <stp>BDP|11028009705009074964</stp>
        <tr r="BK56" s="3"/>
      </tp>
      <tp t="s">
        <v>#N/A N/A</v>
        <stp/>
        <stp>BDP|11657719240151578216</stp>
        <tr r="BG60" s="3"/>
      </tp>
      <tp t="s">
        <v>#N/A N/A</v>
        <stp/>
        <stp>BDP|16150046588259974675</stp>
        <tr r="BI56" s="3"/>
      </tp>
      <tp t="s">
        <v>#N/A N/A</v>
        <stp/>
        <stp>BDP|10117023130597180518</stp>
        <tr r="AT17" s="3"/>
      </tp>
      <tp t="s">
        <v>#N/A N/A</v>
        <stp/>
        <stp>BDP|15657156817010277452</stp>
        <tr r="BB24" s="3"/>
      </tp>
      <tp t="s">
        <v>#N/A N/A</v>
        <stp/>
        <stp>BDP|10200623080838480775</stp>
        <tr r="U51" s="3"/>
      </tp>
      <tp t="s">
        <v>#N/A N/A</v>
        <stp/>
        <stp>BDP|11639976343399535440</stp>
        <tr r="AM38" s="3"/>
      </tp>
      <tp t="s">
        <v>#N/A N/A</v>
        <stp/>
        <stp>BDP|13684604844545724573</stp>
        <tr r="BI19" s="3"/>
      </tp>
      <tp t="s">
        <v>#N/A N/A</v>
        <stp/>
        <stp>BDP|18025376685270758208</stp>
        <tr r="AK30" s="3"/>
      </tp>
      <tp t="s">
        <v>#N/A N/A</v>
        <stp/>
        <stp>BDP|17880415329599474914</stp>
        <tr r="AQ19" s="3"/>
      </tp>
      <tp t="s">
        <v>#N/A N/A</v>
        <stp/>
        <stp>BDP|12332758952957083616</stp>
        <tr r="AF69" s="3"/>
      </tp>
      <tp t="s">
        <v>#N/A N/A</v>
        <stp/>
        <stp>BDP|14712379899688475785</stp>
        <tr r="AX47" s="3"/>
      </tp>
      <tp t="s">
        <v>#N/A N/A</v>
        <stp/>
        <stp>BDP|11646655812273661425</stp>
        <tr r="AR36" s="3"/>
      </tp>
      <tp t="s">
        <v>#N/A N/A</v>
        <stp/>
        <stp>BDP|16562486178487811385</stp>
        <tr r="AA29" s="3"/>
      </tp>
      <tp t="s">
        <v>#N/A N/A</v>
        <stp/>
        <stp>BDP|14357683130483626385</stp>
        <tr r="BG20" s="3"/>
      </tp>
      <tp t="s">
        <v>#N/A N/A</v>
        <stp/>
        <stp>BDP|10220674822523498670</stp>
        <tr r="U62" s="3"/>
      </tp>
      <tp t="s">
        <v>#N/A N/A</v>
        <stp/>
        <stp>BDP|15539478304542476260</stp>
        <tr r="X66" s="3"/>
      </tp>
      <tp t="s">
        <v>#N/A N/A</v>
        <stp/>
        <stp>BDP|16963286999445528995</stp>
        <tr r="BK17" s="3"/>
      </tp>
      <tp t="s">
        <v>#N/A N/A</v>
        <stp/>
        <stp>BDP|13342204003695039546</stp>
        <tr r="AQ31" s="3"/>
      </tp>
      <tp t="s">
        <v>#N/A N/A</v>
        <stp/>
        <stp>BDP|10765046216866482652</stp>
        <tr r="AJ33" s="3"/>
      </tp>
      <tp t="s">
        <v>#N/A N/A</v>
        <stp/>
        <stp>BDP|12692728601707888399</stp>
        <tr r="AI41" s="3"/>
      </tp>
      <tp t="s">
        <v>#N/A N/A</v>
        <stp/>
        <stp>BDP|14791736743255138329</stp>
        <tr r="AR16" s="3"/>
      </tp>
      <tp t="s">
        <v>#N/A N/A</v>
        <stp/>
        <stp>BDP|17312717951460205457</stp>
        <tr r="BF64" s="3"/>
      </tp>
      <tp t="s">
        <v>#N/A N/A</v>
        <stp/>
        <stp>BDP|11119237302191311372</stp>
        <tr r="W37" s="3"/>
      </tp>
      <tp t="s">
        <v>#N/A N/A</v>
        <stp/>
        <stp>BDP|10377043375994539203</stp>
        <tr r="AB39" s="3"/>
      </tp>
      <tp t="s">
        <v>#N/A N/A</v>
        <stp/>
        <stp>BDP|13456564121165614020</stp>
        <tr r="BG55" s="3"/>
      </tp>
      <tp t="s">
        <v>#N/A N/A</v>
        <stp/>
        <stp>BDP|16396644675657695132</stp>
        <tr r="AF18" s="3"/>
      </tp>
      <tp t="s">
        <v>#N/A N/A</v>
        <stp/>
        <stp>BDP|14470365967049671943</stp>
        <tr r="BI54" s="3"/>
      </tp>
      <tp t="s">
        <v>#N/A N/A</v>
        <stp/>
        <stp>BDP|14036760274862549709</stp>
        <tr r="AX64" s="3"/>
      </tp>
      <tp t="s">
        <v>#N/A N/A</v>
        <stp/>
        <stp>BDP|10776029564677620013</stp>
        <tr r="AZ58" s="3"/>
      </tp>
      <tp t="s">
        <v>#N/A N/A</v>
        <stp/>
        <stp>BDP|13671643010534291161</stp>
        <tr r="BC23" s="3"/>
      </tp>
      <tp t="s">
        <v>#N/A N/A</v>
        <stp/>
        <stp>BDP|14987561018553678273</stp>
        <tr r="BB27" s="3"/>
      </tp>
      <tp t="s">
        <v>#N/A N/A</v>
        <stp/>
        <stp>BDP|16207627061474507320</stp>
        <tr r="AC40" s="3"/>
      </tp>
      <tp t="s">
        <v>#N/A N/A</v>
        <stp/>
        <stp>BDP|10972013311567837773</stp>
        <tr r="AA58" s="3"/>
      </tp>
      <tp t="s">
        <v>#N/A N/A</v>
        <stp/>
        <stp>BDP|16453762430166626521</stp>
        <tr r="BL56" s="3"/>
      </tp>
      <tp t="s">
        <v>#N/A N/A</v>
        <stp/>
        <stp>BDP|11724595157474729485</stp>
        <tr r="AW47" s="3"/>
      </tp>
      <tp t="s">
        <v>#N/A N/A</v>
        <stp/>
        <stp>BDP|16556700697478632126</stp>
        <tr r="AI22" s="3"/>
      </tp>
      <tp t="s">
        <v>#N/A N/A</v>
        <stp/>
        <stp>BDP|15506699124347975085</stp>
        <tr r="BG53" s="3"/>
      </tp>
      <tp t="s">
        <v>#N/A N/A</v>
        <stp/>
        <stp>BDP|13685760675952413780</stp>
        <tr r="BP55" s="3"/>
      </tp>
      <tp t="s">
        <v>#N/A N/A</v>
        <stp/>
        <stp>BDP|16076897691561247031</stp>
        <tr r="AK24" s="3"/>
      </tp>
      <tp t="s">
        <v>#N/A N/A</v>
        <stp/>
        <stp>BDP|14848915882510152336</stp>
        <tr r="AY18" s="3"/>
      </tp>
      <tp t="s">
        <v>#N/A N/A</v>
        <stp/>
        <stp>BDP|15973502867221747106</stp>
        <tr r="BN58" s="3"/>
      </tp>
      <tp t="s">
        <v>#N/A N/A</v>
        <stp/>
        <stp>BDP|11834375827293202530</stp>
        <tr r="BH44" s="3"/>
      </tp>
      <tp t="s">
        <v>#N/A N/A</v>
        <stp/>
        <stp>BDP|10090430419901686243</stp>
        <tr r="Z22" s="3"/>
      </tp>
      <tp t="s">
        <v>#N/A N/A</v>
        <stp/>
        <stp>BDP|14830348955545065117</stp>
        <tr r="BG19" s="3"/>
      </tp>
      <tp t="s">
        <v>#N/A N/A</v>
        <stp/>
        <stp>BDP|11271662457980902422</stp>
        <tr r="AH62" s="3"/>
      </tp>
      <tp t="s">
        <v>#N/A N/A</v>
        <stp/>
        <stp>BDP|14684208418891133076</stp>
        <tr r="AB46" s="3"/>
      </tp>
      <tp t="s">
        <v>#N/A N/A</v>
        <stp/>
        <stp>BDP|11462876010158297694</stp>
        <tr r="AN64" s="3"/>
      </tp>
      <tp t="s">
        <v>#N/A N/A</v>
        <stp/>
        <stp>BDP|15060576274129259897</stp>
        <tr r="BL27" s="3"/>
      </tp>
      <tp t="s">
        <v>#N/A N/A</v>
        <stp/>
        <stp>BDP|14552431337356942300</stp>
        <tr r="BL39" s="3"/>
      </tp>
      <tp t="s">
        <v>#N/A N/A</v>
        <stp/>
        <stp>BDP|14398205461546204088</stp>
        <tr r="AR57" s="3"/>
      </tp>
      <tp t="s">
        <v>#N/A N/A</v>
        <stp/>
        <stp>BDP|11257950070279742083</stp>
        <tr r="AP36" s="3"/>
      </tp>
      <tp t="s">
        <v>#N/A N/A</v>
        <stp/>
        <stp>BDP|16482088705372604241</stp>
        <tr r="BD37" s="3"/>
      </tp>
      <tp t="s">
        <v>#N/A N/A</v>
        <stp/>
        <stp>BDP|12505683626276963697</stp>
        <tr r="BH39" s="3"/>
      </tp>
      <tp t="s">
        <v>#N/A N/A</v>
        <stp/>
        <stp>BDP|10549980086861834689</stp>
        <tr r="BA30" s="3"/>
      </tp>
      <tp t="s">
        <v>#N/A N/A</v>
        <stp/>
        <stp>BDP|10289072768321442128</stp>
        <tr r="BJ54" s="3"/>
      </tp>
      <tp t="s">
        <v>#N/A N/A</v>
        <stp/>
        <stp>BDP|15907066842121135671</stp>
        <tr r="BM62" s="3"/>
      </tp>
      <tp t="s">
        <v>#N/A N/A</v>
        <stp/>
        <stp>BDP|13560576411432173397</stp>
        <tr r="BN43" s="3"/>
      </tp>
      <tp t="s">
        <v>#N/A N/A</v>
        <stp/>
        <stp>BDP|11478446963261816410</stp>
        <tr r="AV25" s="3"/>
      </tp>
      <tp t="s">
        <v>#N/A N/A</v>
        <stp/>
        <stp>BDP|10343086700166624070</stp>
        <tr r="BJ36" s="3"/>
      </tp>
      <tp t="s">
        <v>#N/A N/A</v>
        <stp/>
        <stp>BDP|14968551318850863669</stp>
        <tr r="AC66" s="3"/>
      </tp>
      <tp t="s">
        <v>#N/A N/A</v>
        <stp/>
        <stp>BDP|11777434644792315592</stp>
        <tr r="AK42" s="3"/>
      </tp>
      <tp t="s">
        <v>#N/A N/A</v>
        <stp/>
        <stp>BDP|14760296312900674108</stp>
        <tr r="AI21" s="3"/>
      </tp>
      <tp t="s">
        <v>#N/A N/A</v>
        <stp/>
        <stp>BDP|11129569169886146228</stp>
        <tr r="AM57" s="3"/>
      </tp>
      <tp t="s">
        <v>#N/A N/A</v>
        <stp/>
        <stp>BDP|16474368941105852265</stp>
        <tr r="AB22" s="3"/>
      </tp>
      <tp t="s">
        <v>#N/A N/A</v>
        <stp/>
        <stp>BDP|14920528853846367466</stp>
        <tr r="AE22" s="3"/>
      </tp>
      <tp t="s">
        <v>#N/A N/A</v>
        <stp/>
        <stp>BDP|15555646226140846724</stp>
        <tr r="Z64" s="3"/>
      </tp>
      <tp t="s">
        <v>#N/A N/A</v>
        <stp/>
        <stp>BDP|17957717713740260744</stp>
        <tr r="AT35" s="3"/>
      </tp>
      <tp t="s">
        <v>#N/A N/A</v>
        <stp/>
        <stp>BDP|11629705156863410686</stp>
        <tr r="AJ46" s="3"/>
      </tp>
      <tp t="s">
        <v>#N/A N/A</v>
        <stp/>
        <stp>BDP|10095274513447877200</stp>
        <tr r="AR31" s="3"/>
      </tp>
      <tp t="s">
        <v>#N/A N/A</v>
        <stp/>
        <stp>BDP|11561519015497566481</stp>
        <tr r="AG53" s="3"/>
      </tp>
      <tp t="s">
        <v>#N/A N/A</v>
        <stp/>
        <stp>BDP|13945306304944078210</stp>
        <tr r="BF58" s="3"/>
      </tp>
      <tp t="s">
        <v>#N/A N/A</v>
        <stp/>
        <stp>BDP|12950045207360681409</stp>
        <tr r="AU49" s="3"/>
      </tp>
      <tp t="s">
        <v>#N/A N/A</v>
        <stp/>
        <stp>BDP|15246394747315096108</stp>
        <tr r="AO16" s="3"/>
      </tp>
      <tp t="s">
        <v>#N/A N/A</v>
        <stp/>
        <stp>BDP|12592559449103086658</stp>
        <tr r="AI64" s="3"/>
      </tp>
      <tp t="s">
        <v>#N/A N/A</v>
        <stp/>
        <stp>BDP|15486327796289584093</stp>
        <tr r="BN38" s="3"/>
      </tp>
      <tp t="s">
        <v>#N/A N/A</v>
        <stp/>
        <stp>BDP|16515966802779444090</stp>
        <tr r="AA17" s="3"/>
      </tp>
      <tp t="s">
        <v>#N/A N/A</v>
        <stp/>
        <stp>BDP|14098886606068115207</stp>
        <tr r="BE24" s="3"/>
      </tp>
      <tp t="s">
        <v>#N/A N/A</v>
        <stp/>
        <stp>BDP|15133332588238625038</stp>
        <tr r="Z48" s="3"/>
      </tp>
      <tp t="s">
        <v>#N/A N/A</v>
        <stp/>
        <stp>BDP|11048319453362556384</stp>
        <tr r="AW25" s="3"/>
      </tp>
      <tp t="s">
        <v>#N/A N/A</v>
        <stp/>
        <stp>BDP|14252477187897490991</stp>
        <tr r="AK38" s="3"/>
      </tp>
      <tp t="s">
        <v>#N/A N/A</v>
        <stp/>
        <stp>BDP|12717875028348120663</stp>
        <tr r="AR41" s="3"/>
      </tp>
      <tp t="s">
        <v>#N/A N/A</v>
        <stp/>
        <stp>BDP|10665593889903076880</stp>
        <tr r="BQ23" s="3"/>
      </tp>
      <tp t="s">
        <v>#N/A N/A</v>
        <stp/>
        <stp>BDP|14372992885465648678</stp>
        <tr r="AN18" s="3"/>
      </tp>
      <tp t="s">
        <v>#N/A N/A</v>
        <stp/>
        <stp>BDP|14035433029011239560</stp>
        <tr r="BH20" s="3"/>
      </tp>
      <tp t="s">
        <v>#N/A N/A</v>
        <stp/>
        <stp>BDP|16933249126310798023</stp>
        <tr r="AO66" s="3"/>
      </tp>
      <tp t="s">
        <v>#N/A N/A</v>
        <stp/>
        <stp>BDP|10584007360620713035</stp>
        <tr r="BL20" s="3"/>
      </tp>
      <tp t="s">
        <v>#N/A N/A</v>
        <stp/>
        <stp>BDP|11119798635023900055</stp>
        <tr r="AO35" s="3"/>
      </tp>
      <tp t="s">
        <v>#N/A N/A</v>
        <stp/>
        <stp>BDP|17200402263194838783</stp>
        <tr r="Y20" s="3"/>
      </tp>
      <tp t="s">
        <v>#N/A N/A</v>
        <stp/>
        <stp>BDP|14410201404055210533</stp>
        <tr r="AJ41" s="3"/>
      </tp>
      <tp t="s">
        <v>#N/A N/A</v>
        <stp/>
        <stp>BDP|11219723278440933702</stp>
        <tr r="AW45" s="3"/>
      </tp>
      <tp t="s">
        <v>#N/A N/A</v>
        <stp/>
        <stp>BDP|17978003181551113887</stp>
        <tr r="AF30" s="3"/>
      </tp>
      <tp t="s">
        <v>#N/A N/A</v>
        <stp/>
        <stp>BDP|14033056107256322400</stp>
        <tr r="AK43" s="3"/>
      </tp>
      <tp t="s">
        <v>#N/A N/A</v>
        <stp/>
        <stp>BDP|17197348190402015940</stp>
        <tr r="AN28" s="3"/>
      </tp>
      <tp t="s">
        <v>#N/A N/A</v>
        <stp/>
        <stp>BDP|13845892328638131788</stp>
        <tr r="AF25" s="3"/>
      </tp>
      <tp t="s">
        <v>#N/A N/A</v>
        <stp/>
        <stp>BDP|14290979839730493884</stp>
        <tr r="AX52" s="3"/>
      </tp>
      <tp t="s">
        <v>#N/A N/A</v>
        <stp/>
        <stp>BDP|11845661508177087666</stp>
        <tr r="AM30" s="3"/>
      </tp>
      <tp t="s">
        <v>#N/A N/A</v>
        <stp/>
        <stp>BDP|10791246731281663642</stp>
        <tr r="AX69" s="3"/>
      </tp>
      <tp t="s">
        <v>#N/A N/A</v>
        <stp/>
        <stp>BDP|10740608426246560440</stp>
        <tr r="Y52" s="3"/>
      </tp>
      <tp t="s">
        <v>#N/A N/A</v>
        <stp/>
        <stp>BDP|10851669506404139494</stp>
        <tr r="AG56" s="3"/>
      </tp>
      <tp t="s">
        <v>#N/A N/A</v>
        <stp/>
        <stp>BDP|13233596913373873202</stp>
        <tr r="Y43" s="3"/>
      </tp>
      <tp t="s">
        <v>#N/A N/A</v>
        <stp/>
        <stp>BDP|14855323094660695888</stp>
        <tr r="U25" s="3"/>
      </tp>
      <tp t="s">
        <v>#N/A N/A</v>
        <stp/>
        <stp>BDP|14541440191679659661</stp>
        <tr r="AK67" s="3"/>
      </tp>
      <tp t="s">
        <v>#N/A N/A</v>
        <stp/>
        <stp>BDP|16337240034761119023</stp>
        <tr r="AF24" s="3"/>
      </tp>
      <tp t="s">
        <v>#N/A N/A</v>
        <stp/>
        <stp>BDP|13362727272980154511</stp>
        <tr r="AJ37" s="3"/>
      </tp>
      <tp t="s">
        <v>#N/A N/A</v>
        <stp/>
        <stp>BDP|15130335972417160023</stp>
        <tr r="BA47" s="3"/>
      </tp>
      <tp t="s">
        <v>#N/A N/A</v>
        <stp/>
        <stp>BDP|14099773931053463506</stp>
        <tr r="AS63" s="3"/>
      </tp>
      <tp t="s">
        <v>#N/A N/A</v>
        <stp/>
        <stp>BDP|12122319750503311111</stp>
        <tr r="AJ22" s="3"/>
      </tp>
      <tp t="s">
        <v>#N/A N/A</v>
        <stp/>
        <stp>BDP|11866049338807441322</stp>
        <tr r="AE51" s="3"/>
      </tp>
      <tp t="s">
        <v>#N/A N/A</v>
        <stp/>
        <stp>BDP|13983082044433003205</stp>
        <tr r="AK41" s="3"/>
      </tp>
      <tp t="s">
        <v>#N/A N/A</v>
        <stp/>
        <stp>BDP|11104031906676719165</stp>
        <tr r="AR38" s="3"/>
      </tp>
      <tp t="s">
        <v>#N/A N/A</v>
        <stp/>
        <stp>BDP|14943896720719558100</stp>
        <tr r="V46" s="3"/>
      </tp>
      <tp t="s">
        <v>#N/A N/A</v>
        <stp/>
        <stp>BDP|10005426116760031314</stp>
        <tr r="BB18" s="3"/>
      </tp>
      <tp t="s">
        <v>#N/A N/A</v>
        <stp/>
        <stp>BDP|16944282477300298518</stp>
        <tr r="AY52" s="3"/>
      </tp>
      <tp t="s">
        <v>#N/A N/A</v>
        <stp/>
        <stp>BDP|11699791211798308994</stp>
        <tr r="AT24" s="3"/>
      </tp>
      <tp t="s">
        <v>#N/A N/A</v>
        <stp/>
        <stp>BDP|14848155936191684192</stp>
        <tr r="AZ16" s="3"/>
      </tp>
      <tp t="s">
        <v>#N/A N/A</v>
        <stp/>
        <stp>BDP|15725314614820425124</stp>
        <tr r="AH35" s="3"/>
      </tp>
      <tp t="s">
        <v>#N/A N/A</v>
        <stp/>
        <stp>BDP|13437618061510007501</stp>
        <tr r="W50" s="3"/>
      </tp>
      <tp t="s">
        <v>#N/A N/A</v>
        <stp/>
        <stp>BDP|16387647342002070019</stp>
        <tr r="W60" s="3"/>
      </tp>
      <tp t="s">
        <v>#N/A N/A</v>
        <stp/>
        <stp>BDP|14553898869814338827</stp>
        <tr r="Y18" s="3"/>
      </tp>
      <tp t="s">
        <v>#N/A N/A</v>
        <stp/>
        <stp>BDP|12227310203535703237</stp>
        <tr r="AD59" s="3"/>
      </tp>
      <tp t="s">
        <v>#N/A N/A</v>
        <stp/>
        <stp>BDP|16361436544478417842</stp>
        <tr r="AF31" s="3"/>
      </tp>
      <tp t="s">
        <v>#N/A N/A</v>
        <stp/>
        <stp>BDP|15868333046053907703</stp>
        <tr r="AH33" s="3"/>
      </tp>
      <tp t="s">
        <v>#N/A N/A</v>
        <stp/>
        <stp>BDP|12139146215005189158</stp>
        <tr r="BA17" s="3"/>
      </tp>
      <tp t="s">
        <v>#N/A N/A</v>
        <stp/>
        <stp>BDP|13366804426989452665</stp>
        <tr r="BE68" s="3"/>
      </tp>
      <tp t="s">
        <v>#N/A N/A</v>
        <stp/>
        <stp>BDP|13364553778085146287</stp>
        <tr r="AD41" s="3"/>
      </tp>
      <tp t="s">
        <v>#N/A N/A</v>
        <stp/>
        <stp>BDP|10566793003893050292</stp>
        <tr r="AH28" s="3"/>
      </tp>
      <tp t="s">
        <v>#N/A N/A</v>
        <stp/>
        <stp>BDP|13044549705319520926</stp>
        <tr r="AB38" s="3"/>
      </tp>
      <tp t="s">
        <v>#N/A N/A</v>
        <stp/>
        <stp>BDP|11353117871149263878</stp>
        <tr r="BM43" s="3"/>
      </tp>
      <tp t="s">
        <v>#N/A N/A</v>
        <stp/>
        <stp>BDP|12956210139502765705</stp>
        <tr r="Y65" s="3"/>
      </tp>
      <tp t="s">
        <v>#N/A N/A</v>
        <stp/>
        <stp>BDP|15468470575942318239</stp>
        <tr r="AW64" s="3"/>
      </tp>
      <tp t="s">
        <v>#N/A N/A</v>
        <stp/>
        <stp>BDP|12534198565532984098</stp>
        <tr r="BG56" s="3"/>
      </tp>
      <tp t="s">
        <v>#N/A N/A</v>
        <stp/>
        <stp>BDP|11592053516474819378</stp>
        <tr r="W17" s="3"/>
      </tp>
      <tp t="s">
        <v>#N/A N/A</v>
        <stp/>
        <stp>BDP|11922969887562046501</stp>
        <tr r="AJ23" s="3"/>
      </tp>
      <tp t="s">
        <v>#N/A N/A</v>
        <stp/>
        <stp>BDP|17857245024798192817</stp>
        <tr r="BH17" s="3"/>
      </tp>
      <tp t="s">
        <v>#N/A N/A</v>
        <stp/>
        <stp>BDP|14998635114633275743</stp>
        <tr r="BQ60" s="3"/>
      </tp>
      <tp t="s">
        <v>#N/A N/A</v>
        <stp/>
        <stp>BDP|15212338743172239785</stp>
        <tr r="AM67" s="3"/>
      </tp>
      <tp t="s">
        <v>#N/A N/A</v>
        <stp/>
        <stp>BDP|16171331128835540576</stp>
        <tr r="Z65" s="3"/>
      </tp>
      <tp t="s">
        <v>#N/A N/A</v>
        <stp/>
        <stp>BDP|10992681104214493592</stp>
        <tr r="BC48" s="3"/>
      </tp>
      <tp t="s">
        <v>#N/A N/A</v>
        <stp/>
        <stp>BDP|11844743578621828770</stp>
        <tr r="AQ65" s="3"/>
      </tp>
      <tp t="s">
        <v>#N/A N/A</v>
        <stp/>
        <stp>BDP|13444230438753017640</stp>
        <tr r="BO39" s="3"/>
      </tp>
      <tp t="s">
        <v>#N/A N/A</v>
        <stp/>
        <stp>BDP|16810940937719351229</stp>
        <tr r="BH32" s="3"/>
      </tp>
      <tp t="s">
        <v>#N/A N/A</v>
        <stp/>
        <stp>BDP|16272589708864921019</stp>
        <tr r="X42" s="3"/>
      </tp>
      <tp t="s">
        <v>#N/A N/A</v>
        <stp/>
        <stp>BDP|14507767866706871473</stp>
        <tr r="AC21" s="3"/>
      </tp>
      <tp t="s">
        <v>#N/A N/A</v>
        <stp/>
        <stp>BDP|12220777898663422848</stp>
        <tr r="AU48" s="3"/>
      </tp>
      <tp t="s">
        <v>#N/A N/A</v>
        <stp/>
        <stp>BDP|11245683715367447669</stp>
        <tr r="AU52" s="3"/>
      </tp>
      <tp t="s">
        <v>#N/A N/A</v>
        <stp/>
        <stp>BDP|12292558921301212393</stp>
        <tr r="AN46" s="3"/>
      </tp>
      <tp t="s">
        <v>#N/A N/A</v>
        <stp/>
        <stp>BDP|16219858028103663848</stp>
        <tr r="AU59" s="3"/>
      </tp>
      <tp t="s">
        <v>#N/A N/A</v>
        <stp/>
        <stp>BDP|16079484601831389475</stp>
        <tr r="AS32" s="3"/>
      </tp>
      <tp t="s">
        <v>#N/A N/A</v>
        <stp/>
        <stp>BDP|13570325241681273288</stp>
        <tr r="BH42" s="3"/>
      </tp>
      <tp t="s">
        <v>#N/A N/A</v>
        <stp/>
        <stp>BDP|10293099762320503109</stp>
        <tr r="BD54" s="3"/>
      </tp>
      <tp t="s">
        <v>#N/A N/A</v>
        <stp/>
        <stp>BDP|14334080944742642559</stp>
        <tr r="AF20" s="3"/>
      </tp>
      <tp t="s">
        <v>#N/A N/A</v>
        <stp/>
        <stp>BDP|14451194184412481814</stp>
        <tr r="BH65" s="3"/>
      </tp>
      <tp t="s">
        <v>#N/A N/A</v>
        <stp/>
        <stp>BDP|10756252155100304089</stp>
        <tr r="AJ18" s="3"/>
      </tp>
      <tp t="s">
        <v>#N/A N/A</v>
        <stp/>
        <stp>BDP|16161401701606951359</stp>
        <tr r="AF54" s="3"/>
      </tp>
      <tp t="s">
        <v>#N/A N/A</v>
        <stp/>
        <stp>BDP|11425287871602264139</stp>
        <tr r="BG32" s="3"/>
      </tp>
      <tp t="s">
        <v>#N/A N/A</v>
        <stp/>
        <stp>BDP|12482562234643330093</stp>
        <tr r="AV55" s="3"/>
      </tp>
      <tp t="s">
        <v>#N/A N/A</v>
        <stp/>
        <stp>BDP|14378610847183001297</stp>
        <tr r="BQ34" s="3"/>
      </tp>
      <tp t="s">
        <v>#N/A N/A</v>
        <stp/>
        <stp>BDP|17517384620564110500</stp>
        <tr r="BA63" s="3"/>
      </tp>
      <tp t="s">
        <v>#N/A N/A</v>
        <stp/>
        <stp>BDP|14023272027272988160</stp>
        <tr r="V30" s="3"/>
      </tp>
      <tp t="s">
        <v>#N/A N/A</v>
        <stp/>
        <stp>BDP|17081640041307834520</stp>
        <tr r="BN69" s="3"/>
      </tp>
      <tp t="s">
        <v>#N/A N/A</v>
        <stp/>
        <stp>BDP|15848253871822689557</stp>
        <tr r="AT40" s="3"/>
      </tp>
      <tp t="s">
        <v>#N/A N/A</v>
        <stp/>
        <stp>BDP|16221963078208174739</stp>
        <tr r="BB59" s="3"/>
      </tp>
      <tp t="s">
        <v>#N/A N/A</v>
        <stp/>
        <stp>BDP|14062775472634882731</stp>
        <tr r="AM22" s="3"/>
      </tp>
      <tp t="s">
        <v>#N/A N/A</v>
        <stp/>
        <stp>BDP|14568831905638466395</stp>
        <tr r="AK49" s="3"/>
      </tp>
      <tp t="s">
        <v>#N/A N/A</v>
        <stp/>
        <stp>BDP|12863898352871510985</stp>
        <tr r="BJ45" s="3"/>
      </tp>
      <tp t="s">
        <v>#N/A N/A</v>
        <stp/>
        <stp>BDP|16476987787848516809</stp>
        <tr r="BL40" s="3"/>
      </tp>
      <tp t="s">
        <v>#N/A N/A</v>
        <stp/>
        <stp>BDP|14723405411447079182</stp>
        <tr r="BD27" s="3"/>
      </tp>
      <tp t="s">
        <v>#N/A N/A</v>
        <stp/>
        <stp>BDP|13976505910796564627</stp>
        <tr r="AG57" s="3"/>
      </tp>
      <tp t="s">
        <v>#N/A N/A</v>
        <stp/>
        <stp>BDP|10047933486821204764</stp>
        <tr r="AD15" s="3"/>
      </tp>
      <tp t="s">
        <v>#N/A N/A</v>
        <stp/>
        <stp>BDP|11371026901784713269</stp>
        <tr r="AY62" s="3"/>
      </tp>
      <tp t="s">
        <v>#N/A N/A</v>
        <stp/>
        <stp>BDP|14804187794008079353</stp>
        <tr r="BI46" s="3"/>
      </tp>
      <tp t="s">
        <v>#N/A N/A</v>
        <stp/>
        <stp>BDP|12830681688742875910</stp>
        <tr r="BF28" s="3"/>
      </tp>
      <tp t="s">
        <v>#N/A N/A</v>
        <stp/>
        <stp>BDP|14213920195095107654</stp>
        <tr r="BA20" s="3"/>
      </tp>
      <tp t="s">
        <v>#N/A N/A</v>
        <stp/>
        <stp>BDP|15573333704866299711</stp>
        <tr r="AD67" s="3"/>
      </tp>
      <tp t="s">
        <v>#N/A N/A</v>
        <stp/>
        <stp>BDP|13416449235204627734</stp>
        <tr r="BP19" s="3"/>
      </tp>
      <tp t="s">
        <v>#N/A N/A</v>
        <stp/>
        <stp>BDP|12614300401336229052</stp>
        <tr r="Y45" s="3"/>
      </tp>
      <tp t="s">
        <v>#N/A N/A</v>
        <stp/>
        <stp>BDP|11089407071882056729</stp>
        <tr r="X33" s="3"/>
      </tp>
      <tp t="s">
        <v>#N/A N/A</v>
        <stp/>
        <stp>BDP|18387746991646152747</stp>
        <tr r="BD22" s="3"/>
      </tp>
      <tp t="s">
        <v>#N/A N/A</v>
        <stp/>
        <stp>BDP|16937484313670098412</stp>
        <tr r="AV44" s="3"/>
      </tp>
      <tp t="s">
        <v>#N/A N/A</v>
        <stp/>
        <stp>BDP|12737805813845423933</stp>
        <tr r="AL35" s="3"/>
      </tp>
      <tp t="s">
        <v>#N/A N/A</v>
        <stp/>
        <stp>BDP|10703329613697013252</stp>
        <tr r="BA28" s="3"/>
      </tp>
      <tp t="s">
        <v>#N/A N/A</v>
        <stp/>
        <stp>BDP|10707048815744384261</stp>
        <tr r="BA59" s="3"/>
      </tp>
      <tp t="s">
        <v>#N/A N/A</v>
        <stp/>
        <stp>BDP|16470133843290421432</stp>
        <tr r="AF29" s="3"/>
      </tp>
      <tp t="s">
        <v>#N/A N/A</v>
        <stp/>
        <stp>BDP|14273416592456487872</stp>
        <tr r="AI35" s="3"/>
      </tp>
      <tp t="s">
        <v>#N/A N/A</v>
        <stp/>
        <stp>BDP|17009530836123657519</stp>
        <tr r="BF44" s="3"/>
      </tp>
      <tp t="s">
        <v>#N/A N/A</v>
        <stp/>
        <stp>BDP|10011745964947496166</stp>
        <tr r="AM18" s="3"/>
      </tp>
      <tp t="s">
        <v>#N/A N/A</v>
        <stp/>
        <stp>BDP|11573960015849687725</stp>
        <tr r="BE20" s="3"/>
      </tp>
      <tp t="s">
        <v>#N/A N/A</v>
        <stp/>
        <stp>BDP|16529583836044945301</stp>
        <tr r="BL63" s="3"/>
      </tp>
      <tp t="s">
        <v>#N/A N/A</v>
        <stp/>
        <stp>BDP|16818759758117416440</stp>
        <tr r="U65" s="3"/>
      </tp>
      <tp t="s">
        <v>#N/A N/A</v>
        <stp/>
        <stp>BDP|11661727762064673354</stp>
        <tr r="BQ63" s="3"/>
      </tp>
      <tp t="s">
        <v>#N/A N/A</v>
        <stp/>
        <stp>BDP|16262441042451825096</stp>
        <tr r="BE33" s="3"/>
      </tp>
      <tp t="s">
        <v>#N/A N/A</v>
        <stp/>
        <stp>BDP|18371301325878404678</stp>
        <tr r="BE60" s="3"/>
      </tp>
      <tp t="s">
        <v>#N/A N/A</v>
        <stp/>
        <stp>BDP|14363245815942621200</stp>
        <tr r="AK56" s="3"/>
      </tp>
      <tp t="s">
        <v>#N/A N/A</v>
        <stp/>
        <stp>BDP|15256396759890427426</stp>
        <tr r="BD41" s="3"/>
      </tp>
      <tp t="s">
        <v>#N/A N/A</v>
        <stp/>
        <stp>BDP|10397982586513813512</stp>
        <tr r="AN30" s="3"/>
      </tp>
      <tp t="s">
        <v>#N/A N/A</v>
        <stp/>
        <stp>BDP|17785078946511305516</stp>
        <tr r="U69" s="3"/>
      </tp>
      <tp t="s">
        <v>#N/A N/A</v>
        <stp/>
        <stp>BDP|10997051798996424842</stp>
        <tr r="BH56" s="3"/>
      </tp>
      <tp t="s">
        <v>#N/A N/A</v>
        <stp/>
        <stp>BDP|14219144702593653164</stp>
        <tr r="BJ28" s="3"/>
      </tp>
      <tp t="s">
        <v>#N/A N/A</v>
        <stp/>
        <stp>BDP|14184902411599768238</stp>
        <tr r="BF33" s="3"/>
      </tp>
      <tp t="s">
        <v>#N/A N/A</v>
        <stp/>
        <stp>BDP|16579899849654090917</stp>
        <tr r="BO43" s="3"/>
      </tp>
      <tp t="s">
        <v>#N/A N/A</v>
        <stp/>
        <stp>BDP|18039245883382833780</stp>
        <tr r="AU20" s="3"/>
      </tp>
      <tp t="s">
        <v>#N/A N/A</v>
        <stp/>
        <stp>BDP|11518918332324529855</stp>
        <tr r="AB20" s="3"/>
      </tp>
      <tp t="s">
        <v>#N/A N/A</v>
        <stp/>
        <stp>BDP|16951034127172959129</stp>
        <tr r="BE44" s="3"/>
      </tp>
      <tp t="s">
        <v>#N/A N/A</v>
        <stp/>
        <stp>BDP|12034986231288740782</stp>
        <tr r="BP22" s="3"/>
      </tp>
      <tp t="s">
        <v>#N/A N/A</v>
        <stp/>
        <stp>BDP|12057226430574251064</stp>
        <tr r="AD53" s="3"/>
      </tp>
      <tp t="s">
        <v>#N/A N/A</v>
        <stp/>
        <stp>BDP|10694195006004979190</stp>
        <tr r="BG39" s="3"/>
      </tp>
      <tp t="s">
        <v>#N/A N/A</v>
        <stp/>
        <stp>BDP|10931411213590048128</stp>
        <tr r="V42" s="3"/>
      </tp>
      <tp t="s">
        <v>#N/A N/A</v>
        <stp/>
        <stp>BDP|13788599935830467167</stp>
        <tr r="BJ30" s="3"/>
      </tp>
      <tp t="s">
        <v>#N/A N/A</v>
        <stp/>
        <stp>BDP|13363571476393384683</stp>
        <tr r="AC22" s="3"/>
      </tp>
      <tp t="s">
        <v>#N/A N/A</v>
        <stp/>
        <stp>BDP|17559395976441712648</stp>
        <tr r="V31" s="3"/>
      </tp>
      <tp t="s">
        <v>#N/A N/A</v>
        <stp/>
        <stp>BDP|12359631388428919083</stp>
        <tr r="AD19" s="3"/>
      </tp>
      <tp t="s">
        <v>#N/A N/A</v>
        <stp/>
        <stp>BDP|16501497675043750270</stp>
        <tr r="BK62" s="3"/>
      </tp>
      <tp t="s">
        <v>#N/A N/A</v>
        <stp/>
        <stp>BDP|12990299973886865528</stp>
        <tr r="BK57" s="3"/>
      </tp>
      <tp t="s">
        <v>#N/A N/A</v>
        <stp/>
        <stp>BDP|12545707227700867336</stp>
        <tr r="V56" s="3"/>
      </tp>
      <tp t="s">
        <v>#N/A N/A</v>
        <stp/>
        <stp>BDP|14589347669656004303</stp>
        <tr r="AF57" s="3"/>
      </tp>
      <tp t="s">
        <v>#N/A N/A</v>
        <stp/>
        <stp>BDP|11012092645430599113</stp>
        <tr r="AG27" s="3"/>
      </tp>
      <tp t="s">
        <v>#N/A N/A</v>
        <stp/>
        <stp>BDP|17808353803332624200</stp>
        <tr r="BL67" s="3"/>
      </tp>
      <tp t="s">
        <v>#N/A N/A</v>
        <stp/>
        <stp>BDP|18128812640228077884</stp>
        <tr r="Y64" s="3"/>
      </tp>
      <tp t="s">
        <v>#N/A N/A</v>
        <stp/>
        <stp>BDP|13576013085658866714</stp>
        <tr r="BQ28" s="3"/>
      </tp>
      <tp t="s">
        <v>#N/A N/A</v>
        <stp/>
        <stp>BDP|17137787930505576240</stp>
        <tr r="BP28" s="3"/>
      </tp>
      <tp t="s">
        <v>#N/A N/A</v>
        <stp/>
        <stp>BDP|16144589867389534838</stp>
        <tr r="AA23" s="3"/>
      </tp>
      <tp t="s">
        <v>#N/A N/A</v>
        <stp/>
        <stp>BDP|13878209320025716247</stp>
        <tr r="AV38" s="3"/>
      </tp>
      <tp t="s">
        <v>#N/A N/A</v>
        <stp/>
        <stp>BDP|14529505079864264656</stp>
        <tr r="AP41" s="3"/>
      </tp>
      <tp t="s">
        <v>#N/A N/A</v>
        <stp/>
        <stp>BDP|17975466324261590458</stp>
        <tr r="AF49" s="3"/>
      </tp>
      <tp t="s">
        <v>#N/A N/A</v>
        <stp/>
        <stp>BDP|11996755673154386177</stp>
        <tr r="Y19" s="3"/>
      </tp>
      <tp t="s">
        <v>#N/A N/A</v>
        <stp/>
        <stp>BDP|14997108524144436724</stp>
        <tr r="AM32" s="3"/>
      </tp>
      <tp t="s">
        <v>#N/A N/A</v>
        <stp/>
        <stp>BDP|13959730905702145253</stp>
        <tr r="AO51" s="3"/>
      </tp>
      <tp t="s">
        <v>#N/A N/A</v>
        <stp/>
        <stp>BDP|15613665364710883160</stp>
        <tr r="BB55" s="3"/>
      </tp>
      <tp t="s">
        <v>#N/A N/A</v>
        <stp/>
        <stp>BDP|13291136276206841751</stp>
        <tr r="AX22" s="3"/>
      </tp>
      <tp t="s">
        <v>#N/A N/A</v>
        <stp/>
        <stp>BDP|14635146409013875297</stp>
        <tr r="Z61" s="3"/>
      </tp>
      <tp t="s">
        <v>#N/A N/A</v>
        <stp/>
        <stp>BDP|14462791574373766337</stp>
        <tr r="BF23" s="3"/>
      </tp>
      <tp t="s">
        <v>#N/A N/A</v>
        <stp/>
        <stp>BDP|15177095055244812085</stp>
        <tr r="BK33" s="3"/>
      </tp>
      <tp t="s">
        <v>#N/A N/A</v>
        <stp/>
        <stp>BDP|16025335865731323699</stp>
        <tr r="BF27" s="3"/>
      </tp>
      <tp t="s">
        <v>#N/A N/A</v>
        <stp/>
        <stp>BDP|10130156319005511144</stp>
        <tr r="V47" s="3"/>
      </tp>
      <tp t="s">
        <v>#N/A N/A</v>
        <stp/>
        <stp>BDP|17322812070445718992</stp>
        <tr r="AS48" s="3"/>
      </tp>
      <tp t="s">
        <v>#N/A N/A</v>
        <stp/>
        <stp>BDP|16155024872122831757</stp>
        <tr r="V59" s="3"/>
      </tp>
      <tp t="s">
        <v>#N/A N/A</v>
        <stp/>
        <stp>BDP|11861384679714261549</stp>
        <tr r="AR68" s="3"/>
      </tp>
      <tp t="s">
        <v>#N/A N/A</v>
        <stp/>
        <stp>BDP|16055070846567907173</stp>
        <tr r="BM65" s="3"/>
      </tp>
      <tp t="s">
        <v>#N/A N/A</v>
        <stp/>
        <stp>BDP|14586490790415568869</stp>
        <tr r="AA49" s="3"/>
      </tp>
      <tp t="s">
        <v>#N/A N/A</v>
        <stp/>
        <stp>BDP|13284290208590439589</stp>
        <tr r="AD44" s="3"/>
      </tp>
      <tp t="s">
        <v>#N/A N/A</v>
        <stp/>
        <stp>BDP|17428464272133879377</stp>
        <tr r="AV61" s="3"/>
      </tp>
      <tp t="s">
        <v>#N/A N/A</v>
        <stp/>
        <stp>BDP|11538235588997570853</stp>
        <tr r="AW17" s="3"/>
      </tp>
      <tp t="s">
        <v>#N/A N/A</v>
        <stp/>
        <stp>BDP|16946052853444391322</stp>
        <tr r="AL53" s="3"/>
      </tp>
      <tp t="s">
        <v>#N/A N/A</v>
        <stp/>
        <stp>BDP|11766076500175612089</stp>
        <tr r="W29" s="3"/>
      </tp>
      <tp t="s">
        <v>#N/A N/A</v>
        <stp/>
        <stp>BDP|11918366715941048642</stp>
        <tr r="BF60" s="3"/>
      </tp>
      <tp t="s">
        <v>#N/A N/A</v>
        <stp/>
        <stp>BDP|11421933742759997121</stp>
        <tr r="AA30" s="3"/>
      </tp>
      <tp t="s">
        <v>#N/A N/A</v>
        <stp/>
        <stp>BDP|13517836560070197990</stp>
        <tr r="AY21" s="3"/>
      </tp>
      <tp t="s">
        <v>#N/A N/A</v>
        <stp/>
        <stp>BDP|12174344810284318083</stp>
        <tr r="AX46" s="3"/>
      </tp>
      <tp t="s">
        <v>#N/A N/A</v>
        <stp/>
        <stp>BDP|11480618079722720654</stp>
        <tr r="AA18" s="3"/>
      </tp>
      <tp t="s">
        <v>#N/A N/A</v>
        <stp/>
        <stp>BDP|11811401743197369267</stp>
        <tr r="AE64" s="3"/>
      </tp>
      <tp t="s">
        <v>#N/A N/A</v>
        <stp/>
        <stp>BDP|13438028948535690660</stp>
        <tr r="BA33" s="3"/>
      </tp>
      <tp t="s">
        <v>#N/A N/A</v>
        <stp/>
        <stp>BDP|10180012564932346091</stp>
        <tr r="BI64" s="3"/>
      </tp>
      <tp t="s">
        <v>#N/A N/A</v>
        <stp/>
        <stp>BDP|15443934496112935364</stp>
        <tr r="AV16" s="3"/>
      </tp>
      <tp t="s">
        <v>#N/A N/A</v>
        <stp/>
        <stp>BDP|17694201933747742536</stp>
        <tr r="BL33" s="3"/>
      </tp>
      <tp t="s">
        <v>#N/A N/A</v>
        <stp/>
        <stp>BDP|14771866772998248701</stp>
        <tr r="AT28" s="3"/>
      </tp>
      <tp t="s">
        <v>#N/A N/A</v>
        <stp/>
        <stp>BDP|11604069576575505720</stp>
        <tr r="AV52" s="3"/>
      </tp>
      <tp t="s">
        <v>#N/A N/A</v>
        <stp/>
        <stp>BDP|11595990588194612038</stp>
        <tr r="W43" s="3"/>
      </tp>
      <tp t="s">
        <v>#N/A N/A</v>
        <stp/>
        <stp>BDP|15565807994919866989</stp>
        <tr r="AF39" s="3"/>
      </tp>
      <tp t="s">
        <v>#N/A N/A</v>
        <stp/>
        <stp>BDP|13086010719916823016</stp>
        <tr r="BA39" s="3"/>
      </tp>
      <tp t="s">
        <v>#N/A N/A</v>
        <stp/>
        <stp>BDP|16509910701479048259</stp>
        <tr r="AY35" s="3"/>
      </tp>
      <tp t="s">
        <v>#N/A N/A</v>
        <stp/>
        <stp>BDP|16033545852150716219</stp>
        <tr r="AW24" s="3"/>
      </tp>
      <tp t="s">
        <v>#N/A N/A</v>
        <stp/>
        <stp>BDP|15566843527262219944</stp>
        <tr r="AH46" s="3"/>
      </tp>
      <tp t="s">
        <v>#N/A N/A</v>
        <stp/>
        <stp>BDP|11403685829096307760</stp>
        <tr r="AX60" s="3"/>
      </tp>
      <tp t="s">
        <v>#N/A N/A</v>
        <stp/>
        <stp>BDP|15072428735164240260</stp>
        <tr r="AY50" s="3"/>
      </tp>
      <tp t="s">
        <v>#N/A N/A</v>
        <stp/>
        <stp>BDP|12876196575979555925</stp>
        <tr r="AI19" s="3"/>
      </tp>
      <tp t="s">
        <v>#N/A N/A</v>
        <stp/>
        <stp>BDP|11853426963090823729</stp>
        <tr r="AZ32" s="3"/>
      </tp>
      <tp t="s">
        <v>#N/A N/A</v>
        <stp/>
        <stp>BDP|14985184260933229408</stp>
        <tr r="BB38" s="3"/>
      </tp>
      <tp t="s">
        <v>#N/A N/A</v>
        <stp/>
        <stp>BDP|15786635802844616338</stp>
        <tr r="BE41" s="3"/>
      </tp>
      <tp t="s">
        <v>#N/A N/A</v>
        <stp/>
        <stp>BDP|11222052905896338327</stp>
        <tr r="AB42" s="3"/>
      </tp>
      <tp t="s">
        <v>#N/A N/A</v>
        <stp/>
        <stp>BDP|10196789229820710145</stp>
        <tr r="BD53" s="3"/>
      </tp>
      <tp t="s">
        <v>#N/A N/A</v>
        <stp/>
        <stp>BDP|14952411814187750287</stp>
        <tr r="AB64" s="3"/>
      </tp>
      <tp t="s">
        <v>#N/A N/A</v>
        <stp/>
        <stp>BDP|13731713712042443332</stp>
        <tr r="AH30" s="3"/>
      </tp>
      <tp t="s">
        <v>#N/A N/A</v>
        <stp/>
        <stp>BDP|10723329873993272370</stp>
        <tr r="AS17" s="3"/>
      </tp>
      <tp t="s">
        <v>#N/A N/A</v>
        <stp/>
        <stp>BDP|13080610164253246451</stp>
        <tr r="AF19" s="3"/>
      </tp>
      <tp t="s">
        <v>#N/A N/A</v>
        <stp/>
        <stp>BDP|11781680244050851710</stp>
        <tr r="AX29" s="3"/>
      </tp>
      <tp t="s">
        <v>#N/A N/A</v>
        <stp/>
        <stp>BDP|12309552475350063415</stp>
        <tr r="BP56" s="3"/>
      </tp>
      <tp t="s">
        <v>#N/A N/A</v>
        <stp/>
        <stp>BDP|14576124835227103516</stp>
        <tr r="BH31" s="3"/>
      </tp>
      <tp t="s">
        <v>#N/A N/A</v>
        <stp/>
        <stp>BDP|15686452567561541245</stp>
        <tr r="Z58" s="3"/>
      </tp>
      <tp t="s">
        <v>#N/A N/A</v>
        <stp/>
        <stp>BDP|10514988761252075991</stp>
        <tr r="AH40" s="3"/>
      </tp>
      <tp t="s">
        <v>#N/A N/A</v>
        <stp/>
        <stp>BDP|13230257828730939732</stp>
        <tr r="BG21" s="3"/>
      </tp>
      <tp t="s">
        <v>#N/A N/A</v>
        <stp/>
        <stp>BDP|17587277706591720069</stp>
        <tr r="AB54" s="3"/>
      </tp>
      <tp t="s">
        <v>#N/A N/A</v>
        <stp/>
        <stp>BDP|10944169506406803348</stp>
        <tr r="AK29" s="3"/>
      </tp>
      <tp t="s">
        <v>#N/A N/A</v>
        <stp/>
        <stp>BDP|13494977611838039775</stp>
        <tr r="U40" s="3"/>
      </tp>
      <tp t="s">
        <v>#N/A N/A</v>
        <stp/>
        <stp>BDP|14664839061298759673</stp>
        <tr r="X61" s="3"/>
      </tp>
      <tp t="s">
        <v>#N/A N/A</v>
        <stp/>
        <stp>BDP|17903177212261083286</stp>
        <tr r="AX17" s="3"/>
      </tp>
      <tp t="s">
        <v>#N/A N/A</v>
        <stp/>
        <stp>BDP|14344619494898169739</stp>
        <tr r="AN52" s="3"/>
      </tp>
      <tp t="s">
        <v>#N/A N/A</v>
        <stp/>
        <stp>BDP|15237238944522620572</stp>
        <tr r="AK53" s="3"/>
      </tp>
      <tp t="s">
        <v>#N/A N/A</v>
        <stp/>
        <stp>BDP|12615246542919394974</stp>
        <tr r="AH47" s="3"/>
      </tp>
      <tp t="s">
        <v>#N/A N/A</v>
        <stp/>
        <stp>BDP|15510325193628596358</stp>
        <tr r="BM30" s="3"/>
      </tp>
      <tp t="s">
        <v>#N/A N/A</v>
        <stp/>
        <stp>BDP|15757219269244903115</stp>
        <tr r="AA20" s="3"/>
      </tp>
      <tp t="s">
        <v>#N/A N/A</v>
        <stp/>
        <stp>BDP|13177000316610694662</stp>
        <tr r="AT65" s="3"/>
      </tp>
      <tp t="s">
        <v>#N/A N/A</v>
        <stp/>
        <stp>BDP|12946976094745599385</stp>
        <tr r="BG45" s="3"/>
      </tp>
      <tp t="s">
        <v>#N/A N/A</v>
        <stp/>
        <stp>BDP|14531092675021749698</stp>
        <tr r="BL15" s="3"/>
      </tp>
      <tp t="s">
        <v>#N/A N/A</v>
        <stp/>
        <stp>BDP|17115637205661589455</stp>
        <tr r="BQ57" s="3"/>
      </tp>
      <tp t="s">
        <v>#N/A N/A</v>
        <stp/>
        <stp>BDP|17482737415544668130</stp>
        <tr r="BA43" s="3"/>
      </tp>
      <tp t="s">
        <v>#N/A N/A</v>
        <stp/>
        <stp>BDP|16283389321285977650</stp>
        <tr r="BB56" s="3"/>
      </tp>
      <tp t="s">
        <v>#N/A N/A</v>
        <stp/>
        <stp>BDP|16339406184027560957</stp>
        <tr r="AJ32" s="3"/>
      </tp>
      <tp t="s">
        <v>#N/A N/A</v>
        <stp/>
        <stp>BDP|12896278130460993707</stp>
        <tr r="AD46" s="3"/>
      </tp>
      <tp t="s">
        <v>#N/A N/A</v>
        <stp/>
        <stp>BDP|16890077847730949676</stp>
        <tr r="Y39" s="3"/>
      </tp>
      <tp t="s">
        <v>#N/A N/A</v>
        <stp/>
        <stp>BDP|14500106453606089202</stp>
        <tr r="BK47" s="3"/>
      </tp>
      <tp t="s">
        <v>#N/A N/A</v>
        <stp/>
        <stp>BDP|18324060657270421908</stp>
        <tr r="AX50" s="3"/>
      </tp>
      <tp t="s">
        <v>#N/A N/A</v>
        <stp/>
        <stp>BDP|13874599517341602263</stp>
        <tr r="W21" s="3"/>
      </tp>
      <tp t="s">
        <v>#N/A N/A</v>
        <stp/>
        <stp>BDP|13645626246951686420</stp>
        <tr r="AA42" s="3"/>
      </tp>
      <tp t="s">
        <v>#N/A N/A</v>
        <stp/>
        <stp>BDP|10502234013667753047</stp>
        <tr r="AE24" s="3"/>
      </tp>
      <tp t="s">
        <v>#N/A N/A</v>
        <stp/>
        <stp>BDP|15904490293705234974</stp>
        <tr r="BO55" s="3"/>
      </tp>
      <tp t="s">
        <v>#N/A N/A</v>
        <stp/>
        <stp>BDP|16540255577096768160</stp>
        <tr r="BN34" s="3"/>
      </tp>
      <tp t="s">
        <v>#N/A N/A</v>
        <stp/>
        <stp>BDP|17935304211889833995</stp>
        <tr r="AY68" s="3"/>
      </tp>
      <tp t="s">
        <v>#N/A N/A</v>
        <stp/>
        <stp>BDP|14979184852463870628</stp>
        <tr r="AG48" s="3"/>
      </tp>
      <tp t="s">
        <v>#N/A N/A</v>
        <stp/>
        <stp>BDP|16680076074332890643</stp>
        <tr r="V52" s="3"/>
      </tp>
      <tp t="s">
        <v>#N/A N/A</v>
        <stp/>
        <stp>BDP|17485949959838045610</stp>
        <tr r="AZ15" s="3"/>
      </tp>
      <tp t="s">
        <v>#N/A N/A</v>
        <stp/>
        <stp>BDP|17548601759742272367</stp>
        <tr r="AW29" s="3"/>
      </tp>
      <tp t="s">
        <v>#N/A N/A</v>
        <stp/>
        <stp>BDP|12501803673558823066</stp>
        <tr r="BH62" s="3"/>
      </tp>
      <tp t="s">
        <v>#N/A N/A</v>
        <stp/>
        <stp>BDP|15161694246917083564</stp>
        <tr r="AA38" s="3"/>
      </tp>
      <tp t="s">
        <v>#N/A N/A</v>
        <stp/>
        <stp>BDP|10970058535397224138</stp>
        <tr r="AO40" s="3"/>
      </tp>
      <tp t="s">
        <v>#N/A N/A</v>
        <stp/>
        <stp>BDP|12453790222465701707</stp>
        <tr r="AR59" s="3"/>
      </tp>
      <tp t="s">
        <v>#N/A N/A</v>
        <stp/>
        <stp>BDP|14670766256605999647</stp>
        <tr r="BK30" s="3"/>
      </tp>
      <tp t="s">
        <v>#N/A N/A</v>
        <stp/>
        <stp>BDP|12864523337297312659</stp>
        <tr r="AX39" s="3"/>
      </tp>
      <tp t="s">
        <v>#N/A N/A</v>
        <stp/>
        <stp>BDP|12853001926746345360</stp>
        <tr r="AO59" s="3"/>
      </tp>
      <tp t="s">
        <v>#N/A N/A</v>
        <stp/>
        <stp>BDP|15137287805450439228</stp>
        <tr r="V41" s="3"/>
      </tp>
      <tp t="s">
        <v>#N/A N/A</v>
        <stp/>
        <stp>BDP|16113196767333769726</stp>
        <tr r="BE58" s="3"/>
      </tp>
      <tp t="s">
        <v>#N/A N/A</v>
        <stp/>
        <stp>BDP|15445304305820572393</stp>
        <tr r="AF21" s="3"/>
      </tp>
      <tp t="s">
        <v>#N/A N/A</v>
        <stp/>
        <stp>BDP|13535221323661022794</stp>
        <tr r="BC20" s="3"/>
      </tp>
      <tp t="s">
        <v>#N/A N/A</v>
        <stp/>
        <stp>BDP|16019672938580670640</stp>
        <tr r="BA49" s="3"/>
      </tp>
      <tp t="s">
        <v>#N/A N/A</v>
        <stp/>
        <stp>BDP|15488934495844967462</stp>
        <tr r="BO45" s="3"/>
        <tr r="BP45" s="3"/>
        <tr r="BL45" s="3"/>
        <tr r="BQ45" s="3"/>
        <tr r="BN45" s="3"/>
      </tp>
      <tp t="s">
        <v>#N/A N/A</v>
        <stp/>
        <stp>BDP|15539341221366449795</stp>
        <tr r="BB35" s="3"/>
      </tp>
      <tp t="s">
        <v>#N/A N/A</v>
        <stp/>
        <stp>BDP|13576160788688576731</stp>
        <tr r="Z43" s="3"/>
      </tp>
      <tp t="s">
        <v>#N/A N/A</v>
        <stp/>
        <stp>BDP|10963690531289925953</stp>
        <tr r="AY58" s="3"/>
      </tp>
      <tp t="s">
        <v>#N/A N/A</v>
        <stp/>
        <stp>BDP|10280665648144681371</stp>
        <tr r="AO62" s="3"/>
      </tp>
      <tp t="s">
        <v>#N/A N/A</v>
        <stp/>
        <stp>BDP|12890117110673613432</stp>
        <tr r="BQ44" s="3"/>
      </tp>
      <tp t="s">
        <v>#N/A N/A</v>
        <stp/>
        <stp>BDP|16024723114671808424</stp>
        <tr r="BM20" s="3"/>
      </tp>
      <tp t="s">
        <v>#N/A N/A</v>
        <stp/>
        <stp>BDP|11932255823500442471</stp>
        <tr r="AE28" s="3"/>
      </tp>
      <tp t="s">
        <v>#N/A N/A</v>
        <stp/>
        <stp>BDP|16384053109261698255</stp>
        <tr r="BA23" s="3"/>
      </tp>
      <tp t="s">
        <v>#N/A N/A</v>
        <stp/>
        <stp>BDP|10039004805750234588</stp>
        <tr r="AL62" s="3"/>
      </tp>
      <tp t="s">
        <v>#N/A N/A</v>
        <stp/>
        <stp>BDP|15452674229490157443</stp>
        <tr r="AD65" s="3"/>
      </tp>
      <tp t="s">
        <v>#N/A N/A</v>
        <stp/>
        <stp>BDP|17796221478104288302</stp>
        <tr r="BQ19" s="3"/>
      </tp>
      <tp t="s">
        <v>#N/A N/A</v>
        <stp/>
        <stp>BDP|16168583510226648119</stp>
        <tr r="AH56" s="3"/>
      </tp>
      <tp t="s">
        <v>#N/A N/A</v>
        <stp/>
        <stp>BDP|12580028460894925503</stp>
        <tr r="BL65" s="3"/>
      </tp>
      <tp t="s">
        <v>#N/A N/A</v>
        <stp/>
        <stp>BDP|13789935999930190624</stp>
        <tr r="BB67" s="3"/>
      </tp>
      <tp t="s">
        <v>#N/A N/A</v>
        <stp/>
        <stp>BDP|17153678453030867132</stp>
        <tr r="Y23" s="3"/>
      </tp>
      <tp t="s">
        <v>#N/A N/A</v>
        <stp/>
        <stp>BDP|10519765122749776989</stp>
        <tr r="BP40" s="3"/>
      </tp>
      <tp t="s">
        <v>#N/A N/A</v>
        <stp/>
        <stp>BDP|14675363759727505022</stp>
        <tr r="AY38" s="3"/>
      </tp>
      <tp t="s">
        <v>#N/A N/A</v>
        <stp/>
        <stp>BDP|15249751448917783463</stp>
        <tr r="Z47" s="3"/>
      </tp>
      <tp t="s">
        <v>#N/A N/A</v>
        <stp/>
        <stp>BDP|15298474615543651688</stp>
        <tr r="AB63" s="3"/>
      </tp>
      <tp t="s">
        <v>#N/A N/A</v>
        <stp/>
        <stp>BDP|14517268736806325687</stp>
        <tr r="AI49" s="3"/>
      </tp>
      <tp t="s">
        <v>#N/A N/A</v>
        <stp/>
        <stp>BDP|17358538654114317662</stp>
        <tr r="U42" s="3"/>
      </tp>
      <tp t="s">
        <v>#N/A N/A</v>
        <stp/>
        <stp>BDP|13858029229404779050</stp>
        <tr r="BJ40" s="3"/>
      </tp>
      <tp t="s">
        <v>#N/A N/A</v>
        <stp/>
        <stp>BDP|12124039961457715653</stp>
        <tr r="AD69" s="3"/>
      </tp>
      <tp t="s">
        <v>#N/A N/A</v>
        <stp/>
        <stp>BDP|12016544910592093155</stp>
        <tr r="AI26" s="3"/>
      </tp>
      <tp t="s">
        <v>#N/A N/A</v>
        <stp/>
        <stp>BDP|14161076556631748561</stp>
        <tr r="AF27" s="3"/>
      </tp>
      <tp t="s">
        <v>#N/A N/A</v>
        <stp/>
        <stp>BDP|14418455849126905706</stp>
        <tr r="AB69" s="3"/>
      </tp>
      <tp t="s">
        <v>#N/A N/A</v>
        <stp/>
        <stp>BDP|12695135514274395335</stp>
        <tr r="BA67" s="3"/>
      </tp>
      <tp t="s">
        <v>#N/A N/A</v>
        <stp/>
        <stp>BDP|12889998581722069415</stp>
        <tr r="AA66" s="3"/>
      </tp>
      <tp t="s">
        <v>#N/A N/A</v>
        <stp/>
        <stp>BDP|13122606381019984196</stp>
        <tr r="AH45" s="3"/>
      </tp>
      <tp t="s">
        <v>#N/A N/A</v>
        <stp/>
        <stp>BDP|14493468340834779556</stp>
        <tr r="AA28" s="3"/>
      </tp>
      <tp t="s">
        <v>#N/A N/A</v>
        <stp/>
        <stp>BDP|13047213404091006555</stp>
        <tr r="BM34" s="3"/>
      </tp>
      <tp t="s">
        <v>#N/A N/A</v>
        <stp/>
        <stp>BDP|16539606263790602300</stp>
        <tr r="AO31" s="3"/>
      </tp>
      <tp t="s">
        <v>#N/A N/A</v>
        <stp/>
        <stp>BDP|15628263276185214041</stp>
        <tr r="BL43" s="3"/>
      </tp>
      <tp t="s">
        <v>#N/A N/A</v>
        <stp/>
        <stp>BDP|13821276883494867840</stp>
        <tr r="AY16" s="3"/>
      </tp>
      <tp t="s">
        <v>#N/A N/A</v>
        <stp/>
        <stp>BDP|15221727885947266842</stp>
        <tr r="AC16" s="3"/>
      </tp>
      <tp t="s">
        <v>#N/A N/A</v>
        <stp/>
        <stp>BDP|15000759123113065650</stp>
        <tr r="AI15" s="3"/>
      </tp>
      <tp t="s">
        <v>#N/A N/A</v>
        <stp/>
        <stp>BDP|11754254351931034209</stp>
        <tr r="BI57" s="3"/>
      </tp>
      <tp t="s">
        <v>#N/A N/A</v>
        <stp/>
        <stp>BDP|10559346665772764203</stp>
        <tr r="AF36" s="3"/>
      </tp>
      <tp t="s">
        <v>#N/A N/A</v>
        <stp/>
        <stp>BDP|12180206492089482543</stp>
        <tr r="AN54" s="3"/>
      </tp>
      <tp t="s">
        <v>#N/A N/A</v>
        <stp/>
        <stp>BDP|17363663953005780428</stp>
        <tr r="Z23" s="3"/>
      </tp>
      <tp t="s">
        <v>#N/A N/A</v>
        <stp/>
        <stp>BDP|16248298488601746864</stp>
        <tr r="AE45" s="3"/>
      </tp>
      <tp t="s">
        <v>#N/A N/A</v>
        <stp/>
        <stp>BDP|15316486129382020408</stp>
        <tr r="AZ37" s="3"/>
      </tp>
      <tp t="s">
        <v>#N/A N/A</v>
        <stp/>
        <stp>BDP|12267431340170497771</stp>
        <tr r="BI42" s="3"/>
      </tp>
      <tp t="s">
        <v>#N/A N/A</v>
        <stp/>
        <stp>BDP|12286310443794093427</stp>
        <tr r="BK58" s="3"/>
      </tp>
      <tp t="s">
        <v>#N/A N/A</v>
        <stp/>
        <stp>BDP|12235032787946181954</stp>
        <tr r="AO24" s="3"/>
      </tp>
      <tp t="s">
        <v>#N/A N/A</v>
        <stp/>
        <stp>BDP|17148592060315982447</stp>
        <tr r="AA56" s="3"/>
      </tp>
      <tp t="s">
        <v>#N/A N/A</v>
        <stp/>
        <stp>BDP|16370436452821054371</stp>
        <tr r="AQ42" s="3"/>
      </tp>
      <tp t="s">
        <v>#N/A N/A</v>
        <stp/>
        <stp>BDP|13995014331747897241</stp>
        <tr r="AP31" s="3"/>
      </tp>
      <tp t="s">
        <v>#N/A N/A</v>
        <stp/>
        <stp>BDP|10922190420294203277</stp>
        <tr r="AP44" s="3"/>
      </tp>
      <tp t="s">
        <v>#N/A N/A</v>
        <stp/>
        <stp>BDP|12695047826007420259</stp>
        <tr r="AL33" s="3"/>
      </tp>
      <tp t="s">
        <v>#N/A N/A</v>
        <stp/>
        <stp>BDP|16771622958100008081</stp>
        <tr r="AI25" s="3"/>
      </tp>
      <tp t="s">
        <v>#N/A N/A</v>
        <stp/>
        <stp>BDP|15046042504036234667</stp>
        <tr r="BB43" s="3"/>
      </tp>
      <tp t="s">
        <v>#N/A N/A</v>
        <stp/>
        <stp>BDP|11044481878292643522</stp>
        <tr r="BM32" s="3"/>
      </tp>
      <tp t="s">
        <v>#N/A N/A</v>
        <stp/>
        <stp>BDP|13277563861466428352</stp>
        <tr r="BA45" s="3"/>
      </tp>
      <tp t="s">
        <v>#N/A N/A</v>
        <stp/>
        <stp>BDP|12182440417376381454</stp>
        <tr r="BK54" s="3"/>
      </tp>
      <tp t="s">
        <v>#N/A N/A</v>
        <stp/>
        <stp>BDP|16644601651424211415</stp>
        <tr r="V17" s="3"/>
      </tp>
      <tp t="s">
        <v>#N/A N/A</v>
        <stp/>
        <stp>BDP|15380191346070847536</stp>
        <tr r="AU35" s="3"/>
      </tp>
      <tp t="s">
        <v>#N/A N/A</v>
        <stp/>
        <stp>BDP|17047749308147919224</stp>
        <tr r="AE50" s="3"/>
      </tp>
      <tp t="s">
        <v>#N/A N/A</v>
        <stp/>
        <stp>BDP|15184778160075645476</stp>
        <tr r="U53" s="3"/>
      </tp>
      <tp t="s">
        <v>#N/A N/A</v>
        <stp/>
        <stp>BDP|11106226765389579940</stp>
        <tr r="BM27" s="3"/>
      </tp>
      <tp t="s">
        <v>#N/A N/A</v>
        <stp/>
        <stp>BDP|16890291626350057309</stp>
        <tr r="AN29" s="3"/>
      </tp>
      <tp t="s">
        <v>#N/A N/A</v>
        <stp/>
        <stp>BDP|16335329472966210164</stp>
        <tr r="AM26" s="3"/>
      </tp>
      <tp t="s">
        <v>#N/A N/A</v>
        <stp/>
        <stp>BDP|14285591147385861539</stp>
        <tr r="AX51" s="3"/>
      </tp>
      <tp t="s">
        <v>#N/A N/A</v>
        <stp/>
        <stp>BDP|16283829380506397554</stp>
        <tr r="AO67" s="3"/>
      </tp>
      <tp t="s">
        <v>#N/A N/A</v>
        <stp/>
        <stp>BDP|18188170363202069833</stp>
        <tr r="BQ29" s="3"/>
      </tp>
      <tp t="s">
        <v>#N/A N/A</v>
        <stp/>
        <stp>BDP|16637644549110800158</stp>
        <tr r="AQ35" s="3"/>
      </tp>
      <tp t="s">
        <v>#N/A N/A</v>
        <stp/>
        <stp>BDP|14504460844508115908</stp>
        <tr r="AD37" s="3"/>
      </tp>
      <tp t="s">
        <v>#N/A N/A</v>
        <stp/>
        <stp>BDP|10184832270759505311</stp>
        <tr r="AQ29" s="3"/>
      </tp>
    </main>
    <main first="bofaddin.rtdserver">
      <tp t="s">
        <v>#N/A N/A</v>
        <stp/>
        <stp>BDP|6494042934385779</stp>
        <tr r="AZ30" s="3"/>
      </tp>
      <tp t="s">
        <v>#N/A N/A</v>
        <stp/>
        <stp>BDP|5490090296083909381</stp>
        <tr r="W36" s="3"/>
      </tp>
      <tp t="s">
        <v>#N/A N/A</v>
        <stp/>
        <stp>BDP|5309183095158594913</stp>
        <tr r="AD25" s="3"/>
      </tp>
      <tp t="s">
        <v>#N/A N/A</v>
        <stp/>
        <stp>BDP|8675498483128232047</stp>
        <tr r="AY49" s="3"/>
      </tp>
      <tp t="s">
        <v>#N/A N/A</v>
        <stp/>
        <stp>BDP|2148984441656136539</stp>
        <tr r="AX68" s="3"/>
      </tp>
      <tp t="s">
        <v>#N/A N/A</v>
        <stp/>
        <stp>BDP|5278664653059834351</stp>
        <tr r="BQ68" s="3"/>
      </tp>
      <tp t="s">
        <v>#N/A N/A</v>
        <stp/>
        <stp>BDP|4069574895251923512</stp>
        <tr r="AL58" s="3"/>
      </tp>
      <tp t="s">
        <v>#N/A N/A</v>
        <stp/>
        <stp>BDP|7732627448389020076</stp>
        <tr r="BP58" s="3"/>
      </tp>
      <tp t="s">
        <v>#N/A N/A</v>
        <stp/>
        <stp>BDP|5149274222321715890</stp>
        <tr r="BB33" s="3"/>
      </tp>
      <tp t="s">
        <v>#N/A N/A</v>
        <stp/>
        <stp>BDP|8724427978472195575</stp>
        <tr r="AQ69" s="3"/>
      </tp>
      <tp t="s">
        <v>#N/A N/A</v>
        <stp/>
        <stp>BDP|2243160727478100593</stp>
        <tr r="AG18" s="3"/>
      </tp>
      <tp t="s">
        <v>#N/A N/A</v>
        <stp/>
        <stp>BDP|5126926540993341785</stp>
        <tr r="AD50" s="3"/>
      </tp>
      <tp t="s">
        <v>#N/A N/A</v>
        <stp/>
        <stp>BDP|4923867477534527353</stp>
        <tr r="BF62" s="3"/>
      </tp>
      <tp t="s">
        <v>#N/A N/A</v>
        <stp/>
        <stp>BDP|9603367352205399680</stp>
        <tr r="AH43" s="3"/>
      </tp>
      <tp t="s">
        <v>#N/A N/A</v>
        <stp/>
        <stp>BDP|9817041722991454633</stp>
        <tr r="AL40" s="3"/>
      </tp>
      <tp t="s">
        <v>#N/A N/A</v>
        <stp/>
        <stp>BDP|3075317081573033793</stp>
        <tr r="AW65" s="3"/>
      </tp>
      <tp t="s">
        <v>#N/A N/A</v>
        <stp/>
        <stp>BDP|1264542698973508229</stp>
        <tr r="AX32" s="3"/>
      </tp>
      <tp t="s">
        <v>#N/A N/A</v>
        <stp/>
        <stp>BDP|6034923840607219091</stp>
        <tr r="BO49" s="3"/>
      </tp>
      <tp t="s">
        <v>#N/A N/A</v>
        <stp/>
        <stp>BDP|2859305281602669712</stp>
        <tr r="AY36" s="3"/>
      </tp>
      <tp t="s">
        <v>#N/A N/A</v>
        <stp/>
        <stp>BDP|8277026930437666086</stp>
        <tr r="BN33" s="3"/>
      </tp>
      <tp t="s">
        <v>#N/A N/A</v>
        <stp/>
        <stp>BDP|9372082025503155411</stp>
        <tr r="BM59" s="3"/>
      </tp>
      <tp t="s">
        <v>#N/A N/A</v>
        <stp/>
        <stp>BDP|9472629247801788688</stp>
        <tr r="AY64" s="3"/>
      </tp>
      <tp t="s">
        <v>#N/A N/A</v>
        <stp/>
        <stp>BDP|2601439182586140490</stp>
        <tr r="BC43" s="3"/>
      </tp>
      <tp t="s">
        <v>#N/A N/A</v>
        <stp/>
        <stp>BDP|8506008550288975930</stp>
        <tr r="BQ41" s="3"/>
      </tp>
      <tp t="s">
        <v>#N/A N/A</v>
        <stp/>
        <stp>BDP|1983684141739980665</stp>
        <tr r="AG45" s="3"/>
      </tp>
      <tp t="s">
        <v>#N/A N/A</v>
        <stp/>
        <stp>BDP|2596381940460016914</stp>
        <tr r="BN42" s="3"/>
      </tp>
      <tp t="s">
        <v>#N/A N/A</v>
        <stp/>
        <stp>BDP|1880468351114003833</stp>
        <tr r="BD17" s="3"/>
      </tp>
      <tp t="s">
        <v>#N/A N/A</v>
        <stp/>
        <stp>BDP|1055037064628278391</stp>
        <tr r="Z21" s="3"/>
      </tp>
      <tp t="s">
        <v>#N/A N/A</v>
        <stp/>
        <stp>BDP|2894573434009554136</stp>
        <tr r="AQ39" s="3"/>
      </tp>
      <tp t="s">
        <v>#N/A N/A</v>
        <stp/>
        <stp>BDP|9262213906814124396</stp>
        <tr r="AA50" s="3"/>
      </tp>
      <tp t="s">
        <v>#N/A N/A</v>
        <stp/>
        <stp>BDP|2045159198667652162</stp>
        <tr r="AM47" s="3"/>
      </tp>
      <tp t="s">
        <v>#N/A N/A</v>
        <stp/>
        <stp>BDP|1606515381749351986</stp>
        <tr r="AG39" s="3"/>
      </tp>
      <tp t="s">
        <v>#N/A N/A</v>
        <stp/>
        <stp>BDP|9642607519683437166</stp>
        <tr r="AU17" s="3"/>
      </tp>
      <tp t="s">
        <v>#N/A N/A</v>
        <stp/>
        <stp>BDP|2057435768019223547</stp>
        <tr r="W45" s="3"/>
      </tp>
      <tp t="s">
        <v>#N/A N/A</v>
        <stp/>
        <stp>BDP|7290771067113766989</stp>
        <tr r="BE16" s="3"/>
      </tp>
      <tp t="s">
        <v>#N/A N/A</v>
        <stp/>
        <stp>BDP|8288574581110642904</stp>
        <tr r="BA53" s="3"/>
      </tp>
      <tp t="s">
        <v>#N/A N/A</v>
        <stp/>
        <stp>BDP|7548697691875869171</stp>
        <tr r="AP60" s="3"/>
      </tp>
      <tp t="s">
        <v>#N/A N/A</v>
        <stp/>
        <stp>BDP|1376942202662144663</stp>
        <tr r="AY43" s="3"/>
      </tp>
      <tp t="s">
        <v>#N/A N/A</v>
        <stp/>
        <stp>BDP|7954232595037811748</stp>
        <tr r="BO67" s="3"/>
      </tp>
      <tp t="s">
        <v>#N/A N/A</v>
        <stp/>
        <stp>BDP|1264239280186852194</stp>
        <tr r="AV53" s="3"/>
      </tp>
      <tp t="s">
        <v>#N/A N/A</v>
        <stp/>
        <stp>BDP|3789129854258747365</stp>
        <tr r="AP34" s="3"/>
      </tp>
      <tp t="s">
        <v>#N/A N/A</v>
        <stp/>
        <stp>BDP|5246858106659762868</stp>
        <tr r="AN41" s="3"/>
      </tp>
      <tp t="s">
        <v>#N/A N/A</v>
        <stp/>
        <stp>BDP|8147667020019371943</stp>
        <tr r="AE69" s="3"/>
      </tp>
      <tp t="s">
        <v>#N/A N/A</v>
        <stp/>
        <stp>BDP|5087507995935187057</stp>
        <tr r="AX25" s="3"/>
      </tp>
      <tp t="s">
        <v>#N/A N/A</v>
        <stp/>
        <stp>BDP|2051723545849719415</stp>
        <tr r="AO36" s="3"/>
      </tp>
      <tp t="s">
        <v>#N/A N/A</v>
        <stp/>
        <stp>BDP|8371870482580268459</stp>
        <tr r="AU21" s="3"/>
      </tp>
      <tp t="s">
        <v>#N/A N/A</v>
        <stp/>
        <stp>BDP|3874763195525883427</stp>
        <tr r="AU67" s="3"/>
      </tp>
      <tp t="s">
        <v>#N/A N/A</v>
        <stp/>
        <stp>BDP|2905193268539789096</stp>
        <tr r="V45" s="3"/>
      </tp>
      <tp t="s">
        <v>#N/A N/A</v>
        <stp/>
        <stp>BDP|3099584509193183969</stp>
        <tr r="BM28" s="3"/>
      </tp>
      <tp t="s">
        <v>#N/A N/A</v>
        <stp/>
        <stp>BDP|9066533362325008379</stp>
        <tr r="AD27" s="3"/>
      </tp>
      <tp t="s">
        <v>#N/A N/A</v>
        <stp/>
        <stp>BDP|8352042956621596026</stp>
        <tr r="AB44" s="3"/>
      </tp>
      <tp t="s">
        <v>#N/A N/A</v>
        <stp/>
        <stp>BDP|7491794734797680892</stp>
        <tr r="AJ28" s="3"/>
      </tp>
      <tp t="s">
        <v>#N/A N/A</v>
        <stp/>
        <stp>BDP|4615949872417086164</stp>
        <tr r="X31" s="3"/>
      </tp>
      <tp t="s">
        <v>#N/A N/A</v>
        <stp/>
        <stp>BDP|2244464937478560100</stp>
        <tr r="AR45" s="3"/>
      </tp>
      <tp t="s">
        <v>#N/A N/A</v>
        <stp/>
        <stp>BDP|4000654857119274266</stp>
        <tr r="BM57" s="3"/>
      </tp>
      <tp t="s">
        <v>#N/A N/A</v>
        <stp/>
        <stp>BDP|7542396603109133198</stp>
        <tr r="BD38" s="3"/>
      </tp>
      <tp t="s">
        <v>#N/A N/A</v>
        <stp/>
        <stp>BDP|8089591269327118063</stp>
        <tr r="AJ35" s="3"/>
      </tp>
      <tp t="s">
        <v>#N/A N/A</v>
        <stp/>
        <stp>BDP|1271654442506498961</stp>
        <tr r="BD24" s="3"/>
      </tp>
      <tp t="s">
        <v>#N/A N/A</v>
        <stp/>
        <stp>BDP|4414969186979637052</stp>
        <tr r="AT43" s="3"/>
      </tp>
      <tp t="s">
        <v>#N/A N/A</v>
        <stp/>
        <stp>BDP|5398039899577954774</stp>
        <tr r="BG33" s="3"/>
      </tp>
      <tp t="s">
        <v>#N/A N/A</v>
        <stp/>
        <stp>BDP|7442725083317519348</stp>
        <tr r="U61" s="3"/>
      </tp>
      <tp t="s">
        <v>#N/A N/A</v>
        <stp/>
        <stp>BDP|1209868061172573144</stp>
        <tr r="BG35" s="3"/>
      </tp>
      <tp t="s">
        <v>#N/A N/A</v>
        <stp/>
        <stp>BDP|7439835575121720519</stp>
        <tr r="AR53" s="3"/>
      </tp>
      <tp t="s">
        <v>#N/A N/A</v>
        <stp/>
        <stp>BDP|2951665584203957368</stp>
        <tr r="AI39" s="3"/>
      </tp>
      <tp t="s">
        <v>#N/A N/A</v>
        <stp/>
        <stp>BDP|6950445100639109789</stp>
        <tr r="AB58" s="3"/>
      </tp>
      <tp t="s">
        <v>#N/A N/A</v>
        <stp/>
        <stp>BDP|9066126237346986185</stp>
        <tr r="AM56" s="3"/>
      </tp>
      <tp t="s">
        <v>#N/A N/A</v>
        <stp/>
        <stp>BDP|9157544223821518363</stp>
        <tr r="BP36" s="3"/>
      </tp>
      <tp t="s">
        <v>#N/A N/A</v>
        <stp/>
        <stp>BDP|9093835405784367902</stp>
        <tr r="AR34" s="3"/>
      </tp>
      <tp t="s">
        <v>#N/A N/A</v>
        <stp/>
        <stp>BDP|1834309496051371683</stp>
        <tr r="AJ44" s="3"/>
      </tp>
      <tp t="s">
        <v>#N/A N/A</v>
        <stp/>
        <stp>BDP|6264621290960227572</stp>
        <tr r="AH18" s="3"/>
      </tp>
      <tp t="s">
        <v>#N/A N/A</v>
        <stp/>
        <stp>BDP|3577201991006728265</stp>
        <tr r="BJ25" s="3"/>
      </tp>
      <tp t="s">
        <v>#N/A N/A</v>
        <stp/>
        <stp>BDP|7809897202277035467</stp>
        <tr r="BE63" s="3"/>
      </tp>
      <tp t="s">
        <v>#N/A N/A</v>
        <stp/>
        <stp>BDP|9451825641078456163</stp>
        <tr r="AT47" s="3"/>
      </tp>
      <tp t="s">
        <v>#N/A N/A</v>
        <stp/>
        <stp>BDP|2380627053284919815</stp>
        <tr r="AL44" s="3"/>
      </tp>
      <tp t="s">
        <v>#N/A N/A</v>
        <stp/>
        <stp>BDP|3869679457485028822</stp>
        <tr r="AI45" s="3"/>
      </tp>
      <tp t="s">
        <v>#N/A N/A</v>
        <stp/>
        <stp>BDP|5879170530653227979</stp>
        <tr r="AN61" s="3"/>
      </tp>
      <tp t="s">
        <v>#N/A N/A</v>
        <stp/>
        <stp>BDP|1712984501640580514</stp>
        <tr r="BO21" s="3"/>
      </tp>
      <tp t="s">
        <v>#N/A N/A</v>
        <stp/>
        <stp>BDP|1880486399850400178</stp>
        <tr r="BJ62" s="3"/>
      </tp>
      <tp t="s">
        <v>#N/A N/A</v>
        <stp/>
        <stp>BDP|6971086413088879206</stp>
        <tr r="AJ50" s="3"/>
      </tp>
      <tp t="s">
        <v>#N/A N/A</v>
        <stp/>
        <stp>BDP|1260205637049642494</stp>
        <tr r="AT37" s="3"/>
      </tp>
      <tp t="s">
        <v>#N/A N/A</v>
        <stp/>
        <stp>BDP|2340617255124949844</stp>
        <tr r="BB50" s="3"/>
      </tp>
      <tp t="s">
        <v>#N/A N/A</v>
        <stp/>
        <stp>BDP|7243583147733454832</stp>
        <tr r="AX36" s="3"/>
      </tp>
      <tp t="s">
        <v>#N/A N/A</v>
        <stp/>
        <stp>BDP|7160385012951631962</stp>
        <tr r="AY23" s="3"/>
      </tp>
      <tp t="s">
        <v>#N/A N/A</v>
        <stp/>
        <stp>BDP|9426807299107415229</stp>
        <tr r="AA47" s="3"/>
      </tp>
      <tp t="s">
        <v>#N/A N/A</v>
        <stp/>
        <stp>BDP|3965269637759040601</stp>
        <tr r="AI69" s="3"/>
      </tp>
      <tp t="s">
        <v>#N/A N/A</v>
        <stp/>
        <stp>BDP|3288694153635550850</stp>
        <tr r="BC49" s="3"/>
      </tp>
      <tp t="s">
        <v>#N/A N/A</v>
        <stp/>
        <stp>BDP|7595965708317205411</stp>
        <tr r="BM66" s="3"/>
      </tp>
      <tp t="s">
        <v>#N/A N/A</v>
        <stp/>
        <stp>BDP|3759627994844868519</stp>
        <tr r="AQ47" s="3"/>
      </tp>
      <tp t="s">
        <v>#N/A N/A</v>
        <stp/>
        <stp>BDP|5603049189906444670</stp>
        <tr r="X28" s="3"/>
      </tp>
      <tp t="s">
        <v>#N/A N/A</v>
        <stp/>
        <stp>BDP|5249462104185032980</stp>
        <tr r="X52" s="3"/>
      </tp>
      <tp t="s">
        <v>#N/A N/A</v>
        <stp/>
        <stp>BDP|4476503320696507894</stp>
        <tr r="AP52" s="3"/>
      </tp>
      <tp t="s">
        <v>#N/A N/A</v>
        <stp/>
        <stp>BDP|7599860241316820034</stp>
        <tr r="BD39" s="3"/>
      </tp>
      <tp t="s">
        <v>#N/A N/A</v>
        <stp/>
        <stp>BDP|4414370884040763298</stp>
        <tr r="BB31" s="3"/>
      </tp>
      <tp t="s">
        <v>#N/A N/A</v>
        <stp/>
        <stp>BDP|5949269233280465961</stp>
        <tr r="AT64" s="3"/>
      </tp>
      <tp t="s">
        <v>#N/A N/A</v>
        <stp/>
        <stp>BDP|4173120683222997274</stp>
        <tr r="BN19" s="3"/>
      </tp>
      <tp t="s">
        <v>#N/A N/A</v>
        <stp/>
        <stp>BDP|7799321647028575594</stp>
        <tr r="AY39" s="3"/>
      </tp>
      <tp t="s">
        <v>#N/A N/A</v>
        <stp/>
        <stp>BDP|9707417389519502148</stp>
        <tr r="BO61" s="3"/>
      </tp>
      <tp t="s">
        <v>#N/A N/A</v>
        <stp/>
        <stp>BDP|4700368507903827900</stp>
        <tr r="AQ26" s="3"/>
      </tp>
      <tp t="s">
        <v>#N/A N/A</v>
        <stp/>
        <stp>BDP|2407183990542329516</stp>
        <tr r="BA56" s="3"/>
      </tp>
      <tp t="s">
        <v>#N/A N/A</v>
        <stp/>
        <stp>BDP|9454011052796933719</stp>
        <tr r="AB23" s="3"/>
      </tp>
      <tp t="s">
        <v>#N/A N/A</v>
        <stp/>
        <stp>BDP|3410400451127920839</stp>
        <tr r="BI24" s="3"/>
      </tp>
      <tp t="s">
        <v>#N/A N/A</v>
        <stp/>
        <stp>BDP|6324646536357783994</stp>
        <tr r="BP68" s="3"/>
      </tp>
      <tp t="s">
        <v>#N/A N/A</v>
        <stp/>
        <stp>BDP|9851720975427841385</stp>
        <tr r="BO41" s="3"/>
      </tp>
      <tp t="s">
        <v>#N/A N/A</v>
        <stp/>
        <stp>BDP|2103576087587784599</stp>
        <tr r="BN57" s="3"/>
      </tp>
      <tp t="s">
        <v>#N/A N/A</v>
        <stp/>
        <stp>BDP|8623896373418328207</stp>
        <tr r="AG52" s="3"/>
      </tp>
      <tp t="s">
        <v>#N/A N/A</v>
        <stp/>
        <stp>BDP|9448183824405687227</stp>
        <tr r="BN36" s="3"/>
      </tp>
      <tp t="s">
        <v>#N/A N/A</v>
        <stp/>
        <stp>BDP|9218051363137980515</stp>
        <tr r="BO31" s="3"/>
      </tp>
      <tp t="s">
        <v>#N/A N/A</v>
        <stp/>
        <stp>BDP|7328227802479765187</stp>
        <tr r="V24" s="3"/>
      </tp>
      <tp t="s">
        <v>#N/A N/A</v>
        <stp/>
        <stp>BDP|3351213997876149392</stp>
        <tr r="AM28" s="3"/>
      </tp>
      <tp t="s">
        <v>#N/A N/A</v>
        <stp/>
        <stp>BDP|8548731069475583174</stp>
        <tr r="AA46" s="3"/>
      </tp>
      <tp t="s">
        <v>#N/A N/A</v>
        <stp/>
        <stp>BDP|3011855513800850735</stp>
        <tr r="AN36" s="3"/>
      </tp>
      <tp t="s">
        <v>#N/A N/A</v>
        <stp/>
        <stp>BDP|2529688581765131402</stp>
        <tr r="AI36" s="3"/>
      </tp>
      <tp t="s">
        <v>#N/A N/A</v>
        <stp/>
        <stp>BDP|4257517193386513380</stp>
        <tr r="X26" s="3"/>
      </tp>
      <tp t="s">
        <v>#N/A N/A</v>
        <stp/>
        <stp>BDP|1449299587625306349</stp>
        <tr r="BO57" s="3"/>
      </tp>
      <tp t="s">
        <v>#N/A N/A</v>
        <stp/>
        <stp>BDP|9087638809575183769</stp>
        <tr r="AY54" s="3"/>
      </tp>
      <tp t="s">
        <v>#N/A N/A</v>
        <stp/>
        <stp>BDP|6680623705774213918</stp>
        <tr r="AJ67" s="3"/>
      </tp>
      <tp t="s">
        <v>#N/A N/A</v>
        <stp/>
        <stp>BDP|5344431422577108915</stp>
        <tr r="AY66" s="3"/>
      </tp>
      <tp t="s">
        <v>#N/A N/A</v>
        <stp/>
        <stp>BDP|8371070816673404744</stp>
        <tr r="BK32" s="3"/>
      </tp>
      <tp t="s">
        <v>#N/A N/A</v>
        <stp/>
        <stp>BDP|7348801638141958006</stp>
        <tr r="AC61" s="3"/>
      </tp>
      <tp t="s">
        <v>#N/A N/A</v>
        <stp/>
        <stp>BDP|9722221345940187235</stp>
        <tr r="BK44" s="3"/>
      </tp>
      <tp t="s">
        <v>#N/A N/A</v>
        <stp/>
        <stp>BDP|2073625002789129031</stp>
        <tr r="AN16" s="3"/>
      </tp>
      <tp t="s">
        <v>#N/A N/A</v>
        <stp/>
        <stp>BDP|9432548001591449061</stp>
        <tr r="AH54" s="3"/>
      </tp>
      <tp t="s">
        <v>#N/A N/A</v>
        <stp/>
        <stp>BDP|8467069813205416163</stp>
        <tr r="BD59" s="3"/>
      </tp>
      <tp t="s">
        <v>#N/A N/A</v>
        <stp/>
        <stp>BDP|9595249228024971035</stp>
        <tr r="X54" s="3"/>
      </tp>
      <tp t="s">
        <v>#N/A N/A</v>
        <stp/>
        <stp>BDP|1951113336099429796</stp>
        <tr r="AC50" s="3"/>
      </tp>
      <tp t="s">
        <v>#N/A N/A</v>
        <stp/>
        <stp>BDP|6168306022559851385</stp>
        <tr r="AP46" s="3"/>
      </tp>
      <tp t="s">
        <v>#N/A N/A</v>
        <stp/>
        <stp>BDP|6610180026171959920</stp>
        <tr r="AB48" s="3"/>
      </tp>
      <tp t="s">
        <v>#N/A N/A</v>
        <stp/>
        <stp>BDP|3567473592786806589</stp>
        <tr r="Y55" s="3"/>
      </tp>
      <tp t="s">
        <v>#N/A N/A</v>
        <stp/>
        <stp>BDP|6498364939399927220</stp>
        <tr r="BD26" s="3"/>
      </tp>
      <tp t="s">
        <v>#N/A N/A</v>
        <stp/>
        <stp>BDP|3925527296487927540</stp>
        <tr r="BL17" s="3"/>
      </tp>
      <tp t="s">
        <v>#N/A N/A</v>
        <stp/>
        <stp>BDP|8222160357761240014</stp>
        <tr r="AK62" s="3"/>
      </tp>
      <tp t="s">
        <v>#N/A N/A</v>
        <stp/>
        <stp>BDP|7518445876681126865</stp>
        <tr r="AS27" s="3"/>
      </tp>
      <tp t="s">
        <v>#N/A N/A</v>
        <stp/>
        <stp>BDP|7310967410995705734</stp>
        <tr r="AW23" s="3"/>
      </tp>
      <tp t="s">
        <v>#N/A N/A</v>
        <stp/>
        <stp>BDP|9548701336231450169</stp>
        <tr r="AU55" s="3"/>
      </tp>
      <tp t="s">
        <v>#N/A N/A</v>
        <stp/>
        <stp>BDP|5267547561312341957</stp>
        <tr r="AX18" s="3"/>
      </tp>
      <tp t="s">
        <v>#N/A N/A</v>
        <stp/>
        <stp>BDP|5634205327210669867</stp>
        <tr r="BB37" s="3"/>
      </tp>
      <tp t="s">
        <v>#N/A N/A</v>
        <stp/>
        <stp>BDP|7758896154866459184</stp>
        <tr r="AN34" s="3"/>
      </tp>
      <tp t="s">
        <v>#N/A N/A</v>
        <stp/>
        <stp>BDP|8794291092008224680</stp>
        <tr r="Y48" s="3"/>
      </tp>
      <tp t="s">
        <v>#N/A N/A</v>
        <stp/>
        <stp>BDP|8125258672050292020</stp>
        <tr r="AQ22" s="3"/>
      </tp>
      <tp t="s">
        <v>#N/A N/A</v>
        <stp/>
        <stp>BDP|5158359206969222265</stp>
        <tr r="AS52" s="3"/>
      </tp>
      <tp t="s">
        <v>#N/A N/A</v>
        <stp/>
        <stp>BDP|2498966417954593368</stp>
        <tr r="AQ37" s="3"/>
      </tp>
      <tp t="s">
        <v>#N/A N/A</v>
        <stp/>
        <stp>BDP|7405983455294836274</stp>
        <tr r="AW61" s="3"/>
      </tp>
      <tp t="s">
        <v>#N/A N/A</v>
        <stp/>
        <stp>BDP|2437273494111119506</stp>
        <tr r="AF38" s="3"/>
      </tp>
      <tp t="s">
        <v>#N/A N/A</v>
        <stp/>
        <stp>BDP|6793735380121644554</stp>
        <tr r="AH67" s="3"/>
      </tp>
      <tp t="s">
        <v>#N/A N/A</v>
        <stp/>
        <stp>BDP|1286895806963370797</stp>
        <tr r="X64" s="3"/>
      </tp>
      <tp t="s">
        <v>#N/A N/A</v>
        <stp/>
        <stp>BDP|6968126465474939800</stp>
        <tr r="AP19" s="3"/>
      </tp>
      <tp t="s">
        <v>#N/A N/A</v>
        <stp/>
        <stp>BDP|1601970952327613712</stp>
        <tr r="BD48" s="3"/>
      </tp>
      <tp t="s">
        <v>#N/A N/A</v>
        <stp/>
        <stp>BDP|8885792352561589624</stp>
        <tr r="AE66" s="3"/>
      </tp>
      <tp t="s">
        <v>#N/A N/A</v>
        <stp/>
        <stp>BDP|9203333821755521014</stp>
        <tr r="BN65" s="3"/>
      </tp>
      <tp t="s">
        <v>#N/A N/A</v>
        <stp/>
        <stp>BDP|2690907123217397320</stp>
        <tr r="AV58" s="3"/>
      </tp>
      <tp t="s">
        <v>#N/A N/A</v>
        <stp/>
        <stp>BDP|2855780613931444824</stp>
        <tr r="BI39" s="3"/>
      </tp>
      <tp t="s">
        <v>#N/A N/A</v>
        <stp/>
        <stp>BDP|8587600334794612421</stp>
        <tr r="AC67" s="3"/>
      </tp>
      <tp t="s">
        <v>#N/A N/A</v>
        <stp/>
        <stp>BDP|4279537400388604422</stp>
        <tr r="AQ15" s="3"/>
      </tp>
      <tp t="s">
        <v>#N/A N/A</v>
        <stp/>
        <stp>BDP|5309027382785535534</stp>
        <tr r="AJ62" s="3"/>
      </tp>
      <tp t="s">
        <v>#N/A N/A</v>
        <stp/>
        <stp>BDP|7612533785761893520</stp>
        <tr r="W65" s="3"/>
      </tp>
      <tp t="s">
        <v>#N/A N/A</v>
        <stp/>
        <stp>BDP|2925102705614654901</stp>
        <tr r="Z69" s="3"/>
      </tp>
      <tp t="s">
        <v>#N/A N/A</v>
        <stp/>
        <stp>BDP|6309034798380007125</stp>
        <tr r="AB17" s="3"/>
      </tp>
      <tp t="s">
        <v>#N/A N/A</v>
        <stp/>
        <stp>BDP|6130161248218118547</stp>
        <tr r="AD43" s="3"/>
      </tp>
      <tp t="s">
        <v>#N/A N/A</v>
        <stp/>
        <stp>BDP|8995078415072784572</stp>
        <tr r="BQ51" s="3"/>
      </tp>
      <tp t="s">
        <v>#N/A N/A</v>
        <stp/>
        <stp>BDP|9895897327165886856</stp>
        <tr r="BC19" s="3"/>
      </tp>
      <tp t="s">
        <v>#N/A N/A</v>
        <stp/>
        <stp>BDP|1994924261968749862</stp>
        <tr r="AK37" s="3"/>
      </tp>
      <tp t="s">
        <v>#N/A N/A</v>
        <stp/>
        <stp>BDP|5109245586196060784</stp>
        <tr r="BP53" s="3"/>
      </tp>
      <tp t="s">
        <v>#N/A N/A</v>
        <stp/>
        <stp>BDP|3731738656539117689</stp>
        <tr r="AH65" s="3"/>
      </tp>
      <tp t="s">
        <v>#N/A N/A</v>
        <stp/>
        <stp>BDP|8861644876136622149</stp>
        <tr r="AG68" s="3"/>
      </tp>
      <tp t="s">
        <v>#N/A N/A</v>
        <stp/>
        <stp>BDP|1847888741277074482</stp>
        <tr r="AG47" s="3"/>
      </tp>
      <tp t="s">
        <v>#N/A N/A</v>
        <stp/>
        <stp>BDP|6856655207598113620</stp>
        <tr r="AP23" s="3"/>
      </tp>
      <tp t="s">
        <v>#N/A N/A</v>
        <stp/>
        <stp>BDP|3891056527818057735</stp>
        <tr r="AH59" s="3"/>
      </tp>
      <tp t="s">
        <v>#N/A N/A</v>
        <stp/>
        <stp>BDP|9028504643335944344</stp>
        <tr r="AP22" s="3"/>
      </tp>
      <tp t="s">
        <v>#N/A N/A</v>
        <stp/>
        <stp>BDP|9667071074160851034</stp>
        <tr r="BH37" s="3"/>
      </tp>
      <tp t="s">
        <v>#N/A N/A</v>
        <stp/>
        <stp>BDP|9996775343072010625</stp>
        <tr r="BH24" s="3"/>
      </tp>
      <tp t="s">
        <v>#N/A N/A</v>
        <stp/>
        <stp>BDP|6227715598924121257</stp>
        <tr r="AU18" s="3"/>
      </tp>
      <tp t="s">
        <v>#N/A N/A</v>
        <stp/>
        <stp>BDP|6804808744610569462</stp>
        <tr r="BH33" s="3"/>
      </tp>
      <tp t="s">
        <v>#N/A N/A</v>
        <stp/>
        <stp>BDP|1520495497785584718</stp>
        <tr r="AM61" s="3"/>
      </tp>
      <tp t="s">
        <v>#N/A N/A</v>
        <stp/>
        <stp>BDP|5325197495341768272</stp>
        <tr r="AS53" s="3"/>
      </tp>
      <tp t="s">
        <v>#N/A N/A</v>
        <stp/>
        <stp>BDP|9514680700578713950</stp>
        <tr r="U32" s="3"/>
      </tp>
      <tp t="s">
        <v>#N/A N/A</v>
        <stp/>
        <stp>BDP|6878177600299533056</stp>
        <tr r="AK63" s="3"/>
      </tp>
      <tp t="s">
        <v>#N/A N/A</v>
        <stp/>
        <stp>BDP|9256203018746333253</stp>
        <tr r="BN51" s="3"/>
      </tp>
      <tp t="s">
        <v>#N/A N/A</v>
        <stp/>
        <stp>BDP|2722897369331220394</stp>
        <tr r="AM35" s="3"/>
      </tp>
      <tp t="s">
        <v>#N/A N/A</v>
        <stp/>
        <stp>BDP|8526114418910287625</stp>
        <tr r="AR48" s="3"/>
      </tp>
      <tp t="s">
        <v>#N/A N/A</v>
        <stp/>
        <stp>BDP|6707671389456335062</stp>
        <tr r="V29" s="3"/>
      </tp>
      <tp t="s">
        <v>#N/A N/A</v>
        <stp/>
        <stp>BDP|8046247238325569248</stp>
        <tr r="AQ45" s="3"/>
      </tp>
      <tp t="s">
        <v>#N/A N/A</v>
        <stp/>
        <stp>BDP|3619966344469893918</stp>
        <tr r="AC31" s="3"/>
      </tp>
      <tp t="s">
        <v>#N/A N/A</v>
        <stp/>
        <stp>BDP|2056659285052409099</stp>
        <tr r="AK23" s="3"/>
      </tp>
      <tp t="s">
        <v>#N/A N/A</v>
        <stp/>
        <stp>BDP|3331645052827777905</stp>
        <tr r="AT69" s="3"/>
      </tp>
      <tp t="s">
        <v>#N/A N/A</v>
        <stp/>
        <stp>BDP|6439963056646074265</stp>
        <tr r="BC55" s="3"/>
      </tp>
      <tp t="s">
        <v>#N/A N/A</v>
        <stp/>
        <stp>BDP|4670840172180144535</stp>
        <tr r="U58" s="3"/>
      </tp>
      <tp t="s">
        <v>#N/A N/A</v>
        <stp/>
        <stp>BDP|8805324238783340530</stp>
        <tr r="AM54" s="3"/>
      </tp>
      <tp t="s">
        <v>#N/A N/A</v>
        <stp/>
        <stp>BDP|8221606128233818100</stp>
        <tr r="AU45" s="3"/>
      </tp>
      <tp t="s">
        <v>#N/A N/A</v>
        <stp/>
        <stp>BDP|8788269320582723440</stp>
        <tr r="BL59" s="3"/>
      </tp>
      <tp t="s">
        <v>#N/A N/A</v>
        <stp/>
        <stp>BDP|8215685936150850366</stp>
        <tr r="AP21" s="3"/>
      </tp>
      <tp t="s">
        <v>#N/A N/A</v>
        <stp/>
        <stp>BDP|8284271141049255953</stp>
        <tr r="W53" s="3"/>
      </tp>
      <tp t="s">
        <v>#N/A N/A</v>
        <stp/>
        <stp>BDP|1329605346205114874</stp>
        <tr r="AC41" s="3"/>
      </tp>
      <tp t="s">
        <v>#N/A N/A</v>
        <stp/>
        <stp>BDP|2339593800150074995</stp>
        <tr r="BK22" s="3"/>
      </tp>
      <tp t="s">
        <v>#N/A N/A</v>
        <stp/>
        <stp>BDP|5426186482451947347</stp>
        <tr r="BL36" s="3"/>
      </tp>
      <tp t="s">
        <v>#N/A N/A</v>
        <stp/>
        <stp>BDP|8402592272212933656</stp>
        <tr r="AU23" s="3"/>
      </tp>
      <tp t="s">
        <v>#N/A N/A</v>
        <stp/>
        <stp>BDP|8078730149993817620</stp>
        <tr r="Y16" s="3"/>
      </tp>
      <tp t="s">
        <v>#N/A N/A</v>
        <stp/>
        <stp>BDP|5778304690384328542</stp>
        <tr r="BN46" s="3"/>
      </tp>
      <tp t="s">
        <v>#N/A N/A</v>
        <stp/>
        <stp>BDP|2550943757192131274</stp>
        <tr r="BC44" s="3"/>
      </tp>
      <tp t="s">
        <v>#N/A N/A</v>
        <stp/>
        <stp>BDP|2676185714965380996</stp>
        <tr r="BF37" s="3"/>
      </tp>
      <tp t="s">
        <v>#N/A N/A</v>
        <stp/>
        <stp>BDP|4047341086691520074</stp>
        <tr r="AZ49" s="3"/>
      </tp>
      <tp t="s">
        <v>#N/A N/A</v>
        <stp/>
        <stp>BDP|3214258833914079841</stp>
        <tr r="AM15" s="3"/>
      </tp>
      <tp t="s">
        <v>#N/A N/A</v>
        <stp/>
        <stp>BDP|9804601399301315939</stp>
        <tr r="AO53" s="3"/>
      </tp>
      <tp t="s">
        <v>#N/A N/A</v>
        <stp/>
        <stp>BDP|6647433090335140055</stp>
        <tr r="AI56" s="3"/>
      </tp>
      <tp t="s">
        <v>#N/A N/A</v>
        <stp/>
        <stp>BDP|3466799218528389377</stp>
        <tr r="W39" s="3"/>
      </tp>
      <tp t="s">
        <v>#N/A N/A</v>
        <stp/>
        <stp>BDP|8070612801027712762</stp>
        <tr r="BA44" s="3"/>
      </tp>
      <tp t="s">
        <v>#N/A N/A</v>
        <stp/>
        <stp>BDP|9188625536784342606</stp>
        <tr r="BL26" s="3"/>
      </tp>
      <tp t="s">
        <v>#N/A N/A</v>
        <stp/>
        <stp>BDP|5523294621603309880</stp>
        <tr r="BL54" s="3"/>
      </tp>
      <tp t="s">
        <v>#N/A N/A</v>
        <stp/>
        <stp>BDP|1696323794207614210</stp>
        <tr r="AC65" s="3"/>
      </tp>
      <tp t="s">
        <v>#N/A N/A</v>
        <stp/>
        <stp>BDP|4215910344590040708</stp>
        <tr r="BL62" s="3"/>
      </tp>
      <tp t="s">
        <v>#N/A N/A</v>
        <stp/>
        <stp>BDP|4938911508602688116</stp>
        <tr r="AE32" s="3"/>
      </tp>
      <tp t="s">
        <v>#N/A N/A</v>
        <stp/>
        <stp>BDP|9127859834704535814</stp>
        <tr r="BA37" s="3"/>
      </tp>
      <tp t="s">
        <v>#N/A N/A</v>
        <stp/>
        <stp>BDP|5525158087762329003</stp>
        <tr r="AO48" s="3"/>
      </tp>
      <tp t="s">
        <v>#N/A N/A</v>
        <stp/>
        <stp>BDP|4288512369528781196</stp>
        <tr r="AU65" s="3"/>
      </tp>
      <tp t="s">
        <v>#N/A N/A</v>
        <stp/>
        <stp>BDP|9624301035383398449</stp>
        <tr r="AB66" s="3"/>
      </tp>
      <tp t="s">
        <v>#N/A N/A</v>
        <stp/>
        <stp>BDP|5646870731176134654</stp>
        <tr r="AU27" s="3"/>
      </tp>
      <tp t="s">
        <v>#N/A N/A</v>
        <stp/>
        <stp>BDP|3767456787737296627</stp>
        <tr r="BC69" s="3"/>
      </tp>
      <tp t="s">
        <v>#N/A N/A</v>
        <stp/>
        <stp>BDP|8418977055503748942</stp>
        <tr r="AV68" s="3"/>
      </tp>
      <tp t="s">
        <v>#N/A N/A</v>
        <stp/>
        <stp>BDP|1465590394702838144</stp>
        <tr r="U24" s="3"/>
      </tp>
      <tp t="s">
        <v>#N/A N/A</v>
        <stp/>
        <stp>BDP|9591181850994390640</stp>
        <tr r="BN32" s="3"/>
      </tp>
      <tp t="s">
        <v>#N/A N/A</v>
        <stp/>
        <stp>BDP|9685198277909527976</stp>
        <tr r="X47" s="3"/>
      </tp>
      <tp t="s">
        <v>#N/A N/A</v>
        <stp/>
        <stp>BDP|4487429581781802659</stp>
        <tr r="BP18" s="3"/>
      </tp>
      <tp t="s">
        <v>#N/A N/A</v>
        <stp/>
        <stp>BDP|5734836644255249383</stp>
        <tr r="AP29" s="3"/>
      </tp>
      <tp t="s">
        <v>#N/A N/A</v>
        <stp/>
        <stp>BDP|5877872215584292729</stp>
        <tr r="AL67" s="3"/>
      </tp>
      <tp t="s">
        <v>#N/A N/A</v>
        <stp/>
        <stp>BDP|8087502716376532583</stp>
        <tr r="AJ55" s="3"/>
      </tp>
      <tp t="s">
        <v>#N/A N/A</v>
        <stp/>
        <stp>BDP|2175185805314514821</stp>
        <tr r="AJ68" s="3"/>
      </tp>
      <tp t="s">
        <v>#N/A N/A</v>
        <stp/>
        <stp>BDP|7815156689491650096</stp>
        <tr r="BJ63" s="3"/>
      </tp>
      <tp t="s">
        <v>#N/A N/A</v>
        <stp/>
        <stp>BDP|3915566398854884442</stp>
        <tr r="AF40" s="3"/>
      </tp>
      <tp t="s">
        <v>#N/A N/A</v>
        <stp/>
        <stp>BDP|9704935083801808649</stp>
        <tr r="AS31" s="3"/>
      </tp>
      <tp t="s">
        <v>#N/A N/A</v>
        <stp/>
        <stp>BDP|4811517665270340878</stp>
        <tr r="AK32" s="3"/>
      </tp>
      <tp t="s">
        <v>#N/A N/A</v>
        <stp/>
        <stp>BDP|9902049573733541230</stp>
        <tr r="X30" s="3"/>
      </tp>
      <tp t="s">
        <v>#N/A N/A</v>
        <stp/>
        <stp>BDP|1042863761933816373</stp>
        <tr r="AD52" s="3"/>
      </tp>
      <tp t="s">
        <v>#N/A N/A</v>
        <stp/>
        <stp>BDP|9171211179100016316</stp>
        <tr r="AZ61" s="3"/>
      </tp>
      <tp t="s">
        <v>#N/A N/A</v>
        <stp/>
        <stp>BDP|2611396992555697239</stp>
        <tr r="AJ57" s="3"/>
      </tp>
      <tp t="s">
        <v>#N/A N/A</v>
        <stp/>
        <stp>BDP|4848671875168700251</stp>
        <tr r="BI59" s="3"/>
      </tp>
      <tp t="s">
        <v>#N/A N/A</v>
        <stp/>
        <stp>BDP|9908546747485541273</stp>
        <tr r="BD34" s="3"/>
      </tp>
      <tp t="s">
        <v>#N/A N/A</v>
        <stp/>
        <stp>BDP|4020084867624001977</stp>
        <tr r="AI63" s="3"/>
      </tp>
      <tp t="s">
        <v>#N/A N/A</v>
        <stp/>
        <stp>BDP|1710529633800737895</stp>
        <tr r="Z41" s="3"/>
      </tp>
      <tp t="s">
        <v>#N/A N/A</v>
        <stp/>
        <stp>BDP|4981807323368327905</stp>
        <tr r="AA53" s="3"/>
      </tp>
      <tp t="s">
        <v>#N/A N/A</v>
        <stp/>
        <stp>BDP|3158108223559325685</stp>
        <tr r="V62" s="3"/>
      </tp>
      <tp t="s">
        <v>#N/A N/A</v>
        <stp/>
        <stp>BDP|9163163368049193872</stp>
        <tr r="AB50" s="3"/>
      </tp>
      <tp t="s">
        <v>#N/A N/A</v>
        <stp/>
        <stp>BDP|6018611824015966853</stp>
        <tr r="AC20" s="3"/>
      </tp>
      <tp t="s">
        <v>#N/A N/A</v>
        <stp/>
        <stp>BDP|6579594017479117448</stp>
        <tr r="X60" s="3"/>
      </tp>
      <tp t="s">
        <v>#N/A N/A</v>
        <stp/>
        <stp>BDP|6479383325670544825</stp>
        <tr r="BC40" s="3"/>
      </tp>
      <tp t="s">
        <v>#N/A N/A</v>
        <stp/>
        <stp>BDP|3263979316080948449</stp>
        <tr r="AV35" s="3"/>
      </tp>
      <tp t="s">
        <v>#N/A N/A</v>
        <stp/>
        <stp>BDP|5431683927079092743</stp>
        <tr r="BI16" s="3"/>
      </tp>
      <tp t="s">
        <v>#N/A N/A</v>
        <stp/>
        <stp>BDP|1511295720306100823</stp>
        <tr r="BJ43" s="3"/>
      </tp>
      <tp t="s">
        <v>#N/A N/A</v>
        <stp/>
        <stp>BDP|9850422420031601133</stp>
        <tr r="BP69" s="3"/>
      </tp>
      <tp t="s">
        <v>#N/A N/A</v>
        <stp/>
        <stp>BDP|7876746774890738833</stp>
        <tr r="W22" s="3"/>
      </tp>
      <tp t="s">
        <v>#N/A N/A</v>
        <stp/>
        <stp>BDP|1420346335868809617</stp>
        <tr r="AQ17" s="3"/>
      </tp>
      <tp t="s">
        <v>#N/A N/A</v>
        <stp/>
        <stp>BDP|9875555737028578839</stp>
        <tr r="BQ27" s="3"/>
      </tp>
      <tp t="s">
        <v>#N/A N/A</v>
        <stp/>
        <stp>BDP|4277161953477330880</stp>
        <tr r="BG57" s="3"/>
      </tp>
      <tp t="s">
        <v>#N/A N/A</v>
        <stp/>
        <stp>BDP|5623499486832046448</stp>
        <tr r="AZ22" s="3"/>
      </tp>
      <tp t="s">
        <v>#N/A N/A</v>
        <stp/>
        <stp>BDP|1639640293003870245</stp>
        <tr r="AG16" s="3"/>
      </tp>
      <tp t="s">
        <v>#N/A N/A</v>
        <stp/>
        <stp>BDP|1260784325699405264</stp>
        <tr r="AV42" s="3"/>
      </tp>
      <tp t="s">
        <v>#N/A N/A</v>
        <stp/>
        <stp>BDP|9898707906960222112</stp>
        <tr r="AU61" s="3"/>
      </tp>
      <tp t="s">
        <v>#N/A N/A</v>
        <stp/>
        <stp>BDP|7300443112039854400</stp>
        <tr r="AE31" s="3"/>
      </tp>
      <tp t="s">
        <v>#N/A N/A</v>
        <stp/>
        <stp>BDP|8585613525773520098</stp>
        <tr r="BM15" s="3"/>
      </tp>
      <tp t="s">
        <v>#N/A N/A</v>
        <stp/>
        <stp>BDP|1888347881096614397</stp>
        <tr r="AS21" s="3"/>
      </tp>
      <tp t="s">
        <v>#N/A N/A</v>
        <stp/>
        <stp>BDP|5431880903541447399</stp>
        <tr r="AU37" s="3"/>
      </tp>
      <tp t="s">
        <v>#N/A N/A</v>
        <stp/>
        <stp>BDP|6470869658121054586</stp>
        <tr r="AT20" s="3"/>
      </tp>
      <tp t="s">
        <v>#N/A N/A</v>
        <stp/>
        <stp>BDP|7340311392356142437</stp>
        <tr r="BD51" s="3"/>
      </tp>
      <tp t="s">
        <v>#N/A N/A</v>
        <stp/>
        <stp>BDP|4624559193540593773</stp>
        <tr r="BP30" s="3"/>
      </tp>
      <tp t="s">
        <v>#N/A N/A</v>
        <stp/>
        <stp>BDP|8368163046802134016</stp>
        <tr r="AH63" s="3"/>
      </tp>
      <tp t="s">
        <v>#N/A N/A</v>
        <stp/>
        <stp>BDP|1428809216194287331</stp>
        <tr r="BA34" s="3"/>
      </tp>
      <tp t="s">
        <v>#N/A N/A</v>
        <stp/>
        <stp>BDP|9525957045598045367</stp>
        <tr r="BK37" s="3"/>
      </tp>
      <tp t="s">
        <v>#N/A N/A</v>
        <stp/>
        <stp>BDP|7951187737248709223</stp>
        <tr r="BD58" s="3"/>
      </tp>
      <tp t="s">
        <v>#N/A N/A</v>
        <stp/>
        <stp>BDP|7906324448589003604</stp>
        <tr r="BK18" s="3"/>
      </tp>
      <tp t="s">
        <v>#N/A N/A</v>
        <stp/>
        <stp>BDP|5089138121011470850</stp>
        <tr r="U46" s="3"/>
      </tp>
      <tp t="s">
        <v>#N/A N/A</v>
        <stp/>
        <stp>BDP|3103653601618079264</stp>
        <tr r="AX55" s="3"/>
      </tp>
      <tp t="s">
        <v>#N/A N/A</v>
        <stp/>
        <stp>BDP|2799991434676980138</stp>
        <tr r="BN49" s="3"/>
      </tp>
      <tp t="s">
        <v>#N/A N/A</v>
        <stp/>
        <stp>BDP|3203366775059757162</stp>
        <tr r="AM69" s="3"/>
      </tp>
      <tp t="s">
        <v>#N/A N/A</v>
        <stp/>
        <stp>BDP|7247169826968756352</stp>
        <tr r="BN68" s="3"/>
      </tp>
      <tp t="s">
        <v>#N/A N/A</v>
        <stp/>
        <stp>BDP|7250679794646276138</stp>
        <tr r="AM21" s="3"/>
      </tp>
      <tp t="s">
        <v>#N/A N/A</v>
        <stp/>
        <stp>BDP|9034391747566920770</stp>
        <tr r="AM33" s="3"/>
      </tp>
      <tp t="s">
        <v>#N/A N/A</v>
        <stp/>
        <stp>BDP|8020535831893654252</stp>
        <tr r="BC39" s="3"/>
      </tp>
      <tp t="s">
        <v>#N/A N/A</v>
        <stp/>
        <stp>BDP|4672981251754697383</stp>
        <tr r="AU46" s="3"/>
      </tp>
      <tp t="s">
        <v>#N/A N/A</v>
        <stp/>
        <stp>BDP|8398501630135610445</stp>
        <tr r="BC64" s="3"/>
      </tp>
      <tp t="s">
        <v>#N/A N/A</v>
        <stp/>
        <stp>BDP|1151624280818006826</stp>
        <tr r="AD38" s="3"/>
      </tp>
      <tp t="s">
        <v>#N/A N/A</v>
        <stp/>
        <stp>BDP|4096438929195959824</stp>
        <tr r="AD51" s="3"/>
      </tp>
      <tp t="s">
        <v>#N/A N/A</v>
        <stp/>
        <stp>BDP|7206389836339460199</stp>
        <tr r="AT58" s="3"/>
      </tp>
      <tp t="s">
        <v>#N/A N/A</v>
        <stp/>
        <stp>BDP|3105854356504704545</stp>
        <tr r="AN57" s="3"/>
      </tp>
      <tp t="s">
        <v>#N/A N/A</v>
        <stp/>
        <stp>BDP|4460413548539228299</stp>
        <tr r="AN38" s="3"/>
      </tp>
      <tp t="s">
        <v>#N/A N/A</v>
        <stp/>
        <stp>BDP|9316152160570602169</stp>
        <tr r="AZ23" s="3"/>
      </tp>
      <tp t="s">
        <v>#N/A N/A</v>
        <stp/>
        <stp>BDP|5067481659633678819</stp>
        <tr r="AB47" s="3"/>
      </tp>
      <tp t="s">
        <v>#N/A N/A</v>
        <stp/>
        <stp>BDP|5894383944134618944</stp>
        <tr r="W23" s="3"/>
      </tp>
      <tp t="s">
        <v>#N/A N/A</v>
        <stp/>
        <stp>BDP|8984172353641283294</stp>
        <tr r="BB23" s="3"/>
      </tp>
      <tp t="s">
        <v>#N/A N/A</v>
        <stp/>
        <stp>BDP|5338150432481651946</stp>
        <tr r="BO59" s="3"/>
      </tp>
      <tp t="s">
        <v>#N/A N/A</v>
        <stp/>
        <stp>BDP|6893487840150306947</stp>
        <tr r="AS19" s="3"/>
      </tp>
      <tp t="s">
        <v>#N/A N/A</v>
        <stp/>
        <stp>BDP|7837990215821328104</stp>
        <tr r="AI30" s="3"/>
      </tp>
      <tp t="s">
        <v>#N/A N/A</v>
        <stp/>
        <stp>BDP|8164047770254641449</stp>
        <tr r="AI32" s="3"/>
      </tp>
      <tp t="s">
        <v>#N/A N/A</v>
        <stp/>
        <stp>BDP|8137183484756225884</stp>
        <tr r="BF59" s="3"/>
      </tp>
      <tp t="s">
        <v>#N/A N/A</v>
        <stp/>
        <stp>BDP|9448581559114416266</stp>
        <tr r="Z33" s="3"/>
      </tp>
      <tp t="s">
        <v>#N/A N/A</v>
        <stp/>
        <stp>BDP|2749701894086273567</stp>
        <tr r="BJ34" s="3"/>
      </tp>
      <tp t="s">
        <v>#N/A N/A</v>
        <stp/>
        <stp>BDP|5937635469693600924</stp>
        <tr r="BE50" s="3"/>
      </tp>
      <tp t="s">
        <v>#N/A N/A</v>
        <stp/>
        <stp>BDP|9009129564835783453</stp>
        <tr r="BD57" s="3"/>
      </tp>
      <tp t="s">
        <v>#N/A N/A</v>
        <stp/>
        <stp>BDP|8671716855396431323</stp>
        <tr r="BJ68" s="3"/>
      </tp>
      <tp t="s">
        <v>#N/A N/A</v>
        <stp/>
        <stp>BDP|2961631389426257553</stp>
        <tr r="BB49" s="3"/>
      </tp>
      <tp t="s">
        <v>#N/A N/A</v>
        <stp/>
        <stp>BDP|5250972930569768960</stp>
        <tr r="AX54" s="3"/>
      </tp>
      <tp t="s">
        <v>#N/A N/A</v>
        <stp/>
        <stp>BDP|3998987664794825781</stp>
        <tr r="AW26" s="3"/>
      </tp>
      <tp t="s">
        <v>#N/A N/A</v>
        <stp/>
        <stp>BDP|1719261825739848790</stp>
        <tr r="BQ47" s="3"/>
      </tp>
      <tp t="s">
        <v>#N/A N/A</v>
        <stp/>
        <stp>BDP|8990794688808896059</stp>
        <tr r="AH64" s="3"/>
      </tp>
      <tp t="s">
        <v>#N/A N/A</v>
        <stp/>
        <stp>BDP|4083302022498173593</stp>
        <tr r="AK25" s="3"/>
      </tp>
      <tp t="s">
        <v>#N/A N/A</v>
        <stp/>
        <stp>BDP|3278472960831948864</stp>
        <tr r="AY26" s="3"/>
      </tp>
      <tp t="s">
        <v>#N/A N/A</v>
        <stp/>
        <stp>BDP|4244100523136324980</stp>
        <tr r="BF39" s="3"/>
      </tp>
      <tp t="s">
        <v>#N/A N/A</v>
        <stp/>
        <stp>BDP|1571308289805104770</stp>
        <tr r="AE15" s="3"/>
      </tp>
      <tp t="s">
        <v>#N/A N/A</v>
        <stp/>
        <stp>BDP|5691651690113154191</stp>
        <tr r="BJ32" s="3"/>
      </tp>
      <tp t="s">
        <v>#N/A N/A</v>
        <stp/>
        <stp>BDP|3803475495241082713</stp>
        <tr r="AY19" s="3"/>
      </tp>
      <tp t="s">
        <v>#N/A N/A</v>
        <stp/>
        <stp>BDP|8079397262220476549</stp>
        <tr r="AB15" s="3"/>
      </tp>
      <tp t="s">
        <v>#N/A N/A</v>
        <stp/>
        <stp>BDP|4943603154917529830</stp>
        <tr r="AO68" s="3"/>
      </tp>
      <tp t="s">
        <v>#N/A N/A</v>
        <stp/>
        <stp>BDP|8326252010227860455</stp>
        <tr r="AL54" s="3"/>
      </tp>
      <tp t="s">
        <v>#N/A N/A</v>
        <stp/>
        <stp>BDP|4845813786784456805</stp>
        <tr r="BB20" s="3"/>
      </tp>
      <tp t="s">
        <v>#N/A N/A</v>
        <stp/>
        <stp>BDP|2246927222858198982</stp>
        <tr r="AA62" s="3"/>
      </tp>
      <tp t="s">
        <v>#N/A N/A</v>
        <stp/>
        <stp>BDP|9991395634873998269</stp>
        <tr r="AX62" s="3"/>
      </tp>
      <tp t="s">
        <v>#N/A N/A</v>
        <stp/>
        <stp>BDP|1705894696118287022</stp>
        <tr r="BJ26" s="3"/>
      </tp>
      <tp t="s">
        <v>#N/A N/A</v>
        <stp/>
        <stp>BDP|8919759885258440750</stp>
        <tr r="BC25" s="3"/>
      </tp>
      <tp t="s">
        <v>#N/A N/A</v>
        <stp/>
        <stp>BDP|1137237485153819075</stp>
        <tr r="BO28" s="3"/>
      </tp>
      <tp t="s">
        <v>#N/A N/A</v>
        <stp/>
        <stp>BDP|2071863730475645498</stp>
        <tr r="BJ59" s="3"/>
      </tp>
      <tp t="s">
        <v>#N/A N/A</v>
        <stp/>
        <stp>BDP|5645291994052082421</stp>
        <tr r="BN28" s="3"/>
      </tp>
      <tp t="s">
        <v>#N/A N/A</v>
        <stp/>
        <stp>BDP|9436697584548776779</stp>
        <tr r="BG42" s="3"/>
      </tp>
      <tp t="s">
        <v>#N/A N/A</v>
        <stp/>
        <stp>BDP|9556770160965848538</stp>
        <tr r="AS60" s="3"/>
      </tp>
      <tp t="s">
        <v>#N/A N/A</v>
        <stp/>
        <stp>BDP|5804047064573407850</stp>
        <tr r="AF60" s="3"/>
      </tp>
      <tp t="s">
        <v>#N/A N/A</v>
        <stp/>
        <stp>BDP|1283866857560990437</stp>
        <tr r="AK54" s="3"/>
      </tp>
      <tp t="s">
        <v>#N/A N/A</v>
        <stp/>
        <stp>BDP|4995907017126550251</stp>
        <tr r="AM25" s="3"/>
      </tp>
      <tp t="s">
        <v>#N/A N/A</v>
        <stp/>
        <stp>BDP|6320185942843421830</stp>
        <tr r="AU43" s="3"/>
      </tp>
      <tp t="s">
        <v>#N/A N/A</v>
        <stp/>
        <stp>BDP|2377575308468318717</stp>
        <tr r="X15" s="3"/>
      </tp>
      <tp t="s">
        <v>#N/A N/A</v>
        <stp/>
        <stp>BDP|1118197683534172446</stp>
        <tr r="BN22" s="3"/>
      </tp>
      <tp t="s">
        <v>#N/A N/A</v>
        <stp/>
        <stp>BDP|1473994906563345360</stp>
        <tr r="AP49" s="3"/>
      </tp>
      <tp t="s">
        <v>#N/A N/A</v>
        <stp/>
        <stp>BDP|7642996534111602434</stp>
        <tr r="AH37" s="3"/>
      </tp>
      <tp t="s">
        <v>#N/A N/A</v>
        <stp/>
        <stp>BDP|5703581155435626820</stp>
        <tr r="BD19" s="3"/>
      </tp>
      <tp t="s">
        <v>#N/A N/A</v>
        <stp/>
        <stp>BDP|6146106018816764816</stp>
        <tr r="AQ49" s="3"/>
      </tp>
      <tp t="s">
        <v>#N/A N/A</v>
        <stp/>
        <stp>BDP|7231107754089898210</stp>
        <tr r="Y29" s="3"/>
      </tp>
      <tp t="s">
        <v>#N/A N/A</v>
        <stp/>
        <stp>BDP|2827728482364078172</stp>
        <tr r="BG36" s="3"/>
      </tp>
      <tp t="s">
        <v>#N/A N/A</v>
        <stp/>
        <stp>BDP|6033080350643679813</stp>
        <tr r="Z63" s="3"/>
      </tp>
      <tp t="s">
        <v>#N/A N/A</v>
        <stp/>
        <stp>BDP|2928056288296157499</stp>
        <tr r="AE20" s="3"/>
      </tp>
      <tp t="s">
        <v>#N/A N/A</v>
        <stp/>
        <stp>BDP|8959407653556474726</stp>
        <tr r="BJ46" s="3"/>
      </tp>
      <tp t="s">
        <v>#N/A N/A</v>
        <stp/>
        <stp>BDP|4137027387272163689</stp>
        <tr r="AU26" s="3"/>
      </tp>
      <tp t="s">
        <v>#N/A N/A</v>
        <stp/>
        <stp>BDP|3411099085390067351</stp>
        <tr r="AK33" s="3"/>
      </tp>
      <tp t="s">
        <v>#N/A N/A</v>
        <stp/>
        <stp>BDP|3570128511133334882</stp>
        <tr r="BE18" s="3"/>
      </tp>
      <tp t="s">
        <v>#N/A N/A</v>
        <stp/>
        <stp>BDP|7593322984096709299</stp>
        <tr r="BP29" s="3"/>
      </tp>
      <tp t="s">
        <v>#N/A N/A</v>
        <stp/>
        <stp>BDP|5134135640708935064</stp>
        <tr r="AK48" s="3"/>
      </tp>
      <tp t="s">
        <v>#N/A N/A</v>
        <stp/>
        <stp>BDP|8527014206827810787</stp>
        <tr r="X17" s="3"/>
      </tp>
      <tp t="s">
        <v>#N/A N/A</v>
        <stp/>
        <stp>BDP|6972460668229018558</stp>
        <tr r="AF45" s="3"/>
      </tp>
      <tp t="s">
        <v>#N/A N/A</v>
        <stp/>
        <stp>BDP|3892490627179630425</stp>
        <tr r="AY20" s="3"/>
      </tp>
      <tp t="s">
        <v>#N/A N/A</v>
        <stp/>
        <stp>BDP|9510388039360471134</stp>
        <tr r="AM53" s="3"/>
      </tp>
      <tp t="s">
        <v>#N/A N/A</v>
        <stp/>
        <stp>BDP|8181851756459584446</stp>
        <tr r="BH15" s="3"/>
      </tp>
      <tp t="s">
        <v>#N/A N/A</v>
        <stp/>
        <stp>BDP|8428530876321008322</stp>
        <tr r="Z67" s="3"/>
      </tp>
      <tp t="s">
        <v>#N/A N/A</v>
        <stp/>
        <stp>BDP|4324884649950233038</stp>
        <tr r="BB66" s="3"/>
      </tp>
      <tp t="s">
        <v>#N/A N/A</v>
        <stp/>
        <stp>BDP|2367634280483498778</stp>
        <tr r="Z19" s="3"/>
      </tp>
      <tp t="s">
        <v>#N/A N/A</v>
        <stp/>
        <stp>BDP|6935149334909375593</stp>
        <tr r="AQ64" s="3"/>
      </tp>
      <tp t="s">
        <v>#N/A N/A</v>
        <stp/>
        <stp>BDP|6129828577400311148</stp>
        <tr r="X35" s="3"/>
      </tp>
      <tp t="s">
        <v>#N/A N/A</v>
        <stp/>
        <stp>BDP|4738616583832008055</stp>
        <tr r="AH49" s="3"/>
      </tp>
      <tp t="s">
        <v>#N/A N/A</v>
        <stp/>
        <stp>BDP|1377753225589294513</stp>
        <tr r="Y27" s="3"/>
      </tp>
      <tp t="s">
        <v>#N/A N/A</v>
        <stp/>
        <stp>BDP|5997668177805166993</stp>
        <tr r="BC47" s="3"/>
      </tp>
      <tp t="s">
        <v>#N/A N/A</v>
        <stp/>
        <stp>BDP|9470382835865040499</stp>
        <tr r="Y17" s="3"/>
      </tp>
      <tp t="s">
        <v>#N/A N/A</v>
        <stp/>
        <stp>BDP|9337638716657695100</stp>
        <tr r="V36" s="3"/>
      </tp>
      <tp t="s">
        <v>#N/A N/A</v>
        <stp/>
        <stp>BDP|4148076793866291374</stp>
        <tr r="BM51" s="3"/>
      </tp>
      <tp t="s">
        <v>#N/A N/A</v>
        <stp/>
        <stp>BDP|5275398005036608889</stp>
        <tr r="AL30" s="3"/>
      </tp>
      <tp t="s">
        <v>#N/A N/A</v>
        <stp/>
        <stp>BDP|8792539857671448163</stp>
        <tr r="W18" s="3"/>
      </tp>
      <tp t="s">
        <v>#N/A N/A</v>
        <stp/>
        <stp>BDP|3934397071206344932</stp>
        <tr r="BQ17" s="3"/>
      </tp>
      <tp t="s">
        <v>#N/A N/A</v>
        <stp/>
        <stp>BDP|4621779190877625563</stp>
        <tr r="BF52" s="3"/>
      </tp>
      <tp t="s">
        <v>#N/A N/A</v>
        <stp/>
        <stp>BDP|1124255388880931349</stp>
        <tr r="BC38" s="3"/>
      </tp>
      <tp t="s">
        <v>#N/A N/A</v>
        <stp/>
        <stp>BDP|9957325060771944548</stp>
        <tr r="AK59" s="3"/>
      </tp>
      <tp t="s">
        <v>#N/A N/A</v>
        <stp/>
        <stp>BDP|9174246123507375639</stp>
        <tr r="BI68" s="3"/>
      </tp>
      <tp t="s">
        <v>#N/A N/A</v>
        <stp/>
        <stp>BDP|1259255589911874202</stp>
        <tr r="W48" s="3"/>
      </tp>
      <tp t="s">
        <v>#N/A N/A</v>
        <stp/>
        <stp>BDP|8164431241880272078</stp>
        <tr r="AY47" s="3"/>
      </tp>
      <tp t="s">
        <v>#N/A N/A</v>
        <stp/>
        <stp>BDP|7166503136598000113</stp>
        <tr r="BF41" s="3"/>
      </tp>
      <tp t="s">
        <v>#N/A N/A</v>
        <stp/>
        <stp>BDP|8764409177906325552</stp>
        <tr r="U33" s="3"/>
      </tp>
      <tp t="s">
        <v>#N/A N/A</v>
        <stp/>
        <stp>BDP|8069266814247538409</stp>
        <tr r="AI50" s="3"/>
      </tp>
      <tp t="s">
        <v>#N/A N/A</v>
        <stp/>
        <stp>BDP|5268658298602084088</stp>
        <tr r="BP62" s="3"/>
      </tp>
      <tp t="s">
        <v>#N/A N/A</v>
        <stp/>
        <stp>BDP|3711108717038413332</stp>
        <tr r="AR20" s="3"/>
      </tp>
      <tp t="s">
        <v>#N/A N/A</v>
        <stp/>
        <stp>BDP|5137996195854945939</stp>
        <tr r="AM49" s="3"/>
      </tp>
      <tp t="s">
        <v>#N/A N/A</v>
        <stp/>
        <stp>BDP|1326966516015471401</stp>
        <tr r="V39" s="3"/>
      </tp>
      <tp t="s">
        <v>#N/A N/A</v>
        <stp/>
        <stp>BDP|9864457857608452896</stp>
        <tr r="Y60" s="3"/>
      </tp>
      <tp t="s">
        <v>#N/A N/A</v>
        <stp/>
        <stp>BDP|2449615376049402206</stp>
        <tr r="AJ25" s="3"/>
      </tp>
      <tp t="s">
        <v>#N/A N/A</v>
        <stp/>
        <stp>BDP|6744099598587660047</stp>
        <tr r="AM51" s="3"/>
      </tp>
      <tp t="s">
        <v>#N/A N/A</v>
        <stp/>
        <stp>BDP|5047898641461806045</stp>
        <tr r="AN23" s="3"/>
      </tp>
      <tp t="s">
        <v>#N/A N/A</v>
        <stp/>
        <stp>BDP|1264177522192312801</stp>
        <tr r="U56" s="3"/>
      </tp>
      <tp t="s">
        <v>#N/A N/A</v>
        <stp/>
        <stp>BDP|9152825376106322820</stp>
        <tr r="AZ65" s="3"/>
      </tp>
      <tp t="s">
        <v>#N/A N/A</v>
        <stp/>
        <stp>BDP|1227252062769115404</stp>
        <tr r="Y33" s="3"/>
      </tp>
      <tp t="s">
        <v>#N/A N/A</v>
        <stp/>
        <stp>BDP|4984150638538905699</stp>
        <tr r="BF24" s="3"/>
      </tp>
      <tp t="s">
        <v>#N/A N/A</v>
        <stp/>
        <stp>BDP|2862410433179921473</stp>
        <tr r="BE47" s="3"/>
      </tp>
      <tp t="s">
        <v>#N/A N/A</v>
        <stp/>
        <stp>BDP|5066549120012638877</stp>
        <tr r="U66" s="3"/>
      </tp>
      <tp t="s">
        <v>#N/A N/A</v>
        <stp/>
        <stp>BDP|2695126360978395520</stp>
        <tr r="AV56" s="3"/>
      </tp>
      <tp t="s">
        <v>#N/A N/A</v>
        <stp/>
        <stp>BDP|8700468642405651506</stp>
        <tr r="BJ56" s="3"/>
      </tp>
      <tp t="s">
        <v>#N/A N/A</v>
        <stp/>
        <stp>BDP|9827957002529457011</stp>
        <tr r="AD39" s="3"/>
      </tp>
      <tp t="s">
        <v>#N/A N/A</v>
        <stp/>
        <stp>BDP|5425595316221914998</stp>
        <tr r="AY57" s="3"/>
      </tp>
      <tp t="s">
        <v>#N/A N/A</v>
        <stp/>
        <stp>BDP|8051983557754192954</stp>
        <tr r="W27" s="3"/>
      </tp>
      <tp t="s">
        <v>#N/A N/A</v>
        <stp/>
        <stp>BDP|7188815642025866715</stp>
        <tr r="AF23" s="3"/>
      </tp>
      <tp t="s">
        <v>#N/A N/A</v>
        <stp/>
        <stp>BDP|9303571667690825301</stp>
        <tr r="W49" s="3"/>
      </tp>
      <tp t="s">
        <v>#N/A N/A</v>
        <stp/>
        <stp>BDP|6903648091892413208</stp>
        <tr r="AM58" s="3"/>
      </tp>
      <tp t="s">
        <v>#N/A N/A</v>
        <stp/>
        <stp>BDP|1908207265365282967</stp>
        <tr r="AB24" s="3"/>
      </tp>
      <tp t="s">
        <v>#N/A N/A</v>
        <stp/>
        <stp>BDP|4903833202735409045</stp>
        <tr r="AI54" s="3"/>
      </tp>
      <tp t="s">
        <v>#N/A N/A</v>
        <stp/>
        <stp>BDP|2702585235529573475</stp>
        <tr r="AU40" s="3"/>
      </tp>
      <tp t="s">
        <v>#N/A N/A</v>
        <stp/>
        <stp>BDP|6222630689378507955</stp>
        <tr r="BI53" s="3"/>
      </tp>
      <tp t="s">
        <v>#N/A N/A</v>
        <stp/>
        <stp>BDP|6360506916078457391</stp>
        <tr r="U60" s="3"/>
      </tp>
      <tp t="s">
        <v>#N/A N/A</v>
        <stp/>
        <stp>BDP|3555704991647547388</stp>
        <tr r="BO65" s="3"/>
      </tp>
      <tp t="s">
        <v>#N/A N/A</v>
        <stp/>
        <stp>BDP|5845560563458230769</stp>
        <tr r="AU38" s="3"/>
      </tp>
      <tp t="s">
        <v>#N/A N/A</v>
        <stp/>
        <stp>BDP|7680515727110158987</stp>
        <tr r="BI45" s="3"/>
      </tp>
      <tp t="s">
        <v>#N/A N/A</v>
        <stp/>
        <stp>BDP|7878842656967389406</stp>
        <tr r="W15" s="3"/>
      </tp>
      <tp t="s">
        <v>#N/A N/A</v>
        <stp/>
        <stp>BDP|2765759817278206594</stp>
        <tr r="Y61" s="3"/>
      </tp>
      <tp t="s">
        <v>#N/A N/A</v>
        <stp/>
        <stp>BDP|4759350355643184882</stp>
        <tr r="BF35" s="3"/>
      </tp>
      <tp t="s">
        <v>#N/A N/A</v>
        <stp/>
        <stp>BDP|9242842429368299234</stp>
        <tr r="BF68" s="3"/>
      </tp>
      <tp t="s">
        <v>#N/A N/A</v>
        <stp/>
        <stp>BDP|6997974127646214255</stp>
        <tr r="AZ31" s="3"/>
      </tp>
      <tp t="s">
        <v>#N/A N/A</v>
        <stp/>
        <stp>BDP|3581066378925115844</stp>
        <tr r="BD56" s="3"/>
      </tp>
      <tp t="s">
        <v>#N/A N/A</v>
        <stp/>
        <stp>BDP|2561985685223311949</stp>
        <tr r="BK41" s="3"/>
      </tp>
      <tp t="s">
        <v>#N/A N/A</v>
        <stp/>
        <stp>BDP|9751435502274090092</stp>
        <tr r="BL64" s="3"/>
      </tp>
      <tp t="s">
        <v>#N/A N/A</v>
        <stp/>
        <stp>BDP|4843110296697664265</stp>
        <tr r="AA52" s="3"/>
      </tp>
      <tp t="s">
        <v>#N/A N/A</v>
        <stp/>
        <stp>BDP|6765301490002002787</stp>
        <tr r="AE46" s="3"/>
      </tp>
      <tp t="s">
        <v>#N/A N/A</v>
        <stp/>
        <stp>BDP|7924998366920813110</stp>
        <tr r="AU64" s="3"/>
      </tp>
      <tp t="s">
        <v>#N/A N/A</v>
        <stp/>
        <stp>BDP|9668302258453118506</stp>
        <tr r="BH25" s="3"/>
      </tp>
      <tp t="s">
        <v>#N/A N/A</v>
        <stp/>
        <stp>BDP|1010740142133998832</stp>
        <tr r="AB61" s="3"/>
      </tp>
      <tp t="s">
        <v>#N/A N/A</v>
        <stp/>
        <stp>BDP|8335493159905952561</stp>
        <tr r="AL17" s="3"/>
      </tp>
      <tp t="s">
        <v>#N/A N/A</v>
        <stp/>
        <stp>BDP|2870613338347533983</stp>
        <tr r="BD33" s="3"/>
      </tp>
      <tp t="s">
        <v>#N/A N/A</v>
        <stp/>
        <stp>BDP|2626630499893367725</stp>
        <tr r="AD55" s="3"/>
      </tp>
      <tp t="s">
        <v>#N/A N/A</v>
        <stp/>
        <stp>BDP|1277500169458288341</stp>
        <tr r="AO32" s="3"/>
      </tp>
      <tp t="s">
        <v>#N/A N/A</v>
        <stp/>
        <stp>BDP|3373138496591866333</stp>
        <tr r="BG49" s="3"/>
      </tp>
      <tp t="s">
        <v>#N/A N/A</v>
        <stp/>
        <stp>BDP|8564663085666806933</stp>
        <tr r="BH46" s="3"/>
      </tp>
      <tp t="s">
        <v>#N/A N/A</v>
        <stp/>
        <stp>BDP|5303977811780036486</stp>
        <tr r="AD31" s="3"/>
      </tp>
      <tp t="s">
        <v>#N/A N/A</v>
        <stp/>
        <stp>BDP|4809935517594702164</stp>
        <tr r="AX44" s="3"/>
      </tp>
      <tp t="s">
        <v>#N/A N/A</v>
        <stp/>
        <stp>BDP|9158337018687893506</stp>
        <tr r="AU54" s="3"/>
      </tp>
      <tp t="s">
        <v>#N/A N/A</v>
        <stp/>
        <stp>BDP|6979300234918642795</stp>
        <tr r="BO68" s="3"/>
      </tp>
      <tp t="s">
        <v>#N/A N/A</v>
        <stp/>
        <stp>BDP|4575851966364088743</stp>
        <tr r="AM36" s="3"/>
      </tp>
      <tp t="s">
        <v>#N/A N/A</v>
        <stp/>
        <stp>BDP|1265326941138379707</stp>
        <tr r="Z15" s="3"/>
      </tp>
      <tp t="s">
        <v>#N/A N/A</v>
        <stp/>
        <stp>BDP|3901628658940270937</stp>
        <tr r="AT67" s="3"/>
      </tp>
      <tp t="s">
        <v>#N/A N/A</v>
        <stp/>
        <stp>BDP|9565932077049527766</stp>
        <tr r="AZ69" s="3"/>
      </tp>
      <tp t="s">
        <v>#N/A N/A</v>
        <stp/>
        <stp>BDP|9401360166144767117</stp>
        <tr r="BM23" s="3"/>
      </tp>
      <tp t="s">
        <v>#N/A N/A</v>
        <stp/>
        <stp>BDP|6792121034835657857</stp>
        <tr r="BJ66" s="3"/>
      </tp>
      <tp t="s">
        <v>#N/A N/A</v>
        <stp/>
        <stp>BDP|9733533076573698168</stp>
        <tr r="BQ16" s="3"/>
      </tp>
      <tp t="s">
        <v>#N/A N/A</v>
        <stp/>
        <stp>BDP|9135005276457128059</stp>
        <tr r="AX49" s="3"/>
      </tp>
      <tp t="s">
        <v>#N/A N/A</v>
        <stp/>
        <stp>BDP|8164129637283447031</stp>
        <tr r="AL32" s="3"/>
      </tp>
      <tp t="s">
        <v>#N/A N/A</v>
        <stp/>
        <stp>BDP|4232859927475691258</stp>
        <tr r="AV32" s="3"/>
      </tp>
      <tp t="s">
        <v>#N/A N/A</v>
        <stp/>
        <stp>BDP|4417835121277269071</stp>
        <tr r="BA32" s="3"/>
      </tp>
      <tp t="s">
        <v>#N/A N/A</v>
        <stp/>
        <stp>BDP|6141500974914446929</stp>
        <tr r="BK64" s="3"/>
      </tp>
      <tp t="s">
        <v>#N/A N/A</v>
        <stp/>
        <stp>BDP|2626546363550458862</stp>
        <tr r="BP38" s="3"/>
      </tp>
      <tp t="s">
        <v>#N/A N/A</v>
        <stp/>
        <stp>BDP|9354578687239182428</stp>
        <tr r="Z40" s="3"/>
      </tp>
      <tp t="s">
        <v>#N/A N/A</v>
        <stp/>
        <stp>BDP|7569693499128349961</stp>
        <tr r="AQ57" s="3"/>
      </tp>
      <tp t="s">
        <v>#N/A N/A</v>
        <stp/>
        <stp>BDP|7409855421361005505</stp>
        <tr r="AJ38" s="3"/>
      </tp>
      <tp t="s">
        <v>#N/A N/A</v>
        <stp/>
        <stp>BDP|3135726274478775202</stp>
        <tr r="BA52" s="3"/>
      </tp>
      <tp t="s">
        <v>#N/A N/A</v>
        <stp/>
        <stp>BDP|4967743579215315870</stp>
        <tr r="AL28" s="3"/>
      </tp>
      <tp t="s">
        <v>#N/A N/A</v>
        <stp/>
        <stp>BDP|1344041849689738596</stp>
        <tr r="BD65" s="3"/>
      </tp>
      <tp t="s">
        <v>#N/A N/A</v>
        <stp/>
        <stp>BDP|5822210640832851806</stp>
        <tr r="V20" s="3"/>
      </tp>
      <tp t="s">
        <v>#N/A N/A</v>
        <stp/>
        <stp>BDP|9001496013320384581</stp>
        <tr r="BO42" s="3"/>
      </tp>
      <tp t="s">
        <v>#N/A N/A</v>
        <stp/>
        <stp>BDP|7139808240641970396</stp>
        <tr r="AN48" s="3"/>
      </tp>
      <tp t="s">
        <v>#N/A N/A</v>
        <stp/>
        <stp>BDP|8432683219571007742</stp>
        <tr r="AT66" s="3"/>
      </tp>
      <tp t="s">
        <v>#N/A N/A</v>
        <stp/>
        <stp>BDP|5901892014680175531</stp>
        <tr r="Y25" s="3"/>
      </tp>
      <tp t="s">
        <v>#N/A N/A</v>
        <stp/>
        <stp>BDP|7503894124583752791</stp>
        <tr r="AQ66" s="3"/>
      </tp>
      <tp t="s">
        <v>#N/A N/A</v>
        <stp/>
        <stp>BDP|7628007976108671105</stp>
        <tr r="AT68" s="3"/>
      </tp>
      <tp t="s">
        <v>#N/A N/A</v>
        <stp/>
        <stp>BDP|4199299768409680014</stp>
        <tr r="BL46" s="3"/>
      </tp>
      <tp t="s">
        <v>#N/A N/A</v>
        <stp/>
        <stp>BDP|4209181577478998336</stp>
        <tr r="AC17" s="3"/>
      </tp>
      <tp t="s">
        <v>#N/A N/A</v>
        <stp/>
        <stp>BDP|6327217765032188910</stp>
        <tr r="AD64" s="3"/>
      </tp>
      <tp t="s">
        <v>#N/A N/A</v>
        <stp/>
        <stp>BDP|6690670452889450508</stp>
        <tr r="W28" s="3"/>
      </tp>
      <tp t="s">
        <v>#N/A N/A</v>
        <stp/>
        <stp>BDP|8026126579045926257</stp>
        <tr r="AP27" s="3"/>
      </tp>
      <tp t="s">
        <v>#N/A N/A</v>
        <stp/>
        <stp>BDP|4149919301114069069</stp>
        <tr r="AV36" s="3"/>
      </tp>
      <tp t="s">
        <v>#N/A N/A</v>
        <stp/>
        <stp>BDP|1039967257920687406</stp>
        <tr r="AB29" s="3"/>
      </tp>
      <tp t="s">
        <v>#N/A N/A</v>
        <stp/>
        <stp>BDP|3014803525638375816</stp>
        <tr r="BF48" s="3"/>
      </tp>
      <tp t="s">
        <v>#N/A N/A</v>
        <stp/>
        <stp>BDP|8502655108367921063</stp>
        <tr r="AK20" s="3"/>
      </tp>
      <tp t="s">
        <v>#N/A N/A</v>
        <stp/>
        <stp>BDP|9310901896435592540</stp>
        <tr r="AB52" s="3"/>
      </tp>
      <tp t="s">
        <v>#N/A N/A</v>
        <stp/>
        <stp>BDP|9012022221452602018</stp>
        <tr r="AY28" s="3"/>
      </tp>
      <tp t="s">
        <v>#N/A N/A</v>
        <stp/>
        <stp>BDP|4762629351976150811</stp>
        <tr r="AA64" s="3"/>
      </tp>
      <tp t="s">
        <v>#N/A N/A</v>
        <stp/>
        <stp>BDP|3274804496648267326</stp>
        <tr r="AG43" s="3"/>
      </tp>
      <tp t="s">
        <v>#N/A N/A</v>
        <stp/>
        <stp>BDP|8485342207430054222</stp>
        <tr r="BK42" s="3"/>
      </tp>
      <tp t="s">
        <v>#N/A N/A</v>
        <stp/>
        <stp>BDP|9605109854936384241</stp>
        <tr r="BD69" s="3"/>
      </tp>
      <tp t="s">
        <v>#N/A N/A</v>
        <stp/>
        <stp>BDP|3520603237488756708</stp>
        <tr r="Z18" s="3"/>
      </tp>
      <tp t="s">
        <v>#N/A N/A</v>
        <stp/>
        <stp>BDP|1492566170432652811</stp>
        <tr r="AK15" s="3"/>
      </tp>
      <tp t="s">
        <v>#N/A N/A</v>
        <stp/>
        <stp>BDP|2736710223267692966</stp>
        <tr r="AP39" s="3"/>
      </tp>
      <tp t="s">
        <v>#N/A N/A</v>
        <stp/>
        <stp>BDP|8702502242330470047</stp>
        <tr r="BE62" s="3"/>
      </tp>
      <tp t="s">
        <v>#N/A N/A</v>
        <stp/>
        <stp>BDP|9467024937622352175</stp>
        <tr r="AP51" s="3"/>
      </tp>
      <tp t="s">
        <v>#N/A N/A</v>
        <stp/>
        <stp>BDP|5688745031649929200</stp>
        <tr r="BJ19" s="3"/>
      </tp>
      <tp t="s">
        <v>#N/A N/A</v>
        <stp/>
        <stp>BDP|4110847672744901548</stp>
        <tr r="AF63" s="3"/>
      </tp>
      <tp t="s">
        <v>#N/A N/A</v>
        <stp/>
        <stp>BDP|6982466629749426380</stp>
        <tr r="AB18" s="3"/>
      </tp>
      <tp t="s">
        <v>#N/A N/A</v>
        <stp/>
        <stp>BDP|2517937106489207888</stp>
        <tr r="AI48" s="3"/>
      </tp>
      <tp t="s">
        <v>#N/A N/A</v>
        <stp/>
        <stp>BDP|7474581833738709321</stp>
        <tr r="AF33" s="3"/>
      </tp>
      <tp t="s">
        <v>#N/A N/A</v>
        <stp/>
        <stp>BDP|6040121406455939875</stp>
        <tr r="AZ34" s="3"/>
      </tp>
      <tp t="s">
        <v>#N/A N/A</v>
        <stp/>
        <stp>BDP|3533024682546603794</stp>
        <tr r="W64" s="3"/>
      </tp>
      <tp t="s">
        <v>#N/A N/A</v>
        <stp/>
        <stp>BDP|5516270416409786582</stp>
        <tr r="BE25" s="3"/>
      </tp>
      <tp t="s">
        <v>#N/A N/A</v>
        <stp/>
        <stp>BDP|4595663429563487954</stp>
        <tr r="AP25" s="3"/>
      </tp>
      <tp t="s">
        <v>#N/A N/A</v>
        <stp/>
        <stp>BDP|8173506185298949761</stp>
        <tr r="BG28" s="3"/>
      </tp>
      <tp t="s">
        <v>#N/A N/A</v>
        <stp/>
        <stp>BDP|8599812296790395398</stp>
        <tr r="U68" s="3"/>
      </tp>
      <tp t="s">
        <v>#N/A N/A</v>
        <stp/>
        <stp>BDP|4372453429931553924</stp>
        <tr r="AV62" s="3"/>
      </tp>
      <tp t="s">
        <v>#N/A N/A</v>
        <stp/>
        <stp>BDP|8945729169820846321</stp>
        <tr r="AH38" s="3"/>
      </tp>
      <tp t="s">
        <v>#N/A N/A</v>
        <stp/>
        <stp>BDP|5706619382124995551</stp>
        <tr r="BA35" s="3"/>
      </tp>
      <tp t="s">
        <v>#N/A N/A</v>
        <stp/>
        <stp>BDP|9135971182841987340</stp>
        <tr r="BL16" s="3"/>
      </tp>
      <tp t="s">
        <v>#N/A N/A</v>
        <stp/>
        <stp>BDP|7493904043843671386</stp>
        <tr r="AL63" s="3"/>
      </tp>
      <tp t="s">
        <v>#N/A N/A</v>
        <stp/>
        <stp>BDP|8076430121755985154</stp>
        <tr r="AU63" s="3"/>
      </tp>
      <tp t="s">
        <v>#N/A N/A</v>
        <stp/>
        <stp>BDP|3603856669717197056</stp>
        <tr r="BM37" s="3"/>
      </tp>
      <tp t="s">
        <v>#N/A N/A</v>
        <stp/>
        <stp>BDP|9677555408484103245</stp>
        <tr r="BE17" s="3"/>
      </tp>
      <tp t="s">
        <v>#N/A N/A</v>
        <stp/>
        <stp>BDP|5047020289276336162</stp>
        <tr r="AZ55" s="3"/>
      </tp>
      <tp t="s">
        <v>#N/A N/A</v>
        <stp/>
        <stp>BDP|4411069439378363575</stp>
        <tr r="AK16" s="3"/>
      </tp>
      <tp t="s">
        <v>#N/A N/A</v>
        <stp/>
        <stp>BDP|8826910884852038129</stp>
        <tr r="BN30" s="3"/>
      </tp>
      <tp t="s">
        <v>#N/A N/A</v>
        <stp/>
        <stp>BDP|8966084274723953632</stp>
        <tr r="BJ24" s="3"/>
      </tp>
      <tp t="s">
        <v>#N/A N/A</v>
        <stp/>
        <stp>BDP|2620618518198096704</stp>
        <tr r="U22" s="3"/>
      </tp>
      <tp t="s">
        <v>#N/A N/A</v>
        <stp/>
        <stp>BDP|4878502691980724225</stp>
        <tr r="BM49" s="3"/>
      </tp>
      <tp t="s">
        <v>#N/A N/A</v>
        <stp/>
        <stp>BDP|6273869588439178517</stp>
        <tr r="AG58" s="3"/>
      </tp>
      <tp t="s">
        <v>#N/A N/A</v>
        <stp/>
        <stp>BDP|8372096154833310417</stp>
        <tr r="AO65" s="3"/>
      </tp>
      <tp t="s">
        <v>#N/A N/A</v>
        <stp/>
        <stp>BDP|5652969739782088752</stp>
        <tr r="BE27" s="3"/>
      </tp>
      <tp t="s">
        <v>#N/A N/A</v>
        <stp/>
        <stp>BDP|7925860802794414157</stp>
        <tr r="AK18" s="3"/>
      </tp>
      <tp t="s">
        <v>#N/A N/A</v>
        <stp/>
        <stp>BDP|3108189895233195215</stp>
        <tr r="AE67" s="3"/>
      </tp>
      <tp t="s">
        <v>#N/A N/A</v>
        <stp/>
        <stp>BDP|5047430589947364443</stp>
        <tr r="AA41" s="3"/>
      </tp>
      <tp t="s">
        <v>#N/A N/A</v>
        <stp/>
        <stp>BDP|2589268731120954969</stp>
        <tr r="AN35" s="3"/>
      </tp>
      <tp t="s">
        <v>#N/A N/A</v>
        <stp/>
        <stp>BDP|1994266546515327883</stp>
        <tr r="BI43" s="3"/>
      </tp>
      <tp t="s">
        <v>#N/A N/A</v>
        <stp/>
        <stp>BDP|3084877445460596559</stp>
        <tr r="AC48" s="3"/>
      </tp>
      <tp t="s">
        <v>#N/A N/A</v>
        <stp/>
        <stp>BDP|1999293943045765861</stp>
        <tr r="AK45" s="3"/>
      </tp>
      <tp t="s">
        <v>#N/A N/A</v>
        <stp/>
        <stp>BDP|9147979652628721719</stp>
        <tr r="BQ54" s="3"/>
      </tp>
      <tp t="s">
        <v>#N/A N/A</v>
        <stp/>
        <stp>BDP|3491797018857733800</stp>
        <tr r="W47" s="3"/>
      </tp>
      <tp t="s">
        <v>#N/A N/A</v>
        <stp/>
        <stp>BDP|1871092280230794355</stp>
        <tr r="AH17" s="3"/>
      </tp>
      <tp t="s">
        <v>#N/A N/A</v>
        <stp/>
        <stp>BDP|7225955961681497316</stp>
        <tr r="X50" s="3"/>
      </tp>
      <tp t="s">
        <v>#N/A N/A</v>
        <stp/>
        <stp>BDP|7051093545320917961</stp>
        <tr r="AC54" s="3"/>
      </tp>
      <tp t="s">
        <v>#N/A N/A</v>
        <stp/>
        <stp>BDP|8115178351776223057</stp>
        <tr r="BP32" s="3"/>
      </tp>
      <tp t="s">
        <v>#N/A N/A</v>
        <stp/>
        <stp>BDP|7585197494575985018</stp>
        <tr r="AU22" s="3"/>
      </tp>
      <tp t="s">
        <v>#N/A N/A</v>
        <stp/>
        <stp>BDP|1903492670911437948</stp>
        <tr r="U50" s="3"/>
      </tp>
      <tp t="s">
        <v>#N/A N/A</v>
        <stp/>
        <stp>BDP|5067746181597675730</stp>
        <tr r="BM35" s="3"/>
      </tp>
      <tp t="s">
        <v>#N/A N/A</v>
        <stp/>
        <stp>BDP|4140406125951128940</stp>
        <tr r="Y56" s="3"/>
      </tp>
      <tp t="s">
        <v>#N/A N/A</v>
        <stp/>
        <stp>BDP|3183810664151541600</stp>
        <tr r="BE53" s="3"/>
      </tp>
      <tp t="s">
        <v>#N/A N/A</v>
        <stp/>
        <stp>BDP|9741133012306652510</stp>
        <tr r="BC61" s="3"/>
      </tp>
      <tp t="s">
        <v>#N/A N/A</v>
        <stp/>
        <stp>BDP|2896877007339195987</stp>
        <tr r="AM60" s="3"/>
      </tp>
      <tp t="s">
        <v>#N/A N/A</v>
        <stp/>
        <stp>BDP|8368222138465852607</stp>
        <tr r="AK58" s="3"/>
      </tp>
      <tp t="s">
        <v>#N/A N/A</v>
        <stp/>
        <stp>BDP|4437919929457949232</stp>
        <tr r="BA48" s="3"/>
      </tp>
      <tp t="s">
        <v>#N/A N/A</v>
        <stp/>
        <stp>BDP|6548463923353200945</stp>
        <tr r="BI69" s="3"/>
      </tp>
      <tp t="s">
        <v>#N/A N/A</v>
        <stp/>
        <stp>BDP|6588941466716530548</stp>
        <tr r="Z68" s="3"/>
      </tp>
      <tp t="s">
        <v>#N/A N/A</v>
        <stp/>
        <stp>BDP|5365155103188533666</stp>
        <tr r="AB41" s="3"/>
      </tp>
      <tp t="s">
        <v>#N/A N/A</v>
        <stp/>
        <stp>BDP|2464068624623185906</stp>
        <tr r="AU56" s="3"/>
      </tp>
      <tp t="s">
        <v>#N/A N/A</v>
        <stp/>
        <stp>BDP|8197217840763529712</stp>
        <tr r="AZ21" s="3"/>
      </tp>
      <tp t="s">
        <v>#N/A N/A</v>
        <stp/>
        <stp>BDP|3349337474884853986</stp>
        <tr r="W55" s="3"/>
      </tp>
      <tp t="s">
        <v>#N/A N/A</v>
        <stp/>
        <stp>BDP|2087729461820526921</stp>
        <tr r="BD45" s="3"/>
      </tp>
      <tp t="s">
        <v>#N/A N/A</v>
        <stp/>
        <stp>BDP|9111705462123304148</stp>
        <tr r="AU33" s="3"/>
      </tp>
      <tp t="s">
        <v>#N/A N/A</v>
        <stp/>
        <stp>BDP|8550419323825196123</stp>
        <tr r="AM63" s="3"/>
      </tp>
      <tp t="s">
        <v>#N/A N/A</v>
        <stp/>
        <stp>BDP|4683605075269527623</stp>
        <tr r="BJ22" s="3"/>
      </tp>
      <tp t="s">
        <v>#N/A N/A</v>
        <stp/>
        <stp>BDP|5973610698671195158</stp>
        <tr r="AW66" s="3"/>
      </tp>
      <tp t="s">
        <v>#N/A N/A</v>
        <stp/>
        <stp>BDP|3359935902909657908</stp>
        <tr r="AK27" s="3"/>
      </tp>
      <tp t="s">
        <v>#N/A N/A</v>
        <stp/>
        <stp>BDP|6233741497403691138</stp>
        <tr r="AP40" s="3"/>
      </tp>
      <tp t="s">
        <v>#N/A N/A</v>
        <stp/>
        <stp>BDP|9299986295034930737</stp>
        <tr r="AI18" s="3"/>
      </tp>
      <tp t="s">
        <v>#N/A N/A</v>
        <stp/>
        <stp>BDP|1192561584424333253</stp>
        <tr r="AP68" s="3"/>
      </tp>
      <tp t="s">
        <v>#N/A N/A</v>
        <stp/>
        <stp>BDP|5063644665659613629</stp>
        <tr r="BK50" s="3"/>
      </tp>
      <tp t="s">
        <v>#N/A N/A</v>
        <stp/>
        <stp>BDP|9882680983265324857</stp>
        <tr r="AB60" s="3"/>
      </tp>
      <tp t="s">
        <v>#N/A N/A</v>
        <stp/>
        <stp>BDP|1116836408544844776</stp>
        <tr r="AQ24" s="3"/>
      </tp>
      <tp t="s">
        <v>#N/A N/A</v>
        <stp/>
        <stp>BDP|2762997117525828544</stp>
        <tr r="AV48" s="3"/>
      </tp>
      <tp t="s">
        <v>#N/A N/A</v>
        <stp/>
        <stp>BDP|6832632646556835802</stp>
        <tr r="BH57" s="3"/>
      </tp>
      <tp t="s">
        <v>#N/A N/A</v>
        <stp/>
        <stp>BDP|4814597093163176164</stp>
        <tr r="BI27" s="3"/>
      </tp>
      <tp t="s">
        <v>#N/A N/A</v>
        <stp/>
        <stp>BDP|1268612973208427212</stp>
        <tr r="AW35" s="3"/>
      </tp>
      <tp t="s">
        <v>#N/A N/A</v>
        <stp/>
        <stp>BDP|6740506648949312561</stp>
        <tr r="BJ41" s="3"/>
      </tp>
      <tp t="s">
        <v>#N/A N/A</v>
        <stp/>
        <stp>BDP|8218618509380225526</stp>
        <tr r="AK66" s="3"/>
      </tp>
      <tp t="s">
        <v>#N/A N/A</v>
        <stp/>
        <stp>BDP|3381918528217515451</stp>
        <tr r="BD30" s="3"/>
      </tp>
      <tp t="s">
        <v>#N/A N/A</v>
        <stp/>
        <stp>BDP|5608026284730226681</stp>
        <tr r="AI55" s="3"/>
      </tp>
      <tp t="s">
        <v>#N/A N/A</v>
        <stp/>
        <stp>BDP|9484992183223589014</stp>
        <tr r="BJ23" s="3"/>
      </tp>
      <tp t="s">
        <v>#N/A N/A</v>
        <stp/>
        <stp>BDP|7431809868924122675</stp>
        <tr r="BQ21" s="3"/>
      </tp>
      <tp t="s">
        <v>#N/A N/A</v>
        <stp/>
        <stp>BDP|2517090327929771276</stp>
        <tr r="BJ48" s="3"/>
      </tp>
      <tp t="s">
        <v>#N/A N/A</v>
        <stp/>
        <stp>BDP|8881514235487176265</stp>
        <tr r="BF57" s="3"/>
      </tp>
      <tp t="s">
        <v>#N/A N/A</v>
        <stp/>
        <stp>BDP|3314785765309689035</stp>
        <tr r="AM68" s="3"/>
      </tp>
      <tp t="s">
        <v>#N/A N/A</v>
        <stp/>
        <stp>BDP|4963130694654569302</stp>
        <tr r="U49" s="3"/>
      </tp>
      <tp t="s">
        <v>#N/A N/A</v>
        <stp/>
        <stp>BDP|6831072147858542157</stp>
        <tr r="X46" s="3"/>
      </tp>
      <tp t="s">
        <v>#N/A N/A</v>
        <stp/>
        <stp>BDP|3362150201370911964</stp>
        <tr r="AB55" s="3"/>
      </tp>
      <tp t="s">
        <v>#N/A N/A</v>
        <stp/>
        <stp>BDP|2611187395825692454</stp>
        <tr r="AR52" s="3"/>
      </tp>
      <tp t="s">
        <v>#N/A N/A</v>
        <stp/>
        <stp>BDP|9959231840106092229</stp>
        <tr r="BB48" s="3"/>
      </tp>
      <tp t="s">
        <v>#N/A N/A</v>
        <stp/>
        <stp>BDP|4959704933458613358</stp>
        <tr r="X38" s="3"/>
      </tp>
      <tp t="s">
        <v>#N/A N/A</v>
        <stp/>
        <stp>BDP|3257868612502949363</stp>
        <tr r="BH69" s="3"/>
      </tp>
      <tp t="s">
        <v>#N/A N/A</v>
        <stp/>
        <stp>BDP|7243909429670186730</stp>
        <tr r="AX57" s="3"/>
      </tp>
      <tp t="s">
        <v>#N/A N/A</v>
        <stp/>
        <stp>BDP|6092802383225282883</stp>
        <tr r="AJ42" s="3"/>
      </tp>
      <tp t="s">
        <v>#N/A N/A</v>
        <stp/>
        <stp>BDP|5825149794372140409</stp>
        <tr r="AB19" s="3"/>
      </tp>
      <tp t="s">
        <v>#N/A N/A</v>
        <stp/>
        <stp>BDP|3243013880395918532</stp>
        <tr r="AG61" s="3"/>
      </tp>
      <tp t="s">
        <v>#N/A N/A</v>
        <stp/>
        <stp>BDP|3737811942294382097</stp>
        <tr r="AG54" s="3"/>
      </tp>
      <tp t="s">
        <v>#N/A N/A</v>
        <stp/>
        <stp>BDP|4696995163738117839</stp>
        <tr r="AD24" s="3"/>
      </tp>
      <tp t="s">
        <v>#N/A N/A</v>
        <stp/>
        <stp>BDP|3964937849580408596</stp>
        <tr r="U48" s="3"/>
      </tp>
      <tp t="s">
        <v>#N/A N/A</v>
        <stp/>
        <stp>BDP|9138432864512970217</stp>
        <tr r="BP16" s="3"/>
      </tp>
      <tp t="s">
        <v>#N/A N/A</v>
        <stp/>
        <stp>BDP|6572366605796086894</stp>
        <tr r="AS29" s="3"/>
      </tp>
      <tp t="s">
        <v>#N/A N/A</v>
        <stp/>
        <stp>BDP|2329916927161806329</stp>
        <tr r="BF38" s="3"/>
      </tp>
      <tp t="s">
        <v>#N/A N/A</v>
        <stp/>
        <stp>BDP|7506972321162861549</stp>
        <tr r="AL18" s="3"/>
      </tp>
      <tp t="s">
        <v>#N/A N/A</v>
        <stp/>
        <stp>BDP|8238971005032674899</stp>
        <tr r="BL29" s="3"/>
      </tp>
      <tp t="s">
        <v>#N/A N/A</v>
        <stp/>
        <stp>BDP|6315558961476874808</stp>
        <tr r="X68" s="3"/>
      </tp>
      <tp t="s">
        <v>#N/A N/A</v>
        <stp/>
        <stp>BDP|9823513872169537911</stp>
        <tr r="BG15" s="3"/>
      </tp>
      <tp t="s">
        <v>#N/A N/A</v>
        <stp/>
        <stp>BDP|9866985502009906244</stp>
        <tr r="Y35" s="3"/>
      </tp>
      <tp t="s">
        <v>#N/A N/A</v>
        <stp/>
        <stp>BDP|8716711190878343592</stp>
        <tr r="BN15" s="3"/>
      </tp>
      <tp t="s">
        <v>#N/A N/A</v>
        <stp/>
        <stp>BDP|5911753443495004838</stp>
        <tr r="U34" s="3"/>
      </tp>
      <tp t="s">
        <v>#N/A N/A</v>
        <stp/>
        <stp>BDP|3963927077197370136</stp>
        <tr r="W66" s="3"/>
      </tp>
      <tp t="s">
        <v>#N/A N/A</v>
        <stp/>
        <stp>BDP|3444561034888865633</stp>
        <tr r="AE59" s="3"/>
      </tp>
      <tp t="s">
        <v>#N/A N/A</v>
        <stp/>
        <stp>BDP|9549099457040297746</stp>
        <tr r="AD34" s="3"/>
      </tp>
      <tp t="s">
        <v>#N/A N/A</v>
        <stp/>
        <stp>BDP|5233809266572137271</stp>
        <tr r="BH52" s="3"/>
      </tp>
      <tp t="s">
        <v>#N/A N/A</v>
        <stp/>
        <stp>BDP|9743138461437210258</stp>
        <tr r="AT56" s="3"/>
      </tp>
      <tp t="s">
        <v>#N/A N/A</v>
        <stp/>
        <stp>BDP|8310121731773051223</stp>
        <tr r="BE54" s="3"/>
      </tp>
      <tp t="s">
        <v>#N/A N/A</v>
        <stp/>
        <stp>BDP|6082083564002996971</stp>
        <tr r="BE46" s="3"/>
      </tp>
      <tp t="s">
        <v>#N/A N/A</v>
        <stp/>
        <stp>BDP|1226263085071187132</stp>
        <tr r="AR66" s="3"/>
      </tp>
      <tp t="s">
        <v>#N/A N/A</v>
        <stp/>
        <stp>BDP|3449281258058606718</stp>
        <tr r="BG41" s="3"/>
      </tp>
      <tp t="s">
        <v>#N/A N/A</v>
        <stp/>
        <stp>BDP|1488525282123275457</stp>
        <tr r="BI47" s="3"/>
      </tp>
      <tp t="s">
        <v>#N/A N/A</v>
        <stp/>
        <stp>BDP|9758469933467737268</stp>
        <tr r="BC57" s="3"/>
      </tp>
      <tp t="s">
        <v>#N/A N/A</v>
        <stp/>
        <stp>BDP|1937990070415117125</stp>
        <tr r="BG34" s="3"/>
      </tp>
      <tp t="s">
        <v>#N/A N/A</v>
        <stp/>
        <stp>BDP|7797323195472635458</stp>
        <tr r="BI25" s="3"/>
      </tp>
      <tp t="s">
        <v>#N/A N/A</v>
        <stp/>
        <stp>BDP|2980526120148304686</stp>
        <tr r="BL51" s="3"/>
      </tp>
      <tp t="s">
        <v>#N/A N/A</v>
        <stp/>
        <stp>BDP|2224982157123536689</stp>
        <tr r="BG25" s="3"/>
      </tp>
      <tp t="s">
        <v>#N/A N/A</v>
        <stp/>
        <stp>BDP|3669362840959203627</stp>
        <tr r="BN67" s="3"/>
      </tp>
      <tp t="s">
        <v>#N/A N/A</v>
        <stp/>
        <stp>BDP|5380792296118913850</stp>
        <tr r="BG22" s="3"/>
      </tp>
      <tp t="s">
        <v>#N/A N/A</v>
        <stp/>
        <stp>BDP|8637229405255500444</stp>
        <tr r="BG52" s="3"/>
      </tp>
      <tp t="s">
        <v>#N/A N/A</v>
        <stp/>
        <stp>BDP|4868266283880474590</stp>
        <tr r="AX43" s="3"/>
      </tp>
      <tp t="s">
        <v>#N/A N/A</v>
        <stp/>
        <stp>BDP|9251057002125320761</stp>
        <tr r="AS35" s="3"/>
      </tp>
      <tp t="s">
        <v>#N/A N/A</v>
        <stp/>
        <stp>BDP|4405447908638030381</stp>
        <tr r="AX31" s="3"/>
      </tp>
      <tp t="s">
        <v>#N/A N/A</v>
        <stp/>
        <stp>BDP|4745953800395340317</stp>
        <tr r="BG31" s="3"/>
      </tp>
      <tp t="s">
        <v>#N/A N/A</v>
        <stp/>
        <stp>BDP|5445101613739077773</stp>
        <tr r="BE64" s="3"/>
      </tp>
      <tp t="s">
        <v>#N/A N/A</v>
        <stp/>
        <stp>BDP|7543668552088215727</stp>
        <tr r="BK38" s="3"/>
      </tp>
      <tp t="s">
        <v>#N/A N/A</v>
        <stp/>
        <stp>BDP|4659784058004546928</stp>
        <tr r="AK50" s="3"/>
      </tp>
      <tp t="s">
        <v>#N/A N/A</v>
        <stp/>
        <stp>BDP|8797037503851579233</stp>
        <tr r="AV63" s="3"/>
      </tp>
      <tp t="s">
        <v>#N/A N/A</v>
        <stp/>
        <stp>BDP|9849798651921170104</stp>
        <tr r="AY34" s="3"/>
      </tp>
      <tp t="s">
        <v>#N/A N/A</v>
        <stp/>
        <stp>BDP|1604409596742144572</stp>
        <tr r="AT16" s="3"/>
      </tp>
      <tp t="s">
        <v>#N/A N/A</v>
        <stp/>
        <stp>BDP|8368800495022851088</stp>
        <tr r="BL57" s="3"/>
      </tp>
      <tp t="s">
        <v>#N/A N/A</v>
        <stp/>
        <stp>BDP|8521591203452809415</stp>
        <tr r="BQ18" s="3"/>
      </tp>
      <tp t="s">
        <v>#N/A N/A</v>
        <stp/>
        <stp>BDP|3331517714135713971</stp>
        <tr r="AH19" s="3"/>
      </tp>
      <tp t="s">
        <v>#N/A N/A</v>
        <stp/>
        <stp>BDP|1378905759671575796</stp>
        <tr r="AC62" s="3"/>
      </tp>
      <tp t="s">
        <v>#N/A N/A</v>
        <stp/>
        <stp>BDP|7200311414886523850</stp>
        <tr r="BH16" s="3"/>
      </tp>
      <tp t="s">
        <v>#N/A N/A</v>
        <stp/>
        <stp>BDP|5176950863676142716</stp>
        <tr r="AQ58" s="3"/>
      </tp>
      <tp t="s">
        <v>#N/A N/A</v>
        <stp/>
        <stp>BDP|9387630524661484773</stp>
        <tr r="BK65" s="3"/>
      </tp>
      <tp t="s">
        <v>#N/A N/A</v>
        <stp/>
        <stp>BDP|8916381838216632585</stp>
        <tr r="AF32" s="3"/>
      </tp>
      <tp t="s">
        <v>#N/A N/A</v>
        <stp/>
        <stp>BDP|2257561703764573861</stp>
        <tr r="BL68" s="3"/>
      </tp>
      <tp t="s">
        <v>#N/A N/A</v>
        <stp/>
        <stp>BDP|9573730445604529532</stp>
        <tr r="BB46" s="3"/>
      </tp>
      <tp t="s">
        <v>#N/A N/A</v>
        <stp/>
        <stp>BDP|8752712581874232809</stp>
        <tr r="AH50" s="3"/>
      </tp>
      <tp t="s">
        <v>#N/A N/A</v>
        <stp/>
        <stp>BDP|9150679394505102791</stp>
        <tr r="BD43" s="3"/>
      </tp>
      <tp t="s">
        <v>#N/A N/A</v>
        <stp/>
        <stp>BDP|8104286898665813239</stp>
        <tr r="BI29" s="3"/>
      </tp>
      <tp t="s">
        <v>#N/A N/A</v>
        <stp/>
        <stp>BDP|1522071468081220221</stp>
        <tr r="AU69" s="3"/>
      </tp>
      <tp t="s">
        <v>#N/A N/A</v>
        <stp/>
        <stp>BDP|4726203648745623331</stp>
        <tr r="AN44" s="3"/>
      </tp>
      <tp t="s">
        <v>#N/A N/A</v>
        <stp/>
        <stp>BDP|8777977507160904545</stp>
        <tr r="BP41" s="3"/>
      </tp>
      <tp t="s">
        <v>#N/A N/A</v>
        <stp/>
        <stp>BDP|4409238164151087583</stp>
        <tr r="BA26" s="3"/>
      </tp>
      <tp t="s">
        <v>#N/A N/A</v>
        <stp/>
        <stp>BDP|7841472671933793320</stp>
        <tr r="AJ69" s="3"/>
      </tp>
      <tp t="s">
        <v>#N/A N/A</v>
        <stp/>
        <stp>BDP|5738699453676302464</stp>
        <tr r="AF68" s="3"/>
      </tp>
      <tp t="s">
        <v>#N/A N/A</v>
        <stp/>
        <stp>BDP|4238362863326810379</stp>
        <tr r="BA50" s="3"/>
      </tp>
      <tp t="s">
        <v>#N/A N/A</v>
        <stp/>
        <stp>BDP|7486702278161180256</stp>
        <tr r="AE19" s="3"/>
      </tp>
      <tp t="s">
        <v>#N/A N/A</v>
        <stp/>
        <stp>BDP|2288618018213250212</stp>
        <tr r="AX59" s="3"/>
      </tp>
      <tp t="s">
        <v>#N/A N/A</v>
        <stp/>
        <stp>BDP|9907225112799046711</stp>
        <tr r="AB34" s="3"/>
      </tp>
      <tp t="s">
        <v>#N/A N/A</v>
        <stp/>
        <stp>BDP|9183143419134020952</stp>
        <tr r="BA46" s="3"/>
      </tp>
      <tp t="s">
        <v>#N/A N/A</v>
        <stp/>
        <stp>BDP|5724291928239855879</stp>
        <tr r="AJ26" s="3"/>
      </tp>
      <tp t="s">
        <v>#N/A N/A</v>
        <stp/>
        <stp>BDP|6661128718555162741</stp>
        <tr r="AN21" s="3"/>
      </tp>
      <tp t="s">
        <v>#N/A N/A</v>
        <stp/>
        <stp>BDP|6662749714246930261</stp>
        <tr r="AW38" s="3"/>
      </tp>
      <tp t="s">
        <v>#N/A N/A</v>
        <stp/>
        <stp>BDP|9796768942977340992</stp>
        <tr r="AX24" s="3"/>
      </tp>
      <tp t="s">
        <v>#N/A N/A</v>
        <stp/>
        <stp>BDP|2009788369572039589</stp>
        <tr r="BQ38" s="3"/>
      </tp>
      <tp t="s">
        <v>#N/A N/A</v>
        <stp/>
        <stp>BDP|4743900128969105203</stp>
        <tr r="BG67" s="3"/>
      </tp>
      <tp t="s">
        <v>#N/A N/A</v>
        <stp/>
        <stp>BDP|6749419008473986590</stp>
        <tr r="AX35" s="3"/>
      </tp>
      <tp t="s">
        <v>#N/A N/A</v>
        <stp/>
        <stp>BDP|9713413419518030017</stp>
        <tr r="AB31" s="3"/>
      </tp>
      <tp t="s">
        <v>#N/A N/A</v>
        <stp/>
        <stp>BDP|1171450052116805204</stp>
        <tr r="BM55" s="3"/>
      </tp>
      <tp t="s">
        <v>#N/A N/A</v>
        <stp/>
        <stp>BDP|8073109283945526080</stp>
        <tr r="AP16" s="3"/>
      </tp>
      <tp t="s">
        <v>#N/A N/A</v>
        <stp/>
        <stp>BDP|2799898296416796118</stp>
        <tr r="BD66" s="3"/>
      </tp>
      <tp t="s">
        <v>#N/A N/A</v>
        <stp/>
        <stp>BDP|6584799757690186057</stp>
        <tr r="BD49" s="3"/>
      </tp>
      <tp t="s">
        <v>#N/A N/A</v>
        <stp/>
        <stp>BDP|7666855507272396982</stp>
        <tr r="AO46" s="3"/>
      </tp>
      <tp t="s">
        <v>#N/A N/A</v>
        <stp/>
        <stp>BDP|8207529688352636316</stp>
        <tr r="W59" s="3"/>
      </tp>
      <tp t="s">
        <v>#N/A N/A</v>
        <stp/>
        <stp>BDP|4271261979183652647</stp>
        <tr r="AW19" s="3"/>
      </tp>
      <tp t="s">
        <v>#N/A N/A</v>
        <stp/>
        <stp>BDP|7417035208153778075</stp>
        <tr r="BO30" s="3"/>
      </tp>
      <tp t="s">
        <v>#N/A N/A</v>
        <stp/>
        <stp>BDP|8229428488848421808</stp>
        <tr r="AS49" s="3"/>
      </tp>
      <tp t="s">
        <v>#N/A N/A</v>
        <stp/>
        <stp>BDP|3811479070354741042</stp>
        <tr r="BC37" s="3"/>
      </tp>
      <tp t="s">
        <v>#N/A N/A</v>
        <stp/>
        <stp>BDP|6073836339131061868</stp>
        <tr r="AF51" s="3"/>
      </tp>
      <tp t="s">
        <v>#N/A N/A</v>
        <stp/>
        <stp>BDP|9471457460229446697</stp>
        <tr r="BH53" s="3"/>
      </tp>
      <tp t="s">
        <v>#N/A N/A</v>
        <stp/>
        <stp>BDP|5421792530374558147</stp>
        <tr r="BK34" s="3"/>
      </tp>
      <tp t="s">
        <v>#N/A N/A</v>
        <stp/>
        <stp>BDP|6004241751322813708</stp>
        <tr r="AZ28" s="3"/>
      </tp>
      <tp t="s">
        <v>#N/A N/A</v>
        <stp/>
        <stp>BDP|1893554635946041551</stp>
        <tr r="BB62" s="3"/>
      </tp>
      <tp t="s">
        <v>#N/A N/A</v>
        <stp/>
        <stp>BDP|4922000271787767022</stp>
        <tr r="BH60" s="3"/>
      </tp>
      <tp t="s">
        <v>#N/A N/A</v>
        <stp/>
        <stp>BDP|4423493729063865514</stp>
        <tr r="AY27" s="3"/>
      </tp>
      <tp t="s">
        <v>#N/A N/A</v>
        <stp/>
        <stp>BDP|6419688241207299727</stp>
        <tr r="BG30" s="3"/>
      </tp>
      <tp t="s">
        <v>#N/A N/A</v>
        <stp/>
        <stp>BDP|5889668880248413774</stp>
        <tr r="V54" s="3"/>
      </tp>
      <tp t="s">
        <v>#N/A N/A</v>
        <stp/>
        <stp>BDP|6256002011871965281</stp>
        <tr r="Z44" s="3"/>
      </tp>
      <tp t="s">
        <v>#N/A N/A</v>
        <stp/>
        <stp>BDP|7795145149512900411</stp>
        <tr r="AM52" s="3"/>
      </tp>
      <tp t="s">
        <v>#N/A N/A</v>
        <stp/>
        <stp>BDP|5876282814082596036</stp>
        <tr r="BG27" s="3"/>
      </tp>
      <tp t="s">
        <v>#N/A N/A</v>
        <stp/>
        <stp>BDP|1108612801127281416</stp>
        <tr r="AI43" s="3"/>
      </tp>
      <tp t="s">
        <v>#N/A N/A</v>
        <stp/>
        <stp>BDP|4110591359238789846</stp>
        <tr r="AC42" s="3"/>
      </tp>
      <tp t="s">
        <v>#N/A N/A</v>
        <stp/>
        <stp>BDP|3436932356088209311</stp>
        <tr r="BN20" s="3"/>
      </tp>
      <tp t="s">
        <v>#N/A N/A</v>
        <stp/>
        <stp>BDP|6849384865873692411</stp>
        <tr r="AS61" s="3"/>
      </tp>
      <tp t="s">
        <v>#N/A N/A</v>
        <stp/>
        <stp>BDP|3630744527123261150</stp>
        <tr r="BE19" s="3"/>
      </tp>
      <tp t="s">
        <v>#N/A N/A</v>
        <stp/>
        <stp>BDP|8546278002907070922</stp>
        <tr r="AU28" s="3"/>
      </tp>
      <tp t="s">
        <v>#N/A N/A</v>
        <stp/>
        <stp>BDP|2083176300874154343</stp>
        <tr r="AZ24" s="3"/>
      </tp>
      <tp t="s">
        <v>#N/A N/A</v>
        <stp/>
        <stp>BDP|5186866682768693912</stp>
        <tr r="AY69" s="3"/>
      </tp>
      <tp t="s">
        <v>#N/A N/A</v>
        <stp/>
        <stp>BDP|9250210765608752133</stp>
        <tr r="AQ20" s="3"/>
      </tp>
      <tp t="s">
        <v>#N/A N/A</v>
        <stp/>
        <stp>BDP|8417602298656966576</stp>
        <tr r="AM55" s="3"/>
      </tp>
      <tp t="s">
        <v>#N/A N/A</v>
        <stp/>
        <stp>BDP|3559960307079423722</stp>
        <tr r="BQ67" s="3"/>
      </tp>
      <tp t="s">
        <v>#N/A N/A</v>
        <stp/>
        <stp>BDP|3943965420139850551</stp>
        <tr r="Z57" s="3"/>
      </tp>
      <tp t="s">
        <v>#N/A N/A</v>
        <stp/>
        <stp>BDP|6017749067756515548</stp>
        <tr r="AJ49" s="3"/>
      </tp>
      <tp t="s">
        <v>#N/A N/A</v>
        <stp/>
        <stp>BDP|5371729436711222463</stp>
        <tr r="AM16" s="3"/>
      </tp>
      <tp t="s">
        <v>#N/A N/A</v>
        <stp/>
        <stp>BDP|1683707977556210308</stp>
        <tr r="AC26" s="3"/>
      </tp>
      <tp t="s">
        <v>#N/A N/A</v>
        <stp/>
        <stp>BDP|6604045307374536631</stp>
        <tr r="AJ48" s="3"/>
      </tp>
      <tp t="s">
        <v>#N/A N/A</v>
        <stp/>
        <stp>BDP|6634761960834185726</stp>
        <tr r="BB29" s="3"/>
      </tp>
      <tp t="s">
        <v>#N/A N/A</v>
        <stp/>
        <stp>BDP|8721456297246639702</stp>
        <tr r="AI37" s="3"/>
      </tp>
      <tp t="s">
        <v>#N/A N/A</v>
        <stp/>
        <stp>BDP|2277344568326528585</stp>
        <tr r="BI65" s="3"/>
      </tp>
      <tp t="s">
        <v>#N/A N/A</v>
        <stp/>
        <stp>BDP|8666201970408218148</stp>
        <tr r="X22" s="3"/>
      </tp>
      <tp t="s">
        <v>#N/A N/A</v>
        <stp/>
        <stp>BDP|7470817923790644903</stp>
        <tr r="BJ60" s="3"/>
      </tp>
      <tp t="s">
        <v>#N/A N/A</v>
        <stp/>
        <stp>BDP|4616556767522344176</stp>
        <tr r="AV17" s="3"/>
      </tp>
      <tp t="s">
        <v>#N/A N/A</v>
        <stp/>
        <stp>BDP|6796198281469950260</stp>
        <tr r="AK57" s="3"/>
      </tp>
      <tp t="s">
        <v>#N/A N/A</v>
        <stp/>
        <stp>BDP|2501506363260203546</stp>
        <tr r="AE35" s="3"/>
      </tp>
      <tp t="s">
        <v>#N/A N/A</v>
        <stp/>
        <stp>BDP|5306364943254138272</stp>
        <tr r="AO28" s="3"/>
      </tp>
      <tp t="s">
        <v>#N/A N/A</v>
        <stp/>
        <stp>BDP|6263205064085179373</stp>
        <tr r="AV22" s="3"/>
      </tp>
      <tp t="s">
        <v>#N/A N/A</v>
        <stp/>
        <stp>BDP|7023321207271076145</stp>
        <tr r="BG48" s="3"/>
      </tp>
      <tp t="s">
        <v>#N/A N/A</v>
        <stp/>
        <stp>BDP|3420482270563877751</stp>
        <tr r="AN53" s="3"/>
      </tp>
      <tp t="s">
        <v>#N/A N/A</v>
        <stp/>
        <stp>BDP|4015595328456393144</stp>
        <tr r="BI31" s="3"/>
      </tp>
      <tp t="s">
        <v>#N/A N/A</v>
        <stp/>
        <stp>BDP|2361138889576719985</stp>
        <tr r="BA69" s="3"/>
      </tp>
      <tp t="s">
        <v>#N/A N/A</v>
        <stp/>
        <stp>BDP|6181523373775335550</stp>
        <tr r="U38" s="3"/>
      </tp>
      <tp t="s">
        <v>#N/A N/A</v>
        <stp/>
        <stp>BDP|9014846826864144354</stp>
        <tr r="AD28" s="3"/>
      </tp>
      <tp t="s">
        <v>#N/A N/A</v>
        <stp/>
        <stp>BDP|3520748012022422319</stp>
        <tr r="Z38" s="3"/>
      </tp>
      <tp t="s">
        <v>#N/A N/A</v>
        <stp/>
        <stp>BDP|5046559636964748321</stp>
        <tr r="AI46" s="3"/>
      </tp>
      <tp t="s">
        <v>#N/A N/A</v>
        <stp/>
        <stp>BDP|2075308150917463720</stp>
        <tr r="AW21" s="3"/>
      </tp>
      <tp t="s">
        <v>#N/A N/A</v>
        <stp/>
        <stp>BDP|2608513212427660552</stp>
        <tr r="AC64" s="3"/>
      </tp>
      <tp t="s">
        <v>#N/A N/A</v>
        <stp/>
        <stp>BDP|9302621584624720742</stp>
        <tr r="AD18" s="3"/>
      </tp>
      <tp t="s">
        <v>#N/A N/A</v>
        <stp/>
        <stp>BDP|7654762574843155022</stp>
        <tr r="BP47" s="3"/>
      </tp>
      <tp t="s">
        <v>#N/A N/A</v>
        <stp/>
        <stp>BDP|8325195046340836938</stp>
        <tr r="BN40" s="3"/>
      </tp>
      <tp t="s">
        <v>#N/A N/A</v>
        <stp/>
        <stp>BDP|4446412435276248153</stp>
        <tr r="BA66" s="3"/>
      </tp>
      <tp t="s">
        <v>#N/A N/A</v>
        <stp/>
        <stp>BDP|5477267349070857742</stp>
        <tr r="AL51" s="3"/>
      </tp>
      <tp t="s">
        <v>#N/A N/A</v>
        <stp/>
        <stp>BDP|9601228067739797030</stp>
        <tr r="BD16" s="3"/>
      </tp>
      <tp t="s">
        <v>#N/A N/A</v>
        <stp/>
        <stp>BDP|3610378359557572692</stp>
        <tr r="AF62" s="3"/>
      </tp>
      <tp t="s">
        <v>#N/A N/A</v>
        <stp/>
        <stp>BDP|6299141011271102322</stp>
        <tr r="AO47" s="3"/>
      </tp>
      <tp t="s">
        <v>#N/A N/A</v>
        <stp/>
        <stp>BDP|6782996788797113433</stp>
        <tr r="BI44" s="3"/>
      </tp>
      <tp t="s">
        <v>#N/A N/A</v>
        <stp/>
        <stp>BDP|2172433876824051103</stp>
        <tr r="AQ54" s="3"/>
      </tp>
      <tp t="s">
        <v>#N/A N/A</v>
        <stp/>
        <stp>BDP|3274980985285238397</stp>
        <tr r="AT49" s="3"/>
      </tp>
      <tp t="s">
        <v>#N/A N/A</v>
        <stp/>
        <stp>BDP|8382950474964046667</stp>
        <tr r="BM67" s="3"/>
      </tp>
      <tp t="s">
        <v>#N/A N/A</v>
        <stp/>
        <stp>BDP|3665344932547767033</stp>
        <tr r="BK66" s="3"/>
      </tp>
      <tp t="s">
        <v>#N/A N/A</v>
        <stp/>
        <stp>BDP|2932182874580755066</stp>
        <tr r="W62" s="3"/>
      </tp>
      <tp t="s">
        <v>#N/A N/A</v>
        <stp/>
        <stp>BDP|4864442434190915753</stp>
        <tr r="W35" s="3"/>
      </tp>
      <tp t="s">
        <v>#N/A N/A</v>
        <stp/>
        <stp>BDP|8483871605827585360</stp>
        <tr r="AU34" s="3"/>
      </tp>
      <tp t="s">
        <v>#N/A N/A</v>
        <stp/>
        <stp>BDP|6624212074200405729</stp>
        <tr r="BQ66" s="3"/>
      </tp>
      <tp t="s">
        <v>#N/A N/A</v>
        <stp/>
        <stp>BDP|8462280980613011590</stp>
        <tr r="AT52" s="3"/>
      </tp>
      <tp t="s">
        <v>#N/A N/A</v>
        <stp/>
        <stp>BDP|7142866322521062803</stp>
        <tr r="AE27" s="3"/>
      </tp>
      <tp t="s">
        <v>#N/A N/A</v>
        <stp/>
        <stp>BDP|6127666758546407618</stp>
        <tr r="BJ37" s="3"/>
      </tp>
      <tp t="s">
        <v>#N/A N/A</v>
        <stp/>
        <stp>BDP|3161005549826167437</stp>
        <tr r="BP37" s="3"/>
      </tp>
      <tp t="s">
        <v>#N/A N/A</v>
        <stp/>
        <stp>BDP|8669532206420048898</stp>
        <tr r="AH68" s="3"/>
      </tp>
      <tp t="s">
        <v>#N/A N/A</v>
        <stp/>
        <stp>BDP|4112143550264753189</stp>
        <tr r="AC18" s="3"/>
      </tp>
      <tp t="s">
        <v>#N/A N/A</v>
        <stp/>
        <stp>BDP|3828383009194077134</stp>
        <tr r="BD18" s="3"/>
      </tp>
      <tp t="s">
        <v>#N/A N/A</v>
        <stp/>
        <stp>BDP|8576968039101779661</stp>
        <tr r="V63" s="3"/>
      </tp>
      <tp t="s">
        <v>#N/A N/A</v>
        <stp/>
        <stp>BDP|1446662319896353530</stp>
        <tr r="V21" s="3"/>
      </tp>
      <tp t="s">
        <v>#N/A N/A</v>
        <stp/>
        <stp>BDP|7341752925426196197</stp>
        <tr r="AL55" s="3"/>
      </tp>
      <tp t="s">
        <v>#N/A N/A</v>
        <stp/>
        <stp>BDP|3125602920385941738</stp>
        <tr r="BA54" s="3"/>
      </tp>
      <tp t="s">
        <v>#N/A N/A</v>
        <stp/>
        <stp>BDP|1862677524303747379</stp>
        <tr r="AQ44" s="3"/>
      </tp>
      <tp t="s">
        <v>#N/A N/A</v>
        <stp/>
        <stp>BDP|7829031035027436611</stp>
        <tr r="BI49" s="3"/>
      </tp>
      <tp t="s">
        <v>#N/A N/A</v>
        <stp/>
        <stp>BDP|1904444245796070235</stp>
        <tr r="AO27" s="3"/>
      </tp>
      <tp t="s">
        <v>#N/A N/A</v>
        <stp/>
        <stp>BDP|9707986272385214747</stp>
        <tr r="AY31" s="3"/>
      </tp>
      <tp t="s">
        <v>#N/A N/A</v>
        <stp/>
        <stp>BDP|2816643580368223156</stp>
        <tr r="U55" s="3"/>
      </tp>
      <tp t="s">
        <v>#N/A N/A</v>
        <stp/>
        <stp>BDP|5828255825837655761</stp>
        <tr r="AI53" s="3"/>
      </tp>
      <tp t="s">
        <v>#N/A N/A</v>
        <stp/>
        <stp>BDP|2026628900199231883</stp>
        <tr r="BI40" s="3"/>
      </tp>
      <tp t="s">
        <v>#N/A N/A</v>
        <stp/>
        <stp>BDP|7708404338346343344</stp>
        <tr r="AA35" s="3"/>
      </tp>
      <tp t="s">
        <v>#N/A N/A</v>
        <stp/>
        <stp>BDP|6655210035134954637</stp>
        <tr r="Y67" s="3"/>
      </tp>
      <tp t="s">
        <v>#N/A N/A</v>
        <stp/>
        <stp>BDP|5752658574151870076</stp>
        <tr r="BB44" s="3"/>
      </tp>
      <tp t="s">
        <v>#N/A N/A</v>
        <stp/>
        <stp>BDP|3184466628546279642</stp>
        <tr r="BK29" s="3"/>
      </tp>
      <tp t="s">
        <v>#N/A N/A</v>
        <stp/>
        <stp>BDP|4897435415855402130</stp>
        <tr r="BK25" s="3"/>
      </tp>
      <tp t="s">
        <v>#N/A N/A</v>
        <stp/>
        <stp>BDP|6995760053854008556</stp>
        <tr r="AA43" s="3"/>
      </tp>
      <tp t="s">
        <v>#N/A N/A</v>
        <stp/>
        <stp>BDP|9755537960616298981</stp>
        <tr r="BP15" s="3"/>
      </tp>
      <tp t="s">
        <v>#N/A N/A</v>
        <stp/>
        <stp>BDP|4941665865632209369</stp>
        <tr r="AA63" s="3"/>
      </tp>
      <tp t="s">
        <v>#N/A N/A</v>
        <stp/>
        <stp>BDP|8312703027048973036</stp>
        <tr r="AC68" s="3"/>
      </tp>
      <tp t="s">
        <v>#N/A N/A</v>
        <stp/>
        <stp>BDP|3382687812020392141</stp>
        <tr r="AV30" s="3"/>
      </tp>
      <tp t="s">
        <v>#N/A N/A</v>
        <stp/>
        <stp>BDP|3702521734486697685</stp>
        <tr r="AN15" s="3"/>
      </tp>
      <tp t="s">
        <v>#N/A N/A</v>
        <stp/>
        <stp>BDP|6315774589109776552</stp>
        <tr r="AO64" s="3"/>
      </tp>
      <tp t="s">
        <v>#N/A N/A</v>
        <stp/>
        <stp>BDP|6034264398760258836</stp>
        <tr r="V64" s="3"/>
      </tp>
      <tp t="s">
        <v>#N/A N/A</v>
        <stp/>
        <stp>BDP|1021534369306576100</stp>
        <tr r="AJ15" s="3"/>
      </tp>
      <tp t="s">
        <v>#N/A N/A</v>
        <stp/>
        <stp>BDP|2975811417487906995</stp>
        <tr r="BF56" s="3"/>
      </tp>
      <tp t="s">
        <v>#N/A N/A</v>
        <stp/>
        <stp>BDP|6472646949344531537</stp>
        <tr r="X20" s="3"/>
      </tp>
      <tp t="s">
        <v>#N/A N/A</v>
        <stp/>
        <stp>BDP|4410070608291652018</stp>
        <tr r="BL34" s="3"/>
      </tp>
      <tp t="s">
        <v>#N/A N/A</v>
        <stp/>
        <stp>BDP|4576341029944774439</stp>
        <tr r="Z45" s="3"/>
      </tp>
      <tp t="s">
        <v>#N/A N/A</v>
        <stp/>
        <stp>BDP|1906413766961451774</stp>
        <tr r="AL52" s="3"/>
      </tp>
      <tp t="s">
        <v>#N/A N/A</v>
        <stp/>
        <stp>BDP|9278065971483058888</stp>
        <tr r="AM40" s="3"/>
      </tp>
      <tp t="s">
        <v>#N/A N/A</v>
        <stp/>
        <stp>BDP|2685281269486998536</stp>
        <tr r="BE31" s="3"/>
      </tp>
      <tp t="s">
        <v>#N/A N/A</v>
        <stp/>
        <stp>BDP|8172244393243910524</stp>
        <tr r="AJ19" s="3"/>
      </tp>
      <tp t="s">
        <v>#N/A N/A</v>
        <stp/>
        <stp>BDP|4469282463471010425</stp>
        <tr r="AJ52" s="3"/>
      </tp>
      <tp t="s">
        <v>#N/A N/A</v>
        <stp/>
        <stp>BDP|8068620458426131866</stp>
        <tr r="BC32" s="3"/>
      </tp>
      <tp t="s">
        <v>#N/A N/A</v>
        <stp/>
        <stp>BDP|4883873838363352964</stp>
        <tr r="Z31" s="3"/>
      </tp>
      <tp t="s">
        <v>#N/A N/A</v>
        <stp/>
        <stp>BDP|4034758185546273801</stp>
        <tr r="AR30" s="3"/>
      </tp>
      <tp t="s">
        <v>#N/A N/A</v>
        <stp/>
        <stp>BDP|8763908007482715659</stp>
        <tr r="AF65" s="3"/>
      </tp>
      <tp t="s">
        <v>#N/A N/A</v>
        <stp/>
        <stp>BDP|8867000942669858016</stp>
        <tr r="AY22" s="3"/>
      </tp>
      <tp t="s">
        <v>#N/A N/A</v>
        <stp/>
        <stp>BDP|6689625340176291756</stp>
        <tr r="BB63" s="3"/>
      </tp>
      <tp t="s">
        <v>#N/A N/A</v>
        <stp/>
        <stp>BDP|1885380745332369158</stp>
        <tr r="Y41" s="3"/>
      </tp>
      <tp t="s">
        <v>#N/A N/A</v>
        <stp/>
        <stp>BDP|5282245503610754226</stp>
        <tr r="BM21" s="3"/>
      </tp>
      <tp t="s">
        <v>#N/A N/A</v>
        <stp/>
        <stp>BDP|5550583808075784026</stp>
        <tr r="AI59" s="3"/>
      </tp>
      <tp t="s">
        <v>#N/A N/A</v>
        <stp/>
        <stp>BDP|1986923214864703889</stp>
        <tr r="BK49" s="3"/>
      </tp>
      <tp t="s">
        <v>#N/A N/A</v>
        <stp/>
        <stp>BDP|2795831697141224711</stp>
        <tr r="AF64" s="3"/>
      </tp>
      <tp t="s">
        <v>#N/A N/A</v>
        <stp/>
        <stp>BDP|6733056860747195236</stp>
        <tr r="BE22" s="3"/>
      </tp>
      <tp t="s">
        <v>#N/A N/A</v>
        <stp/>
        <stp>BDP|1987607432997291692</stp>
        <tr r="AG63" s="3"/>
      </tp>
      <tp t="s">
        <v>#N/A N/A</v>
        <stp/>
        <stp>BDP|4598534142073794338</stp>
        <tr r="BH61" s="3"/>
      </tp>
      <tp t="s">
        <v>#N/A N/A</v>
        <stp/>
        <stp>BDP|1807795348176953100</stp>
        <tr r="BO29" s="3"/>
      </tp>
      <tp t="s">
        <v>#N/A N/A</v>
        <stp/>
        <stp>BDP|3254148743831727223</stp>
        <tr r="BA51" s="3"/>
      </tp>
      <tp t="s">
        <v>#N/A N/A</v>
        <stp/>
        <stp>BDP|7448633955065410462</stp>
        <tr r="BO15" s="3"/>
      </tp>
      <tp t="s">
        <v>#N/A N/A</v>
        <stp/>
        <stp>BDP|1785428079065832244</stp>
        <tr r="BI52" s="3"/>
      </tp>
      <tp t="s">
        <v>#N/A N/A</v>
        <stp/>
        <stp>BDP|4634644575582210255</stp>
        <tr r="BM63" s="3"/>
      </tp>
      <tp t="s">
        <v>#N/A N/A</v>
        <stp/>
        <stp>BDP|2283553975594508166</stp>
        <tr r="AM46" s="3"/>
      </tp>
      <tp t="s">
        <v>#N/A N/A</v>
        <stp/>
        <stp>BDP|7701432394236630972</stp>
        <tr r="BL25" s="3"/>
      </tp>
      <tp t="s">
        <v>#N/A N/A</v>
        <stp/>
        <stp>BDP|1382429151366177305</stp>
        <tr r="AS58" s="3"/>
      </tp>
      <tp t="s">
        <v>#N/A N/A</v>
        <stp/>
        <stp>BDP|4146378941430491621</stp>
        <tr r="W67" s="3"/>
      </tp>
      <tp t="s">
        <v>#N/A N/A</v>
        <stp/>
        <stp>BDP|4557203222057990686</stp>
        <tr r="V16" s="3"/>
      </tp>
      <tp t="s">
        <v>#N/A N/A</v>
        <stp/>
        <stp>BDP|5383923104331335801</stp>
        <tr r="V37" s="3"/>
      </tp>
      <tp t="s">
        <v>#N/A N/A</v>
        <stp/>
        <stp>BDP|9225962377866124440</stp>
        <tr r="AG62" s="3"/>
      </tp>
      <tp t="s">
        <v>#N/A N/A</v>
        <stp/>
        <stp>BDP|3856534721688896940</stp>
        <tr r="X27" s="3"/>
      </tp>
      <tp t="s">
        <v>#N/A N/A</v>
        <stp/>
        <stp>BDP|6508344639442673189</stp>
        <tr r="AQ28" s="3"/>
      </tp>
      <tp t="s">
        <v>#N/A N/A</v>
        <stp/>
        <stp>BDP|7525504364719511821</stp>
        <tr r="W68" s="3"/>
      </tp>
      <tp t="s">
        <v>#N/A N/A</v>
        <stp/>
        <stp>BDP|7562921569669992419</stp>
        <tr r="W58" s="3"/>
      </tp>
      <tp t="s">
        <v>#N/A N/A</v>
        <stp/>
        <stp>BDP|2211605509889463898</stp>
        <tr r="BK46" s="3"/>
      </tp>
      <tp t="s">
        <v>#N/A N/A</v>
        <stp/>
        <stp>BDP|1053202843195380775</stp>
        <tr r="BA21" s="3"/>
      </tp>
      <tp t="s">
        <v>#N/A N/A</v>
        <stp/>
        <stp>BDP|4504270153853129571</stp>
        <tr r="U37" s="3"/>
      </tp>
      <tp t="s">
        <v>#N/A N/A</v>
        <stp/>
        <stp>BDP|9385807302076392257</stp>
        <tr r="AO19" s="3"/>
      </tp>
      <tp t="s">
        <v>#N/A N/A</v>
        <stp/>
        <stp>BDP|5762797614371958742</stp>
        <tr r="AX67" s="3"/>
      </tp>
      <tp t="s">
        <v>#N/A N/A</v>
        <stp/>
        <stp>BDP|9945880782689146551</stp>
        <tr r="AS30" s="3"/>
      </tp>
      <tp t="s">
        <v>#N/A N/A</v>
        <stp/>
        <stp>BDP|7269122445933728465</stp>
        <tr r="AF50" s="3"/>
      </tp>
      <tp t="s">
        <v>#N/A N/A</v>
        <stp/>
        <stp>BDP|8760530091656878796</stp>
        <tr r="BK24" s="3"/>
      </tp>
      <tp t="s">
        <v>#N/A N/A</v>
        <stp/>
        <stp>BDP|6689885247847524882</stp>
        <tr r="BJ16" s="3"/>
      </tp>
      <tp t="s">
        <v>#N/A N/A</v>
        <stp/>
        <stp>BDP|1496236639357853230</stp>
        <tr r="W16" s="3"/>
      </tp>
      <tp t="s">
        <v>#N/A N/A</v>
        <stp/>
        <stp>BDP|4129248833126316606</stp>
        <tr r="BC34" s="3"/>
      </tp>
      <tp t="s">
        <v>#N/A N/A</v>
        <stp/>
        <stp>BDP|6524003011681649373</stp>
        <tr r="Y47" s="3"/>
      </tp>
      <tp t="s">
        <v>#N/A N/A</v>
        <stp/>
        <stp>BDP|5295978375077078955</stp>
        <tr r="AL41" s="3"/>
      </tp>
      <tp t="s">
        <v>#N/A N/A</v>
        <stp/>
        <stp>BDP|5444127274566724006</stp>
        <tr r="BM36" s="3"/>
      </tp>
      <tp t="s">
        <v>#N/A N/A</v>
        <stp/>
        <stp>BDP|3003476445794152263</stp>
        <tr r="AS41" s="3"/>
      </tp>
      <tp t="s">
        <v>#N/A N/A</v>
        <stp/>
        <stp>BDP|4457952111651271870</stp>
        <tr r="BK59" s="3"/>
      </tp>
      <tp t="s">
        <v>#N/A N/A</v>
        <stp/>
        <stp>BDP|7973501236974484319</stp>
        <tr r="Y38" s="3"/>
      </tp>
      <tp t="s">
        <v>#N/A N/A</v>
        <stp/>
        <stp>BDP|5281729571644228794</stp>
        <tr r="AP38" s="3"/>
      </tp>
      <tp t="s">
        <v>#N/A N/A</v>
        <stp/>
        <stp>BDP|4154174675326929203</stp>
        <tr r="BP42" s="3"/>
      </tp>
      <tp t="s">
        <v>#N/A N/A</v>
        <stp/>
        <stp>BDP|7763415947473905222</stp>
        <tr r="BK23" s="3"/>
      </tp>
      <tp t="s">
        <v>#N/A N/A</v>
        <stp/>
        <stp>BDP|4801744918936883263</stp>
        <tr r="BP67" s="3"/>
      </tp>
      <tp t="s">
        <v>#N/A N/A</v>
        <stp/>
        <stp>BDP|7726790258055885653</stp>
        <tr r="AE25" s="3"/>
      </tp>
      <tp t="s">
        <v>#N/A N/A</v>
        <stp/>
        <stp>BDP|6747683056103693045</stp>
        <tr r="BN66" s="3"/>
      </tp>
      <tp t="s">
        <v>#N/A N/A</v>
        <stp/>
        <stp>BDP|2434204069894322451</stp>
        <tr r="BP21" s="3"/>
      </tp>
      <tp t="s">
        <v>#N/A N/A</v>
        <stp/>
        <stp>BDP|6136787760216700759</stp>
        <tr r="BH63" s="3"/>
      </tp>
      <tp t="s">
        <v>#N/A N/A</v>
        <stp/>
        <stp>BDP|6633586647631772057</stp>
        <tr r="Y50" s="3"/>
      </tp>
      <tp t="s">
        <v>#N/A N/A</v>
        <stp/>
        <stp>BDP|5229596928150839403</stp>
        <tr r="Z46" s="3"/>
      </tp>
      <tp t="s">
        <v>#N/A N/A</v>
        <stp/>
        <stp>BDP|7429237647400846730</stp>
        <tr r="AG65" s="3"/>
      </tp>
      <tp t="s">
        <v>#N/A N/A</v>
        <stp/>
        <stp>BDP|9202480385485763636</stp>
        <tr r="AJ65" s="3"/>
      </tp>
      <tp t="s">
        <v>#N/A N/A</v>
        <stp/>
        <stp>BDP|9808987409301587745</stp>
        <tr r="AK52" s="3"/>
      </tp>
      <tp t="s">
        <v>#N/A N/A</v>
        <stp/>
        <stp>BDP|6422870984397993760</stp>
        <tr r="AE37" s="3"/>
      </tp>
      <tp t="s">
        <v>#N/A N/A</v>
        <stp/>
        <stp>BDP|1554789602413615312</stp>
        <tr r="AP30" s="3"/>
      </tp>
      <tp t="s">
        <v>#N/A N/A</v>
        <stp/>
        <stp>BDP|5214079521185866445</stp>
        <tr r="BH38" s="3"/>
      </tp>
      <tp t="s">
        <v>#N/A N/A</v>
        <stp/>
        <stp>BDP|2658010014597994228</stp>
        <tr r="X43" s="3"/>
      </tp>
      <tp t="s">
        <v>#N/A N/A</v>
        <stp/>
        <stp>BDP|4528750150432157290</stp>
        <tr r="AL43" s="3"/>
      </tp>
      <tp t="s">
        <v>#N/A N/A</v>
        <stp/>
        <stp>BDP|6012915198147424752</stp>
        <tr r="AS46" s="3"/>
      </tp>
      <tp t="s">
        <v>#N/A N/A</v>
        <stp/>
        <stp>BDP|6759275765665909140</stp>
        <tr r="BB57" s="3"/>
      </tp>
      <tp t="s">
        <v>#N/A N/A</v>
        <stp/>
        <stp>BDP|4176719055156334687</stp>
        <tr r="BH35" s="3"/>
      </tp>
      <tp t="s">
        <v>#N/A N/A</v>
        <stp/>
        <stp>BDP|4298086213101746201</stp>
        <tr r="AS67" s="3"/>
      </tp>
      <tp t="s">
        <v>#N/A N/A</v>
        <stp/>
        <stp>BDP|2303188652699214955</stp>
        <tr r="V22" s="3"/>
      </tp>
      <tp t="s">
        <v>#N/A N/A</v>
        <stp/>
        <stp>BDP|3468368033004602194</stp>
        <tr r="BA61" s="3"/>
      </tp>
      <tp t="s">
        <v>#N/A N/A</v>
        <stp/>
        <stp>BDP|2922474301967964789</stp>
        <tr r="AE33" s="3"/>
      </tp>
      <tp t="s">
        <v>#N/A N/A</v>
        <stp/>
        <stp>BDP|5664781981708069414</stp>
        <tr r="BQ42" s="3"/>
      </tp>
      <tp t="s">
        <v>#N/A N/A</v>
        <stp/>
        <stp>BDP|1225384010946455313</stp>
        <tr r="AF26" s="3"/>
      </tp>
      <tp t="s">
        <v>#N/A N/A</v>
        <stp/>
        <stp>BDP|5396254545074939155</stp>
        <tr r="AS33" s="3"/>
      </tp>
      <tp t="s">
        <v>#N/A N/A</v>
        <stp/>
        <stp>BDP|4659791555756687637</stp>
        <tr r="AL20" s="3"/>
      </tp>
      <tp t="s">
        <v>#N/A N/A</v>
        <stp/>
        <stp>BDP|4693972296494975616</stp>
        <tr r="AO39" s="3"/>
      </tp>
      <tp t="s">
        <v>#N/A N/A</v>
        <stp/>
        <stp>BDP|6860918984424782553</stp>
        <tr r="BM68" s="3"/>
      </tp>
      <tp t="s">
        <v>#N/A N/A</v>
        <stp/>
        <stp>BDP|1006251018795046121</stp>
        <tr r="BC59" s="3"/>
      </tp>
      <tp t="s">
        <v>#N/A N/A</v>
        <stp/>
        <stp>BDP|2041666936064763583</stp>
        <tr r="BC50" s="3"/>
      </tp>
      <tp t="s">
        <v>#N/A N/A</v>
        <stp/>
        <stp>BDP|5039691542980648129</stp>
        <tr r="AP45" s="3"/>
      </tp>
      <tp t="s">
        <v>#N/A N/A</v>
        <stp/>
        <stp>BDP|1183163748634213617</stp>
        <tr r="BL44" s="3"/>
      </tp>
      <tp t="s">
        <v>#N/A N/A</v>
        <stp/>
        <stp>BDP|7052760571067389686</stp>
        <tr r="BG29" s="3"/>
      </tp>
      <tp t="s">
        <v>#N/A N/A</v>
        <stp/>
        <stp>BDP|1774093570511641148</stp>
        <tr r="BM69" s="3"/>
      </tp>
      <tp t="s">
        <v>#N/A N/A</v>
        <stp/>
        <stp>BDP|4137202173415983271</stp>
        <tr r="AL16" s="3"/>
      </tp>
      <tp t="s">
        <v>#N/A N/A</v>
        <stp/>
        <stp>BDP|5071096321215563410</stp>
        <tr r="BM24" s="3"/>
      </tp>
      <tp t="s">
        <v>#N/A N/A</v>
        <stp/>
        <stp>BDP|3349561945450431484</stp>
        <tr r="AE30" s="3"/>
      </tp>
      <tp t="s">
        <v>#N/A N/A</v>
        <stp/>
        <stp>BDP|5599917949686816881</stp>
        <tr r="BB19" s="3"/>
      </tp>
      <tp t="s">
        <v>#N/A N/A</v>
        <stp/>
        <stp>BDP|7740996920413447979</stp>
        <tr r="AF44" s="3"/>
      </tp>
      <tp t="s">
        <v>#N/A N/A</v>
        <stp/>
        <stp>BDP|6564263629959050974</stp>
        <tr r="BM56" s="3"/>
      </tp>
      <tp t="s">
        <v>#N/A N/A</v>
        <stp/>
        <stp>BDP|8365182491923755504</stp>
        <tr r="AZ40" s="3"/>
      </tp>
      <tp t="s">
        <v>#N/A N/A</v>
        <stp/>
        <stp>BDP|4588153158156253070</stp>
        <tr r="AL25" s="3"/>
      </tp>
      <tp t="s">
        <v>#N/A N/A</v>
        <stp/>
        <stp>BDP|5358164088268114213</stp>
        <tr r="V49" s="3"/>
      </tp>
      <tp t="s">
        <v>#N/A N/A</v>
        <stp/>
        <stp>BDP|4353565703686213194</stp>
        <tr r="AW28" s="3"/>
      </tp>
      <tp t="s">
        <v>#N/A N/A</v>
        <stp/>
        <stp>BDP|9929107864229780178</stp>
        <tr r="BG37" s="3"/>
      </tp>
      <tp t="s">
        <v>#N/A N/A</v>
        <stp/>
        <stp>BDP|3082770312004978719</stp>
        <tr r="BC68" s="3"/>
      </tp>
      <tp t="s">
        <v>#N/A N/A</v>
        <stp/>
        <stp>BDP|7619247013941287316</stp>
        <tr r="AR18" s="3"/>
      </tp>
      <tp t="s">
        <v>#N/A N/A</v>
        <stp/>
        <stp>BDP|4050475802644218255</stp>
        <tr r="AQ33" s="3"/>
      </tp>
      <tp t="s">
        <v>#N/A N/A</v>
        <stp/>
        <stp>BDP|2956151298105702917</stp>
        <tr r="BQ46" s="3"/>
      </tp>
      <tp t="s">
        <v>#N/A N/A</v>
        <stp/>
        <stp>BDP|9784345032339189621</stp>
        <tr r="AZ25" s="3"/>
      </tp>
      <tp t="s">
        <v>#N/A N/A</v>
        <stp/>
        <stp>BDP|8046905575026209656</stp>
        <tr r="AE63" s="3"/>
      </tp>
      <tp t="s">
        <v>#N/A N/A</v>
        <stp/>
        <stp>BDP|8633289814308915500</stp>
        <tr r="BD52" s="3"/>
      </tp>
      <tp t="s">
        <v>#N/A N/A</v>
        <stp/>
        <stp>BDP|6472181539946309454</stp>
        <tr r="BJ27" s="3"/>
      </tp>
      <tp t="s">
        <v>#N/A N/A</v>
        <stp/>
        <stp>BDP|2154327323786065339</stp>
        <tr r="AO57" s="3"/>
      </tp>
      <tp t="s">
        <v>#N/A N/A</v>
        <stp/>
        <stp>BDP|2552713846440661776</stp>
        <tr r="BC53" s="3"/>
      </tp>
      <tp t="s">
        <v>#N/A N/A</v>
        <stp/>
        <stp>BDP|8020803212541239633</stp>
        <tr r="AH21" s="3"/>
      </tp>
      <tp t="s">
        <v>#N/A N/A</v>
        <stp/>
        <stp>BDP|8002639132613718859</stp>
        <tr r="AW54" s="3"/>
      </tp>
      <tp t="s">
        <v>#N/A N/A</v>
        <stp/>
        <stp>BDP|7407954150994361925</stp>
        <tr r="AW30" s="3"/>
      </tp>
      <tp t="s">
        <v>#N/A N/A</v>
        <stp/>
        <stp>BDP|4529800202438369247</stp>
        <tr r="BE45" s="3"/>
      </tp>
      <tp t="s">
        <v>#N/A N/A</v>
        <stp/>
        <stp>BDP|7123968577206035910</stp>
        <tr r="AQ18" s="3"/>
      </tp>
      <tp t="s">
        <v>#N/A N/A</v>
        <stp/>
        <stp>BDP|9623232360719708238</stp>
        <tr r="V43" s="3"/>
      </tp>
      <tp t="s">
        <v>#N/A N/A</v>
        <stp/>
        <stp>BDP|7100817286372331347</stp>
        <tr r="BB17" s="3"/>
      </tp>
      <tp t="s">
        <v>#N/A N/A</v>
        <stp/>
        <stp>BDP|2146417685139430102</stp>
        <tr r="BO40" s="3"/>
      </tp>
      <tp t="s">
        <v>#N/A N/A</v>
        <stp/>
        <stp>BDP|3877413449493767663</stp>
        <tr r="AH24" s="3"/>
      </tp>
      <tp t="s">
        <v>#N/A N/A</v>
        <stp/>
        <stp>BDP|8441851639032874715</stp>
        <tr r="AL19" s="3"/>
      </tp>
      <tp t="s">
        <v>#N/A N/A</v>
        <stp/>
        <stp>BDP|6781994003629859049</stp>
        <tr r="AP43" s="3"/>
      </tp>
      <tp t="s">
        <v>#N/A N/A</v>
        <stp/>
        <stp>BDP|2029646113220547349</stp>
        <tr r="AG28" s="3"/>
      </tp>
      <tp t="s">
        <v>#N/A N/A</v>
        <stp/>
        <stp>BDP|2844538211502872244</stp>
        <tr r="AS28" s="3"/>
      </tp>
      <tp t="s">
        <v>#N/A N/A</v>
        <stp/>
        <stp>BDP|1297418688829863253</stp>
        <tr r="AT33" s="3"/>
      </tp>
      <tp t="s">
        <v>#N/A N/A</v>
        <stp/>
        <stp>BDP|4241815772888348548</stp>
        <tr r="AT45" s="3"/>
      </tp>
      <tp t="s">
        <v>#N/A N/A</v>
        <stp/>
        <stp>BDP|1065595871433647686</stp>
        <tr r="AO50" s="3"/>
      </tp>
      <tp t="s">
        <v>#N/A N/A</v>
        <stp/>
        <stp>BDP|8121676821262319821</stp>
        <tr r="AQ36" s="3"/>
      </tp>
      <tp t="s">
        <v>#N/A N/A</v>
        <stp/>
        <stp>BDP|7440049467201470643</stp>
        <tr r="AP37" s="3"/>
      </tp>
      <tp t="s">
        <v>#N/A N/A</v>
        <stp/>
        <stp>BDP|8046036697366502163</stp>
        <tr r="BN27" s="3"/>
      </tp>
      <tp t="s">
        <v>#N/A N/A</v>
        <stp/>
        <stp>BDP|7409475624863567459</stp>
        <tr r="AE18" s="3"/>
      </tp>
      <tp t="s">
        <v>#N/A N/A</v>
        <stp/>
        <stp>BDP|7306748957702036178</stp>
        <tr r="AC56" s="3"/>
      </tp>
      <tp t="s">
        <v>#N/A N/A</v>
        <stp/>
        <stp>BDP|3972436684551388895</stp>
        <tr r="BJ31" s="3"/>
      </tp>
      <tp t="s">
        <v>#N/A N/A</v>
        <stp/>
        <stp>BDP|3488424816784043440</stp>
        <tr r="AM50" s="3"/>
      </tp>
      <tp t="s">
        <v>#N/A N/A</v>
        <stp/>
        <stp>BDP|5244402785496038931</stp>
        <tr r="AR62" s="3"/>
      </tp>
      <tp t="s">
        <v>#N/A N/A</v>
        <stp/>
        <stp>BDP|5424816953948419669</stp>
        <tr r="AM45" s="3"/>
      </tp>
      <tp t="s">
        <v>#N/A N/A</v>
        <stp/>
        <stp>BDP|9040815352267735514</stp>
        <tr r="AZ42" s="3"/>
      </tp>
      <tp t="s">
        <v>#N/A N/A</v>
        <stp/>
        <stp>BDP|4154212801319532910</stp>
        <tr r="BB51" s="3"/>
      </tp>
      <tp t="s">
        <v>#N/A N/A</v>
        <stp/>
        <stp>BDP|2684782382873349954</stp>
        <tr r="AN45" s="3"/>
      </tp>
      <tp t="s">
        <v>#N/A N/A</v>
        <stp/>
        <stp>BDP|8979683885724819565</stp>
        <tr r="AT54" s="3"/>
      </tp>
      <tp t="s">
        <v>#N/A N/A</v>
        <stp/>
        <stp>BDP|4394402735182473696</stp>
        <tr r="AH57" s="3"/>
      </tp>
      <tp t="s">
        <v>#N/A N/A</v>
        <stp/>
        <stp>BDP|1683497952055338259</stp>
        <tr r="BQ58" s="3"/>
      </tp>
      <tp t="s">
        <v>#N/A N/A</v>
        <stp/>
        <stp>BDP|1498792003790069163</stp>
        <tr r="AA37" s="3"/>
      </tp>
      <tp t="s">
        <v>#N/A N/A</v>
        <stp/>
        <stp>BDP|5113126946905992249</stp>
        <tr r="AY45" s="3"/>
      </tp>
      <tp t="s">
        <v>#N/A N/A</v>
        <stp/>
        <stp>BDP|2449420908801239041</stp>
        <tr r="AA36" s="3"/>
      </tp>
      <tp t="s">
        <v>#N/A N/A</v>
        <stp/>
        <stp>BDP|3986114802875038023</stp>
        <tr r="AY48" s="3"/>
      </tp>
      <tp t="s">
        <v>#N/A N/A</v>
        <stp/>
        <stp>BDP|7654193048367763284</stp>
        <tr r="AY61" s="3"/>
      </tp>
      <tp t="s">
        <v>#N/A N/A</v>
        <stp/>
        <stp>BDP|9915937127262267769</stp>
        <tr r="U43" s="3"/>
      </tp>
      <tp t="s">
        <v>#N/A N/A</v>
        <stp/>
        <stp>BDP|3649498132987301479</stp>
        <tr r="AR32" s="3"/>
      </tp>
      <tp t="s">
        <v>#N/A N/A</v>
        <stp/>
        <stp>BDP|5268796758716391692</stp>
        <tr r="AJ61" s="3"/>
      </tp>
      <tp t="s">
        <v>#N/A N/A</v>
        <stp/>
        <stp>BDP|4271860708038403318</stp>
        <tr r="BP44" s="3"/>
      </tp>
      <tp t="s">
        <v>#N/A N/A</v>
        <stp/>
        <stp>BDP|7020494843784290417</stp>
        <tr r="AH29" s="3"/>
      </tp>
      <tp t="s">
        <v>#N/A N/A</v>
        <stp/>
        <stp>BDP|7875430651945325403</stp>
        <tr r="AJ64" s="3"/>
      </tp>
      <tp t="s">
        <v>#N/A N/A</v>
        <stp/>
        <stp>BDP|1979559704580563335</stp>
        <tr r="AS20" s="3"/>
      </tp>
      <tp t="s">
        <v>#N/A N/A</v>
        <stp/>
        <stp>BDP|7858229750132765533</stp>
        <tr r="AM62" s="3"/>
      </tp>
      <tp t="s">
        <v>#N/A N/A</v>
        <stp/>
        <stp>BDP|8302752199965627474</stp>
        <tr r="BI20" s="3"/>
      </tp>
      <tp t="s">
        <v>#N/A N/A</v>
        <stp/>
        <stp>BDP|6260439650424791481</stp>
        <tr r="AU15" s="3"/>
      </tp>
      <tp t="s">
        <v>#N/A N/A</v>
        <stp/>
        <stp>BDP|4502336494888985155</stp>
        <tr r="U59" s="3"/>
      </tp>
      <tp t="s">
        <v>#N/A N/A</v>
        <stp/>
        <stp>BDP|4881435213076500038</stp>
        <tr r="BA27" s="3"/>
      </tp>
      <tp t="s">
        <v>#N/A N/A</v>
        <stp/>
        <stp>BDP|7862564633913762557</stp>
        <tr r="AR61" s="3"/>
      </tp>
      <tp t="s">
        <v>#N/A N/A</v>
        <stp/>
        <stp>BDP|1049629316482232390</stp>
        <tr r="AP47" s="3"/>
      </tp>
      <tp t="s">
        <v>#N/A N/A</v>
        <stp/>
        <stp>BDP|1923281012295947054</stp>
        <tr r="X53" s="3"/>
      </tp>
      <tp t="s">
        <v>#N/A N/A</v>
        <stp/>
        <stp>BDP|6013523857751276087</stp>
        <tr r="BG51" s="3"/>
      </tp>
      <tp t="s">
        <v>#N/A N/A</v>
        <stp/>
        <stp>BDP|8871016495296704044</stp>
        <tr r="BL23" s="3"/>
      </tp>
      <tp t="s">
        <v>#N/A N/A</v>
        <stp/>
        <stp>BDP|7164046056584555197</stp>
        <tr r="AD20" s="3"/>
      </tp>
      <tp t="s">
        <v>#N/A N/A</v>
        <stp/>
        <stp>BDP|4567381267683789511</stp>
        <tr r="BP48" s="3"/>
      </tp>
      <tp t="s">
        <v>#N/A N/A</v>
        <stp/>
        <stp>BDP|2838550436552798107</stp>
        <tr r="BJ53" s="3"/>
      </tp>
      <tp t="s">
        <v>#N/A N/A</v>
        <stp/>
        <stp>BDP|4114198676596498368</stp>
        <tr r="AD22" s="3"/>
      </tp>
      <tp t="s">
        <v>#N/A N/A</v>
        <stp/>
        <stp>BDP|6506260225060890126</stp>
        <tr r="AG42" s="3"/>
      </tp>
      <tp t="s">
        <v>#N/A N/A</v>
        <stp/>
        <stp>BDP|6937206773782251648</stp>
        <tr r="BH64" s="3"/>
      </tp>
      <tp t="s">
        <v>#N/A N/A</v>
        <stp/>
        <stp>BDP|6517212353285829330</stp>
        <tr r="AW59" s="3"/>
      </tp>
      <tp t="s">
        <v>#N/A N/A</v>
        <stp/>
        <stp>BDP|2620502007415474597</stp>
        <tr r="Y69" s="3"/>
      </tp>
      <tp t="s">
        <v>#N/A N/A</v>
        <stp/>
        <stp>BDP|8935090470720970857</stp>
        <tr r="AV21" s="3"/>
      </tp>
      <tp t="s">
        <v>#N/A N/A</v>
        <stp/>
        <stp>BDP|5289534131077975340</stp>
        <tr r="AQ62" s="3"/>
      </tp>
      <tp t="s">
        <v>#N/A N/A</v>
        <stp/>
        <stp>BDP|9551865241905954766</stp>
        <tr r="BG50" s="3"/>
      </tp>
      <tp t="s">
        <v>#N/A N/A</v>
        <stp/>
        <stp>BDP|1711923413108885631</stp>
        <tr r="Z66" s="3"/>
      </tp>
      <tp t="s">
        <v>#N/A N/A</v>
        <stp/>
        <stp>BDP|4247000545865317291</stp>
        <tr r="AY44" s="3"/>
      </tp>
      <tp t="s">
        <v>#N/A N/A</v>
        <stp/>
        <stp>BDP|3072523874451379784</stp>
        <tr r="BQ48" s="3"/>
      </tp>
      <tp t="s">
        <v>#N/A N/A</v>
        <stp/>
        <stp>BDP|3861698438827027641</stp>
        <tr r="AC44" s="3"/>
      </tp>
      <tp t="s">
        <v>#N/A N/A</v>
        <stp/>
        <stp>BDP|4139295276101289718</stp>
        <tr r="AZ44" s="3"/>
      </tp>
      <tp t="s">
        <v>#N/A N/A</v>
        <stp/>
        <stp>BDP|1773062849614443610</stp>
        <tr r="AT26" s="3"/>
      </tp>
      <tp t="s">
        <v>#N/A N/A</v>
        <stp/>
        <stp>BDP|7941022767572909479</stp>
        <tr r="BO64" s="3"/>
      </tp>
      <tp t="s">
        <v>#N/A N/A</v>
        <stp/>
        <stp>BDP|9272365002379427403</stp>
        <tr r="AU66" s="3"/>
      </tp>
      <tp t="s">
        <v>#N/A N/A</v>
        <stp/>
        <stp>BDP|4044300852055605064</stp>
        <tr r="Z51" s="3"/>
      </tp>
      <tp t="s">
        <v>#N/A N/A</v>
        <stp/>
        <stp>BDP|2371119235563290471</stp>
        <tr r="AG31" s="3"/>
      </tp>
      <tp t="s">
        <v>#N/A N/A</v>
        <stp/>
        <stp>BDP|9410804754344750750</stp>
        <tr r="AT59" s="3"/>
      </tp>
      <tp t="s">
        <v>#N/A N/A</v>
        <stp/>
        <stp>BDP|1375145132372701603</stp>
        <tr r="Y40" s="3"/>
      </tp>
      <tp t="s">
        <v>#N/A N/A</v>
        <stp/>
        <stp>BDP|9025252504605002931</stp>
        <tr r="AL27" s="3"/>
      </tp>
      <tp t="s">
        <v>#N/A N/A</v>
        <stp/>
        <stp>BDP|8541079786422038574</stp>
        <tr r="BH22" s="3"/>
      </tp>
      <tp t="s">
        <v>#N/A N/A</v>
        <stp/>
        <stp>BDP|7861891182405539550</stp>
        <tr r="BE34" s="3"/>
      </tp>
      <tp t="s">
        <v>#N/A N/A</v>
        <stp/>
        <stp>BDP|3732142658520828003</stp>
        <tr r="AU53" s="3"/>
      </tp>
      <tp t="s">
        <v>#N/A N/A</v>
        <stp/>
        <stp>BDP|3762286538130176552</stp>
        <tr r="AB21" s="3"/>
      </tp>
      <tp t="s">
        <v>#N/A N/A</v>
        <stp/>
        <stp>BDP|8637031071869291168</stp>
        <tr r="BJ52" s="3"/>
      </tp>
      <tp t="s">
        <v>#N/A N/A</v>
        <stp/>
        <stp>BDP|7135282679322477748</stp>
        <tr r="AT38" s="3"/>
      </tp>
      <tp t="s">
        <v>#N/A N/A</v>
        <stp/>
        <stp>BDP|5098714094439418516</stp>
        <tr r="BA41" s="3"/>
      </tp>
      <tp t="s">
        <v>#N/A N/A</v>
        <stp/>
        <stp>BDP|5866694571260138310</stp>
        <tr r="U20" s="3"/>
      </tp>
      <tp t="s">
        <v>#N/A N/A</v>
        <stp/>
        <stp>BDP|6336055261723505423</stp>
        <tr r="AC60" s="3"/>
      </tp>
      <tp t="s">
        <v>#N/A N/A</v>
        <stp/>
        <stp>BDP|5726863379478889509</stp>
        <tr r="AJ17" s="3"/>
      </tp>
      <tp t="s">
        <v>#N/A N/A</v>
        <stp/>
        <stp>BDP|6421349261485935199</stp>
        <tr r="AV65" s="3"/>
      </tp>
      <tp t="s">
        <v>#N/A N/A</v>
        <stp/>
        <stp>BDP|2997550758907019254</stp>
        <tr r="W24" s="3"/>
      </tp>
      <tp t="s">
        <v>#N/A N/A</v>
        <stp/>
        <stp>BDP|8731560964354674822</stp>
        <tr r="AH69" s="3"/>
      </tp>
      <tp t="s">
        <v>#N/A N/A</v>
        <stp/>
        <stp>BDP|7482701561920151152</stp>
        <tr r="AG40" s="3"/>
      </tp>
      <tp t="s">
        <v>#N/A N/A</v>
        <stp/>
        <stp>BDP|4193764286568572427</stp>
        <tr r="BH27" s="3"/>
      </tp>
      <tp t="s">
        <v>#N/A N/A</v>
        <stp/>
        <stp>BDP|3160428634594687778</stp>
        <tr r="BJ15" s="3"/>
      </tp>
      <tp t="s">
        <v>#N/A N/A</v>
        <stp/>
        <stp>BDP|3554152557682379226</stp>
        <tr r="BG40" s="3"/>
      </tp>
      <tp t="s">
        <v>#N/A N/A</v>
        <stp/>
        <stp>BDP|6067462901330157501</stp>
        <tr r="AM27" s="3"/>
      </tp>
      <tp t="s">
        <v>#N/A N/A</v>
        <stp/>
        <stp>BDP|3537316939493202796</stp>
        <tr r="AO52" s="3"/>
      </tp>
      <tp t="s">
        <v>#N/A N/A</v>
        <stp/>
        <stp>BDP|4153474616731760717</stp>
        <tr r="BC54" s="3"/>
      </tp>
      <tp t="s">
        <v>#N/A N/A</v>
        <stp/>
        <stp>BDP|5430279225771145306</stp>
        <tr r="W56" s="3"/>
      </tp>
      <tp t="s">
        <v>#N/A N/A</v>
        <stp/>
        <stp>BDP|7359749501074268334</stp>
        <tr r="AZ45" s="3"/>
      </tp>
      <tp t="s">
        <v>#N/A N/A</v>
        <stp/>
        <stp>BDP|2100419812754515401</stp>
        <tr r="BC51" s="3"/>
      </tp>
      <tp t="s">
        <v>#N/A N/A</v>
        <stp/>
        <stp>BDP|9860497784415347729</stp>
        <tr r="AQ23" s="3"/>
      </tp>
      <tp t="s">
        <v>#N/A N/A</v>
        <stp/>
        <stp>BDP|3961013708040779433</stp>
        <tr r="W38" s="3"/>
      </tp>
      <tp t="s">
        <v>#N/A N/A</v>
        <stp/>
        <stp>BDP|8898555457976676981</stp>
        <tr r="AK19" s="3"/>
      </tp>
      <tp t="s">
        <v>#N/A N/A</v>
        <stp/>
        <stp>BDP|6561276337915646563</stp>
        <tr r="X51" s="3"/>
      </tp>
      <tp t="s">
        <v>#N/A N/A</v>
        <stp/>
        <stp>BDP|8708975318680972745</stp>
        <tr r="AH22" s="3"/>
      </tp>
      <tp t="s">
        <v>#N/A N/A</v>
        <stp/>
        <stp>BDP|7400797142260803327</stp>
        <tr r="BP33" s="3"/>
      </tp>
      <tp t="s">
        <v>#N/A N/A</v>
        <stp/>
        <stp>BDP|2880529972467225709</stp>
        <tr r="AT27" s="3"/>
      </tp>
      <tp t="s">
        <v>#N/A N/A</v>
        <stp/>
        <stp>BDP|5905246912493254574</stp>
        <tr r="BI33" s="3"/>
      </tp>
      <tp t="s">
        <v>#N/A N/A</v>
        <stp/>
        <stp>BDP|5077687904925797613</stp>
        <tr r="AU41" s="3"/>
      </tp>
      <tp t="s">
        <v>#N/A N/A</v>
        <stp/>
        <stp>BDP|6500602207365128591</stp>
        <tr r="AD35" s="3"/>
      </tp>
      <tp t="s">
        <v>#N/A N/A</v>
        <stp/>
        <stp>BDP|4635387257895508769</stp>
        <tr r="AX40" s="3"/>
      </tp>
      <tp t="s">
        <v>#N/A N/A</v>
        <stp/>
        <stp>BDP|2032663365662044096</stp>
        <tr r="BL52" s="3"/>
      </tp>
      <tp t="s">
        <v>#N/A N/A</v>
        <stp/>
        <stp>BDP|6558782958344649096</stp>
        <tr r="BC22" s="3"/>
      </tp>
      <tp t="s">
        <v>#N/A N/A</v>
        <stp/>
        <stp>BDP|1382416523306917137</stp>
        <tr r="AM48" s="3"/>
      </tp>
      <tp t="s">
        <v>#N/A N/A</v>
        <stp/>
        <stp>BDP|9278105348498795456</stp>
        <tr r="BO22" s="3"/>
      </tp>
      <tp t="s">
        <v>#N/A N/A</v>
        <stp/>
        <stp>BDP|5027802299954382028</stp>
        <tr r="AU62" s="3"/>
      </tp>
      <tp t="s">
        <v>#N/A N/A</v>
        <stp/>
        <stp>BDP|5693079819447514358</stp>
        <tr r="BK20" s="3"/>
      </tp>
      <tp t="s">
        <v>#N/A N/A</v>
        <stp/>
        <stp>BDP|3497047329816679772</stp>
        <tr r="BK21" s="3"/>
      </tp>
      <tp t="s">
        <v>#N/A N/A</v>
        <stp/>
        <stp>BDP|2843799666963740082</stp>
        <tr r="AP56" s="3"/>
      </tp>
      <tp t="s">
        <v>#N/A N/A</v>
        <stp/>
        <stp>BDP|4151408306524866460</stp>
        <tr r="AA54" s="3"/>
      </tp>
      <tp t="s">
        <v>#N/A N/A</v>
        <stp/>
        <stp>BDP|1374373645795889375</stp>
        <tr r="AB30" s="3"/>
      </tp>
      <tp t="s">
        <v>#N/A N/A</v>
        <stp/>
        <stp>BDP|6893097567314924411</stp>
        <tr r="AT63" s="3"/>
      </tp>
      <tp t="s">
        <v>#N/A N/A</v>
        <stp/>
        <stp>BDP|3806125105391004316</stp>
        <tr r="AO43" s="3"/>
      </tp>
      <tp t="s">
        <v>#N/A N/A</v>
        <stp/>
        <stp>BDP|1924856902781596859</stp>
        <tr r="AB51" s="3"/>
      </tp>
      <tp t="s">
        <v>#N/A N/A</v>
        <stp/>
        <stp>BDP|3189636455968173883</stp>
        <tr r="BJ61" s="3"/>
      </tp>
      <tp t="s">
        <v>#N/A N/A</v>
        <stp/>
        <stp>BDP|4358516056431932531</stp>
        <tr r="AW56" s="3"/>
      </tp>
      <tp t="s">
        <v>#N/A N/A</v>
        <stp/>
        <stp>BDP|5600991406519363545</stp>
        <tr r="BB65" s="3"/>
      </tp>
      <tp t="s">
        <v>#N/A N/A</v>
        <stp/>
        <stp>BDP|8982969628274801715</stp>
        <tr r="AJ66" s="3"/>
      </tp>
      <tp t="s">
        <v>#N/A N/A</v>
        <stp/>
        <stp>BDP|8358995545711198413</stp>
        <tr r="AK69" s="3"/>
      </tp>
      <tp t="s">
        <v>#N/A N/A</v>
        <stp/>
        <stp>BDP|9029388332421640837</stp>
        <tr r="AC33" s="3"/>
      </tp>
      <tp t="s">
        <v>#N/A N/A</v>
        <stp/>
        <stp>BDP|2430413057983559083</stp>
        <tr r="AR40" s="3"/>
      </tp>
      <tp t="s">
        <v>#N/A N/A</v>
        <stp/>
        <stp>BDP|5954709594492140932</stp>
        <tr r="BM54" s="3"/>
      </tp>
      <tp t="s">
        <v>#N/A N/A</v>
        <stp/>
        <stp>BDP|3371144257330729783</stp>
        <tr r="BM42" s="3"/>
      </tp>
      <tp t="s">
        <v>#N/A N/A</v>
        <stp/>
        <stp>BDP|1305406303080901565</stp>
        <tr r="AO38" s="3"/>
      </tp>
      <tp t="s">
        <v>#N/A N/A</v>
        <stp/>
        <stp>BDP|9614988879411002688</stp>
        <tr r="AS59" s="3"/>
      </tp>
      <tp t="s">
        <v>#N/A N/A</v>
        <stp/>
        <stp>BDP|4252794540205024247</stp>
        <tr r="BB21" s="3"/>
      </tp>
      <tp t="s">
        <v>#N/A N/A</v>
        <stp/>
        <stp>BDP|8992708868611875858</stp>
        <tr r="AW62" s="3"/>
      </tp>
      <tp t="s">
        <v>#N/A N/A</v>
        <stp/>
        <stp>BDP|4410078739742221546</stp>
        <tr r="AY15" s="3"/>
      </tp>
      <tp t="s">
        <v>#N/A N/A</v>
        <stp/>
        <stp>BDP|3882432046877257439</stp>
        <tr r="AC34" s="3"/>
      </tp>
      <tp t="s">
        <v>#N/A N/A</v>
        <stp/>
        <stp>BDP|1451327037727928646</stp>
        <tr r="AI42" s="3"/>
      </tp>
      <tp t="s">
        <v>#N/A N/A</v>
        <stp/>
        <stp>BDP|1253572131733062486</stp>
        <tr r="Z34" s="3"/>
      </tp>
      <tp t="s">
        <v>#N/A N/A</v>
        <stp/>
        <stp>BDP|3896328614681230006</stp>
        <tr r="AS36" s="3"/>
      </tp>
      <tp t="s">
        <v>#N/A N/A</v>
        <stp/>
        <stp>BDP|2853434094079663652</stp>
        <tr r="AO21" s="3"/>
      </tp>
      <tp t="s">
        <v>#N/A N/A</v>
        <stp/>
        <stp>BDP|3273130865792107688</stp>
        <tr r="BO69" s="3"/>
      </tp>
      <tp t="s">
        <v>#N/A N/A</v>
        <stp/>
        <stp>BDP|2793922083757943424</stp>
        <tr r="BC28" s="3"/>
      </tp>
      <tp t="s">
        <v>#N/A N/A</v>
        <stp/>
        <stp>BDP|8399777428358334520</stp>
        <tr r="AN55" s="3"/>
      </tp>
      <tp t="s">
        <v>#N/A N/A</v>
        <stp/>
        <stp>BDP|3859354553536742343</stp>
        <tr r="BL28" s="3"/>
      </tp>
      <tp t="s">
        <v>#N/A N/A</v>
        <stp/>
        <stp>BDP|6466472819586670513</stp>
        <tr r="BB45" s="3"/>
      </tp>
      <tp t="s">
        <v>#N/A N/A</v>
        <stp/>
        <stp>BDP|5717582139180904327</stp>
        <tr r="AW36" s="3"/>
      </tp>
      <tp t="s">
        <v>#N/A N/A</v>
        <stp/>
        <stp>BDP|1258131916597262683</stp>
        <tr r="AX63" s="3"/>
      </tp>
      <tp t="s">
        <v>#N/A N/A</v>
        <stp/>
        <stp>BDP|8604849544637513315</stp>
        <tr r="AW48" s="3"/>
      </tp>
      <tp t="s">
        <v>#N/A N/A</v>
        <stp/>
        <stp>BDP|4652729575003709746</stp>
        <tr r="AP17" s="3"/>
      </tp>
      <tp t="s">
        <v>#N/A N/A</v>
        <stp/>
        <stp>BDP|1175901312620120903</stp>
        <tr r="BP50" s="3"/>
      </tp>
      <tp t="s">
        <v>#N/A N/A</v>
        <stp/>
        <stp>BDP|5111746611032512133</stp>
        <tr r="AF48" s="3"/>
      </tp>
      <tp t="s">
        <v>#N/A N/A</v>
        <stp/>
        <stp>BDP|1601727258202792199</stp>
        <tr r="BD42" s="3"/>
      </tp>
      <tp t="s">
        <v>#N/A N/A</v>
        <stp/>
        <stp>BDP|4173073624552111414</stp>
        <tr r="BD36" s="3"/>
      </tp>
      <tp t="s">
        <v>#N/A N/A</v>
        <stp/>
        <stp>BDP|2794071730788425975</stp>
        <tr r="AG41" s="3"/>
      </tp>
      <tp t="s">
        <v>#N/A N/A</v>
        <stp/>
        <stp>BDP|5441077594974700831</stp>
        <tr r="BK61" s="3"/>
      </tp>
      <tp t="s">
        <v>#N/A N/A</v>
        <stp/>
        <stp>BDP|5488974260228274222</stp>
        <tr r="AB67" s="3"/>
      </tp>
      <tp t="s">
        <v>#N/A N/A</v>
        <stp/>
        <stp>BDP|1957319923333927316</stp>
        <tr r="V25" s="3"/>
      </tp>
      <tp t="s">
        <v>#N/A N/A</v>
        <stp/>
        <stp>BDP|9257171929919752387</stp>
        <tr r="AK28" s="3"/>
      </tp>
      <tp t="s">
        <v>#N/A N/A</v>
        <stp/>
        <stp>BDP|5001983847780438888</stp>
        <tr r="AB43" s="3"/>
      </tp>
      <tp t="s">
        <v>#N/A N/A</v>
        <stp/>
        <stp>BDP|8557954042687509249</stp>
        <tr r="AZ19" s="3"/>
      </tp>
      <tp t="s">
        <v>#N/A N/A</v>
        <stp/>
        <stp>BDP|3244204810011203131</stp>
        <tr r="AD48" s="3"/>
      </tp>
      <tp t="s">
        <v>#N/A N/A</v>
        <stp/>
        <stp>BDP|7656379677763134048</stp>
        <tr r="BJ64" s="3"/>
      </tp>
      <tp t="s">
        <v>#N/A N/A</v>
        <stp/>
        <stp>BDP|2378626364837495527</stp>
        <tr r="BL42" s="3"/>
      </tp>
      <tp t="s">
        <v>#N/A N/A</v>
        <stp/>
        <stp>BDP|8806749203549903664</stp>
        <tr r="U45" s="3"/>
      </tp>
      <tp t="s">
        <v>#N/A N/A</v>
        <stp/>
        <stp>BDP|1250907575859332642</stp>
        <tr r="BH51" s="3"/>
      </tp>
      <tp t="s">
        <v>#N/A N/A</v>
        <stp/>
        <stp>BDP|8841883185699522109</stp>
        <tr r="AN37" s="3"/>
      </tp>
      <tp t="s">
        <v>#N/A N/A</v>
        <stp/>
        <stp>BDP|9501838435686556461</stp>
        <tr r="BQ36" s="3"/>
      </tp>
      <tp t="s">
        <v>#N/A N/A</v>
        <stp/>
        <stp>BDP|6111452919514463791</stp>
        <tr r="AH16" s="3"/>
      </tp>
      <tp t="s">
        <v>#N/A N/A</v>
        <stp/>
        <stp>BDP|1653825962196704911</stp>
        <tr r="AT30" s="3"/>
      </tp>
      <tp t="s">
        <v>#N/A N/A</v>
        <stp/>
        <stp>BDP|6726957653972169813</stp>
        <tr r="AE23" s="3"/>
      </tp>
      <tp t="s">
        <v>#N/A N/A</v>
        <stp/>
        <stp>BDP|2147201956504218149</stp>
        <tr r="AD63" s="3"/>
      </tp>
      <tp t="s">
        <v>#N/A N/A</v>
        <stp/>
        <stp>BDP|5547011237445029328</stp>
        <tr r="BH47" s="3"/>
      </tp>
      <tp t="s">
        <v>#N/A N/A</v>
        <stp/>
        <stp>BDP|3321684038121129738</stp>
        <tr r="BO50" s="3"/>
      </tp>
      <tp t="s">
        <v>#N/A N/A</v>
        <stp/>
        <stp>BDP|8807686987280684602</stp>
        <tr r="Y34" s="3"/>
      </tp>
      <tp t="s">
        <v>#N/A N/A</v>
        <stp/>
        <stp>BDP|6150560402086023547</stp>
        <tr r="BD46" s="3"/>
      </tp>
      <tp t="s">
        <v>#N/A N/A</v>
        <stp/>
        <stp>BDP|4507972605738549533</stp>
        <tr r="AF52" s="3"/>
      </tp>
      <tp t="s">
        <v>#N/A N/A</v>
        <stp/>
        <stp>BDP|1824435665910883373</stp>
        <tr r="AO20" s="3"/>
      </tp>
      <tp t="s">
        <v>#N/A N/A</v>
        <stp/>
        <stp>BDP|8248002681596063622</stp>
        <tr r="X58" s="3"/>
      </tp>
      <tp t="s">
        <v>#N/A N/A</v>
        <stp/>
        <stp>BDP|1854378009196146416</stp>
        <tr r="AJ53" s="3"/>
      </tp>
      <tp t="s">
        <v>#N/A N/A</v>
        <stp/>
        <stp>BDP|5069626016442009024</stp>
        <tr r="AP64" s="3"/>
      </tp>
      <tp t="s">
        <v>#N/A N/A</v>
        <stp/>
        <stp>BDP|6281720341905176066</stp>
        <tr r="BI41" s="3"/>
      </tp>
      <tp t="s">
        <v>#N/A N/A</v>
        <stp/>
        <stp>BDP|1389664777623093343</stp>
        <tr r="AA19" s="3"/>
      </tp>
      <tp t="s">
        <v>#N/A N/A</v>
        <stp/>
        <stp>BDP|8384835378134630394</stp>
        <tr r="AR24" s="3"/>
      </tp>
      <tp t="s">
        <v>#N/A N/A</v>
        <stp/>
        <stp>BDP|5723327412965948292</stp>
        <tr r="BI18" s="3"/>
      </tp>
      <tp t="s">
        <v>#N/A N/A</v>
        <stp/>
        <stp>BDP|9261352322730296806</stp>
        <tr r="AM20" s="3"/>
      </tp>
      <tp t="s">
        <v>#N/A N/A</v>
        <stp/>
        <stp>BDP|1085642110014559261</stp>
        <tr r="BG16" s="3"/>
      </tp>
      <tp t="s">
        <v>#N/A N/A</v>
        <stp/>
        <stp>BDP|9093129440139001557</stp>
        <tr r="AR67" s="3"/>
      </tp>
      <tp t="s">
        <v>#N/A N/A</v>
        <stp/>
        <stp>BDP|6671446285359180321</stp>
        <tr r="AA51" s="3"/>
      </tp>
      <tp t="s">
        <v>#N/A N/A</v>
        <stp/>
        <stp>BDP|5686140051487215651</stp>
        <tr r="AZ36" s="3"/>
      </tp>
      <tp t="s">
        <v>#N/A N/A</v>
        <stp/>
        <stp>BDP|7559346930992185543</stp>
        <tr r="BN61" s="3"/>
      </tp>
      <tp t="s">
        <v>#N/A N/A</v>
        <stp/>
        <stp>BDP|1212269975362498616</stp>
        <tr r="AU47" s="3"/>
      </tp>
      <tp t="s">
        <v>#N/A N/A</v>
        <stp/>
        <stp>BDP|2627471827496452265</stp>
        <tr r="AV66" s="3"/>
      </tp>
      <tp t="s">
        <v>#N/A N/A</v>
        <stp/>
        <stp>BDP|8449255037709715050</stp>
        <tr r="AH51" s="3"/>
      </tp>
      <tp t="s">
        <v>#N/A N/A</v>
        <stp/>
        <stp>BDP|3844872774585668993</stp>
        <tr r="AC32" s="3"/>
      </tp>
      <tp t="s">
        <v>#N/A N/A</v>
        <stp/>
        <stp>BDP|7315314224252685456</stp>
        <tr r="BH19" s="3"/>
      </tp>
      <tp t="s">
        <v>#N/A N/A</v>
        <stp/>
        <stp>BDP|6944696449125837148</stp>
        <tr r="AU19" s="3"/>
      </tp>
      <tp t="s">
        <v>#N/A N/A</v>
        <stp/>
        <stp>BDP|2594028218944977733</stp>
        <tr r="AX16" s="3"/>
      </tp>
      <tp t="s">
        <v>#N/A N/A</v>
        <stp/>
        <stp>BDP|5523966087670431452</stp>
        <tr r="AV51" s="3"/>
      </tp>
      <tp t="s">
        <v>#N/A N/A</v>
        <stp/>
        <stp>BDP|1567375932148230881</stp>
        <tr r="AN27" s="3"/>
      </tp>
      <tp t="s">
        <v>#N/A N/A</v>
        <stp/>
        <stp>BDP|2957692428597040026</stp>
        <tr r="AE42" s="3"/>
      </tp>
      <tp t="s">
        <v>#N/A N/A</v>
        <stp/>
        <stp>BDP|2308063913365447786</stp>
        <tr r="AD33" s="3"/>
      </tp>
      <tp t="s">
        <v>#N/A N/A</v>
        <stp/>
        <stp>BDP|8382355715792087989</stp>
        <tr r="AU42" s="3"/>
      </tp>
      <tp t="s">
        <v>#N/A N/A</v>
        <stp/>
        <stp>BDP|6364040559464215679</stp>
        <tr r="V35" s="3"/>
      </tp>
      <tp t="s">
        <v>#N/A N/A</v>
        <stp/>
        <stp>BDP|4807979935358884798</stp>
        <tr r="BA31" s="3"/>
      </tp>
      <tp t="s">
        <v>#N/A N/A</v>
        <stp/>
        <stp>BDP|3981697963511858302</stp>
        <tr r="BB68" s="3"/>
      </tp>
      <tp t="s">
        <v>#N/A N/A</v>
        <stp/>
        <stp>BDP|3152592596058695631</stp>
        <tr r="BK35" s="3"/>
      </tp>
      <tp t="s">
        <v>#N/A N/A</v>
        <stp/>
        <stp>BDP|9121460894500038580</stp>
        <tr r="BB41" s="3"/>
      </tp>
      <tp t="s">
        <v>#N/A N/A</v>
        <stp/>
        <stp>BDP|6387403976684994073</stp>
        <tr r="BP51" s="3"/>
      </tp>
      <tp t="s">
        <v>#N/A N/A</v>
        <stp/>
        <stp>BDP|7200644767456208087</stp>
        <tr r="BC58" s="3"/>
      </tp>
      <tp t="s">
        <v>#N/A N/A</v>
        <stp/>
        <stp>BDP|4888474027216906597</stp>
        <tr r="AB37" s="3"/>
      </tp>
      <tp t="s">
        <v>#N/A N/A</v>
        <stp/>
        <stp>BDP|8553401099872453602</stp>
        <tr r="Y68" s="3"/>
      </tp>
      <tp t="s">
        <v>#N/A N/A</v>
        <stp/>
        <stp>BDP|1287388132668680860</stp>
        <tr r="BN50" s="3"/>
      </tp>
      <tp t="s">
        <v>#N/A N/A</v>
        <stp/>
        <stp>BDP|8845904575141599609</stp>
        <tr r="AJ47" s="3"/>
      </tp>
      <tp t="s">
        <v>#N/A N/A</v>
        <stp/>
        <stp>BDP|8513280227391321811</stp>
        <tr r="BQ50" s="3"/>
      </tp>
      <tp t="s">
        <v>#N/A N/A</v>
        <stp/>
        <stp>BDP|1138747166845999420</stp>
        <tr r="AP67" s="3"/>
      </tp>
      <tp t="s">
        <v>#N/A N/A</v>
        <stp/>
        <stp>BDP|1088436833401805613</stp>
        <tr r="AC46" s="3"/>
      </tp>
      <tp t="s">
        <v>#N/A N/A</v>
        <stp/>
        <stp>BDP|3376338953546268282</stp>
        <tr r="X56" s="3"/>
      </tp>
      <tp t="s">
        <v>#N/A N/A</v>
        <stp/>
        <stp>BDP|7254974369818620138</stp>
        <tr r="AW50" s="3"/>
      </tp>
      <tp t="s">
        <v>#N/A N/A</v>
        <stp/>
        <stp>BDP|8475215145546680982</stp>
        <tr r="AN43" s="3"/>
      </tp>
      <tp t="s">
        <v>#N/A N/A</v>
        <stp/>
        <stp>BDP|8417205408898235302</stp>
        <tr r="AV41" s="3"/>
      </tp>
      <tp t="s">
        <v>#N/A N/A</v>
        <stp/>
        <stp>BDP|9929691398245450226</stp>
        <tr r="AZ52" s="3"/>
      </tp>
      <tp t="s">
        <v>#N/A N/A</v>
        <stp/>
        <stp>BDP|1123786721957498222</stp>
        <tr r="AS16" s="3"/>
      </tp>
      <tp t="s">
        <v>#N/A N/A</v>
        <stp/>
        <stp>BDP|6356402698143265960</stp>
        <tr r="U28" s="3"/>
      </tp>
      <tp t="s">
        <v>#N/A N/A</v>
        <stp/>
        <stp>BDP|7164719535072320098</stp>
        <tr r="AD40" s="3"/>
      </tp>
      <tp t="s">
        <v>#N/A N/A</v>
        <stp/>
        <stp>BDP|1221774152603294191</stp>
        <tr r="AD61" s="3"/>
      </tp>
      <tp t="s">
        <v>#N/A N/A</v>
        <stp/>
        <stp>BDP|6055496910287247578</stp>
        <tr r="AK26" s="3"/>
      </tp>
      <tp t="s">
        <v>#N/A N/A</v>
        <stp/>
        <stp>BDP|4495201523792241796</stp>
        <tr r="AY30" s="3"/>
      </tp>
      <tp t="s">
        <v>#N/A N/A</v>
        <stp/>
        <stp>BDP|4768679751131868754</stp>
        <tr r="BH18" s="3"/>
      </tp>
      <tp t="s">
        <v>#N/A N/A</v>
        <stp/>
        <stp>BDP|8702987514050421130</stp>
        <tr r="BC17" s="3"/>
      </tp>
      <tp t="s">
        <v>#N/A N/A</v>
        <stp/>
        <stp>BDP|3920431910731435620</stp>
        <tr r="BE37" s="3"/>
      </tp>
      <tp t="s">
        <v>#N/A N/A</v>
        <stp/>
        <stp>BDP|4688505658012737747</stp>
        <tr r="BP57" s="3"/>
      </tp>
      <tp t="s">
        <v>#N/A N/A</v>
        <stp/>
        <stp>BDP|3039663973925054682</stp>
        <tr r="BC31" s="3"/>
      </tp>
      <tp t="s">
        <v>#N/A N/A</v>
        <stp/>
        <stp>BDP|9968003781008527800</stp>
        <tr r="X36" s="3"/>
      </tp>
      <tp t="s">
        <v>#N/A N/A</v>
        <stp/>
        <stp>BDP|3231811252728753749</stp>
        <tr r="AE43" s="3"/>
      </tp>
      <tp t="s">
        <v>#N/A N/A</v>
        <stp/>
        <stp>BDP|4210520611186516768</stp>
        <tr r="AR56" s="3"/>
      </tp>
      <tp t="s">
        <v>#N/A N/A</v>
        <stp/>
        <stp>BDP|3943484525622586634</stp>
        <tr r="AF46" s="3"/>
      </tp>
      <tp t="s">
        <v>#N/A N/A</v>
        <stp/>
        <stp>BDP|8297890476514734282</stp>
        <tr r="AP24" s="3"/>
      </tp>
      <tp t="s">
        <v>#N/A N/A</v>
        <stp/>
        <stp>BDP|8567435083854004175</stp>
        <tr r="V55" s="3"/>
      </tp>
      <tp t="s">
        <v>#N/A N/A</v>
        <stp/>
        <stp>BDP|4781694762575956072</stp>
        <tr r="Y57" s="3"/>
      </tp>
      <tp t="s">
        <v>#N/A N/A</v>
        <stp/>
        <stp>BDP|6553148777852441301</stp>
        <tr r="Y46" s="3"/>
      </tp>
      <tp t="s">
        <v>#N/A N/A</v>
        <stp/>
        <stp>BDP|1024245664551015523</stp>
        <tr r="BK16" s="3"/>
      </tp>
      <tp t="s">
        <v>#N/A N/A</v>
        <stp/>
        <stp>BDP|6704594938023675221</stp>
        <tr r="AZ46" s="3"/>
      </tp>
      <tp t="s">
        <v>#N/A N/A</v>
        <stp/>
        <stp>BDP|9585466601324504840</stp>
        <tr r="Z49" s="3"/>
      </tp>
      <tp t="s">
        <v>#N/A N/A</v>
        <stp/>
        <stp>BDP|4446376570835221424</stp>
        <tr r="BO47" s="3"/>
      </tp>
      <tp t="s">
        <v>#N/A N/A</v>
        <stp/>
        <stp>BDP|7135482076913847640</stp>
        <tr r="AR42" s="3"/>
      </tp>
      <tp t="s">
        <v>#N/A N/A</v>
        <stp/>
        <stp>BDP|6032883229645117838</stp>
        <tr r="BN39" s="3"/>
      </tp>
      <tp t="s">
        <v>#N/A N/A</v>
        <stp/>
        <stp>BDP|5242893814868910550</stp>
        <tr r="AY40" s="3"/>
      </tp>
      <tp t="s">
        <v>#N/A N/A</v>
        <stp/>
        <stp>BDP|5718065535731291654</stp>
        <tr r="BH43" s="3"/>
      </tp>
      <tp t="s">
        <v>#N/A N/A</v>
        <stp/>
        <stp>BDP|4638462753993001709</stp>
        <tr r="V51" s="3"/>
      </tp>
      <tp t="s">
        <v>#N/A N/A</v>
        <stp/>
        <stp>BDP|9276924250126510263</stp>
        <tr r="BE69" s="3"/>
      </tp>
      <tp t="s">
        <v>#N/A N/A</v>
        <stp/>
        <stp>BDP|1118269753171283652</stp>
        <tr r="AG23" s="3"/>
      </tp>
      <tp t="s">
        <v>#N/A N/A</v>
        <stp/>
        <stp>BDP|6733310822097015177</stp>
        <tr r="X23" s="3"/>
      </tp>
      <tp t="s">
        <v>#N/A N/A</v>
        <stp/>
        <stp>BDP|7266365581398453523</stp>
        <tr r="AC28" s="3"/>
      </tp>
      <tp t="s">
        <v>#N/A N/A</v>
        <stp/>
        <stp>BDP|2951669505391221482</stp>
        <tr r="AA22" s="3"/>
      </tp>
      <tp t="s">
        <v>#N/A N/A</v>
        <stp/>
        <stp>BDP|5639347883737153808</stp>
        <tr r="BP20" s="3"/>
      </tp>
      <tp t="s">
        <v>#N/A N/A</v>
        <stp/>
        <stp>BDP|1328285659214729354</stp>
        <tr r="BK48" s="3"/>
      </tp>
      <tp t="s">
        <v>#N/A N/A</v>
        <stp/>
        <stp>BDP|1469027447573870794</stp>
        <tr r="BF45" s="3"/>
      </tp>
      <tp t="s">
        <v>#N/A N/A</v>
        <stp/>
        <stp>BDP|1824798219895045381</stp>
        <tr r="AR54" s="3"/>
      </tp>
      <tp t="s">
        <v>#N/A N/A</v>
        <stp/>
        <stp>BDP|6397209954272106264</stp>
        <tr r="AR37" s="3"/>
      </tp>
      <tp t="s">
        <v>#N/A N/A</v>
        <stp/>
        <stp>BDP|6883582400995698773</stp>
        <tr r="BI22" s="3"/>
      </tp>
      <tp t="s">
        <v>#N/A N/A</v>
        <stp/>
        <stp>BDP|2093411157135471735</stp>
        <tr r="BB58" s="3"/>
      </tp>
      <tp t="s">
        <v>#N/A N/A</v>
        <stp/>
        <stp>BDP|7449619702549234946</stp>
        <tr r="W20" s="3"/>
      </tp>
      <tp t="s">
        <v>#N/A N/A</v>
        <stp/>
        <stp>BDP|4961142374313194092</stp>
        <tr r="AC49" s="3"/>
      </tp>
      <tp t="s">
        <v>#N/A N/A</v>
        <stp/>
        <stp>BDP|7574547211804008619</stp>
        <tr r="V58" s="3"/>
      </tp>
      <tp t="s">
        <v>#N/A N/A</v>
        <stp/>
        <stp>BDP|2747677476147664517</stp>
        <tr r="AL24" s="3"/>
      </tp>
      <tp t="s">
        <v>#N/A N/A</v>
        <stp/>
        <stp>BDP|6483168155131536230</stp>
        <tr r="BA38" s="3"/>
      </tp>
      <tp t="s">
        <v>#N/A N/A</v>
        <stp/>
        <stp>BDP|6230293187099974442</stp>
        <tr r="AB26" s="3"/>
      </tp>
      <tp t="s">
        <v>#N/A N/A</v>
        <stp/>
        <stp>BDP|8612754672899617068</stp>
        <tr r="BL66" s="3"/>
      </tp>
      <tp t="s">
        <v>#N/A N/A</v>
        <stp/>
        <stp>BDP|3410131227504813593</stp>
        <tr r="AW32" s="3"/>
      </tp>
      <tp t="s">
        <v>#N/A N/A</v>
        <stp/>
        <stp>BDP|3537195598829187340</stp>
        <tr r="X41" s="3"/>
      </tp>
      <tp t="s">
        <v>#N/A N/A</v>
        <stp/>
        <stp>BDP|5319305908136992147</stp>
        <tr r="BP59" s="3"/>
      </tp>
      <tp t="s">
        <v>#N/A N/A</v>
        <stp/>
        <stp>BDP|3425783448646592773</stp>
        <tr r="BK68" s="3"/>
      </tp>
      <tp t="s">
        <v>#N/A N/A</v>
        <stp/>
        <stp>BDP|1943085027253175119</stp>
        <tr r="AS34" s="3"/>
      </tp>
      <tp t="s">
        <v>#N/A N/A</v>
        <stp/>
        <stp>BDP|1893935379908232669</stp>
        <tr r="AV39" s="3"/>
      </tp>
      <tp t="s">
        <v>#N/A N/A</v>
        <stp/>
        <stp>BDP|6996082260192065373</stp>
        <tr r="Y22" s="3"/>
      </tp>
      <tp t="s">
        <v>#N/A N/A</v>
        <stp/>
        <stp>BDP|7394203179190867342</stp>
        <tr r="AP20" s="3"/>
      </tp>
      <tp t="s">
        <v>#N/A N/A</v>
        <stp/>
        <stp>BDP|6754784990201081881</stp>
        <tr r="AL26" s="3"/>
      </tp>
      <tp t="s">
        <v>#N/A N/A</v>
        <stp/>
        <stp>BDP|3716996642538291797</stp>
        <tr r="AD56" s="3"/>
      </tp>
      <tp t="s">
        <v>#N/A N/A</v>
        <stp/>
        <stp>BDP|6782128677301626030</stp>
        <tr r="AI17" s="3"/>
      </tp>
      <tp t="s">
        <v>#N/A N/A</v>
        <stp/>
        <stp>BDP|6706088493157384980</stp>
        <tr r="AG15" s="3"/>
      </tp>
      <tp t="s">
        <v>#N/A N/A</v>
        <stp/>
        <stp>BDP|5233058579430942309</stp>
        <tr r="AC23" s="3"/>
      </tp>
      <tp t="s">
        <v>#N/A N/A</v>
        <stp/>
        <stp>BDP|5804339886868228781</stp>
        <tr r="Y53" s="3"/>
      </tp>
      <tp t="s">
        <v>#N/A N/A</v>
        <stp/>
        <stp>BDP|4292232677244981484</stp>
        <tr r="AO29" s="3"/>
      </tp>
      <tp t="s">
        <v>#N/A N/A</v>
        <stp/>
        <stp>BDP|7831882221074527836</stp>
        <tr r="BJ29" s="3"/>
      </tp>
      <tp t="s">
        <v>#N/A N/A</v>
        <stp/>
        <stp>BDP|8231510258639908069</stp>
        <tr r="BK39" s="3"/>
      </tp>
      <tp t="s">
        <v>#N/A N/A</v>
        <stp/>
        <stp>BDP|1095291429578564814</stp>
        <tr r="W63" s="3"/>
      </tp>
      <tp t="s">
        <v>#N/A N/A</v>
        <stp/>
        <stp>BDP|5503574766787623062</stp>
        <tr r="AW55" s="3"/>
      </tp>
      <tp t="s">
        <v>#N/A N/A</v>
        <stp/>
        <stp>BDP|8648886466136499188</stp>
        <tr r="BM48" s="3"/>
      </tp>
      <tp t="s">
        <v>#N/A N/A</v>
        <stp/>
        <stp>BDP|3958747020506009195</stp>
        <tr r="AK17" s="3"/>
      </tp>
      <tp t="s">
        <v>#N/A N/A</v>
        <stp/>
        <stp>BDP|7155030912903090441</stp>
        <tr r="AG21" s="3"/>
      </tp>
      <tp t="s">
        <v>#N/A N/A</v>
        <stp/>
        <stp>BDP|5186757772907275307</stp>
        <tr r="AJ59" s="3"/>
      </tp>
      <tp t="s">
        <v>#N/A N/A</v>
        <stp/>
        <stp>BDP|2641715347410542017</stp>
        <tr r="BC42" s="3"/>
      </tp>
      <tp t="s">
        <v>#N/A N/A</v>
        <stp/>
        <stp>BDP|2267361637081582229</stp>
        <tr r="BB52" s="3"/>
      </tp>
      <tp t="s">
        <v>#N/A N/A</v>
        <stp/>
        <stp>BDP|2643771044163295324</stp>
        <tr r="AZ48" s="3"/>
      </tp>
      <tp t="s">
        <v>#N/A N/A</v>
        <stp/>
        <stp>BDP|9198095789391394178</stp>
        <tr r="AH53" s="3"/>
      </tp>
      <tp t="s">
        <v>#N/A N/A</v>
        <stp/>
        <stp>BDP|8284865537500481221</stp>
        <tr r="AF56" s="3"/>
      </tp>
      <tp t="s">
        <v>#N/A N/A</v>
        <stp/>
        <stp>BDP|7096180590857818951</stp>
        <tr r="BK53" s="3"/>
      </tp>
      <tp t="s">
        <v>#N/A N/A</v>
        <stp/>
        <stp>BDP|3164606605146436256</stp>
        <tr r="BE42" s="3"/>
      </tp>
      <tp t="s">
        <v>#N/A N/A</v>
        <stp/>
        <stp>BDP|2765040979887793380</stp>
        <tr r="BB40" s="3"/>
      </tp>
      <tp t="s">
        <v>#N/A N/A</v>
        <stp/>
        <stp>BDP|4916466715111284227</stp>
        <tr r="AY25" s="3"/>
      </tp>
      <tp t="s">
        <v>#N/A N/A</v>
        <stp/>
        <stp>BDP|3192498141466073739</stp>
        <tr r="BP17" s="3"/>
      </tp>
      <tp t="s">
        <v>#N/A N/A</v>
        <stp/>
        <stp>BDP|5190132438714533152</stp>
        <tr r="BP24" s="3"/>
      </tp>
      <tp t="s">
        <v>#N/A N/A</v>
        <stp/>
        <stp>BDP|4189912317238475692</stp>
        <tr r="AY59" s="3"/>
      </tp>
      <tp t="s">
        <v>#N/A N/A</v>
        <stp/>
        <stp>BDP|7314289085758749736</stp>
        <tr r="AU29" s="3"/>
      </tp>
      <tp t="s">
        <v>#N/A N/A</v>
        <stp/>
        <stp>BDP|4542707273961835747</stp>
        <tr r="BL69" s="3"/>
      </tp>
      <tp t="s">
        <v>#N/A N/A</v>
        <stp/>
        <stp>BDP|2144621659742800199</stp>
        <tr r="V27" s="3"/>
      </tp>
      <tp t="s">
        <v>#N/A N/A</v>
        <stp/>
        <stp>BDP|5762654872380823638</stp>
        <tr r="AK65" s="3"/>
      </tp>
      <tp t="s">
        <v>#N/A N/A</v>
        <stp/>
        <stp>BDP|9409838679646036251</stp>
        <tr r="AS24" s="3"/>
      </tp>
      <tp t="s">
        <v>#N/A N/A</v>
        <stp/>
        <stp>BDP|2161551656812066297</stp>
        <tr r="BK60" s="3"/>
      </tp>
      <tp t="s">
        <v>#N/A N/A</v>
        <stp/>
        <stp>BDP|1812031955913144543</stp>
        <tr r="U64" s="3"/>
      </tp>
      <tp t="s">
        <v>#N/A N/A</v>
        <stp/>
        <stp>BDP|8284934706510588390</stp>
        <tr r="Z20" s="3"/>
      </tp>
      <tp t="s">
        <v>#N/A N/A</v>
        <stp/>
        <stp>BDP|4910352083704607924</stp>
        <tr r="BL22" s="3"/>
      </tp>
      <tp t="s">
        <v>#N/A N/A</v>
        <stp/>
        <stp>BDP|7853240947231800287</stp>
        <tr r="AD29" s="3"/>
      </tp>
      <tp t="s">
        <v>#N/A N/A</v>
        <stp/>
        <stp>BDP|9516173306139839373</stp>
        <tr r="Z55" s="3"/>
      </tp>
      <tp t="s">
        <v>#N/A N/A</v>
        <stp/>
        <stp>BDP|5314662499810765835</stp>
        <tr r="AE36" s="3"/>
      </tp>
      <tp t="s">
        <v>#N/A N/A</v>
        <stp/>
        <stp>BDP|7959345512805657215</stp>
        <tr r="AN59" s="3"/>
      </tp>
      <tp t="s">
        <v>#N/A N/A</v>
        <stp/>
        <stp>BDP|4807617492431192821</stp>
        <tr r="AS68" s="3"/>
      </tp>
      <tp t="s">
        <v>#N/A N/A</v>
        <stp/>
        <stp>BDP|6625996942231741829</stp>
        <tr r="BA29" s="3"/>
      </tp>
      <tp t="s">
        <v>#N/A N/A</v>
        <stp/>
        <stp>BDP|9399215096008578894</stp>
        <tr r="BC16" s="3"/>
      </tp>
      <tp t="s">
        <v>#N/A N/A</v>
        <stp/>
        <stp>BDP|3690893686796563744</stp>
        <tr r="BN52" s="3"/>
      </tp>
      <tp t="s">
        <v>#N/A N/A</v>
        <stp/>
        <stp>BDP|4620871005817863943</stp>
        <tr r="BF34" s="3"/>
      </tp>
      <tp t="s">
        <v>#N/A N/A</v>
        <stp/>
        <stp>BDP|8225393393929739964</stp>
        <tr r="AJ24" s="3"/>
      </tp>
      <tp t="s">
        <v>#N/A N/A</v>
        <stp/>
        <stp>BDP|5075064297577008989</stp>
        <tr r="BP66" s="3"/>
      </tp>
      <tp t="s">
        <v>#N/A N/A</v>
        <stp/>
        <stp>BDP|3541976030143946823</stp>
        <tr r="AI67" s="3"/>
      </tp>
      <tp t="s">
        <v>#N/A N/A</v>
        <stp/>
        <stp>BDP|6151123878180330213</stp>
        <tr r="AL65" s="3"/>
      </tp>
      <tp t="s">
        <v>#N/A N/A</v>
        <stp/>
        <stp>BDP|7744178006595764188</stp>
        <tr r="AN25" s="3"/>
      </tp>
      <tp t="s">
        <v>#N/A N/A</v>
        <stp/>
        <stp>BDP|1674639515356745292</stp>
        <tr r="AV40" s="3"/>
      </tp>
      <tp t="s">
        <v>#N/A N/A</v>
        <stp/>
        <stp>BDP|7219302004337185192</stp>
        <tr r="AJ40" s="3"/>
      </tp>
      <tp t="s">
        <v>#N/A N/A</v>
        <stp/>
        <stp>BDP|7681754453221651686</stp>
        <tr r="AN60" s="3"/>
      </tp>
      <tp t="s">
        <v>#N/A N/A</v>
        <stp/>
        <stp>BDP|7673099363143673044</stp>
        <tr r="BP26" s="3"/>
      </tp>
      <tp t="s">
        <v>#N/A N/A</v>
        <stp/>
        <stp>BDP|2959478355289338862</stp>
        <tr r="AG32" s="3"/>
      </tp>
      <tp t="s">
        <v>#N/A N/A</v>
        <stp/>
        <stp>BDP|7235098908346882353</stp>
        <tr r="AC19" s="3"/>
      </tp>
      <tp t="s">
        <v>#N/A N/A</v>
        <stp/>
        <stp>BDP|7558792628528987838</stp>
        <tr r="AE16" s="3"/>
      </tp>
      <tp t="s">
        <v>#N/A N/A</v>
        <stp/>
        <stp>BDP|8656810579586044301</stp>
        <tr r="AA45" s="3"/>
      </tp>
      <tp t="s">
        <v>#N/A N/A</v>
        <stp/>
        <stp>BDP|5369455612207831539</stp>
        <tr r="AL64" s="3"/>
      </tp>
      <tp t="s">
        <v>#N/A N/A</v>
        <stp/>
        <stp>BDP|2377343524513587295</stp>
        <tr r="BE65" s="3"/>
      </tp>
      <tp t="s">
        <v>#N/A N/A</v>
        <stp/>
        <stp>BDP|8468926259513274521</stp>
        <tr r="AB68" s="3"/>
      </tp>
      <tp t="s">
        <v>#N/A N/A</v>
        <stp/>
        <stp>BDP|3965175064484260274</stp>
        <tr r="BF46" s="3"/>
      </tp>
      <tp t="s">
        <v>#N/A N/A</v>
        <stp/>
        <stp>BDP|8045305578996684816</stp>
        <tr r="BH54" s="3"/>
      </tp>
      <tp t="s">
        <v>#N/A N/A</v>
        <stp/>
        <stp>BDP|4209847155923948863</stp>
        <tr r="AV33" s="3"/>
      </tp>
      <tp t="s">
        <v>#N/A N/A</v>
        <stp/>
        <stp>BDP|7827303325932805691</stp>
        <tr r="AI29" s="3"/>
      </tp>
      <tp t="s">
        <v>#N/A N/A</v>
        <stp/>
        <stp>BDP|6440748916183828125</stp>
        <tr r="AT53" s="3"/>
      </tp>
      <tp t="s">
        <v>#N/A N/A</v>
        <stp/>
        <stp>BDP|3364799739484650193</stp>
        <tr r="AG66" s="3"/>
      </tp>
      <tp t="s">
        <v>#N/A N/A</v>
        <stp/>
        <stp>BDP|7883627146497067008</stp>
        <tr r="AY24" s="3"/>
      </tp>
      <tp t="s">
        <v>#N/A N/A</v>
        <stp/>
        <stp>BDP|4182965102736141992</stp>
        <tr r="BN48" s="3"/>
      </tp>
      <tp t="s">
        <v>#N/A N/A</v>
        <stp/>
        <stp>BDP|6721175608265737026</stp>
        <tr r="AF61" s="3"/>
      </tp>
      <tp t="s">
        <v>#N/A N/A</v>
        <stp/>
        <stp>BDP|3538933738033554865</stp>
        <tr r="AL59" s="3"/>
      </tp>
      <tp t="s">
        <v>#N/A N/A</v>
        <stp/>
        <stp>BDP|3403204008785502641</stp>
        <tr r="AK64" s="3"/>
      </tp>
      <tp t="s">
        <v>#N/A N/A</v>
        <stp/>
        <stp>BDP|8850832723603703325</stp>
        <tr r="BD35" s="3"/>
      </tp>
      <tp t="s">
        <v>#N/A N/A</v>
        <stp/>
        <stp>BDP|4372955496917341110</stp>
        <tr r="AZ50" s="3"/>
      </tp>
      <tp t="s">
        <v>#N/A N/A</v>
        <stp/>
        <stp>BDP|3539330848485456383</stp>
        <tr r="BO26" s="3"/>
      </tp>
      <tp t="s">
        <v>#N/A N/A</v>
        <stp/>
        <stp>BDP|1123604296475223970</stp>
        <tr r="AD21" s="3"/>
      </tp>
      <tp t="s">
        <v>#N/A N/A</v>
        <stp/>
        <stp>BDP|5376544655274727370</stp>
        <tr r="AQ34" s="3"/>
      </tp>
      <tp t="s">
        <v>#N/A N/A</v>
        <stp/>
        <stp>BDP|6379654444302931489</stp>
        <tr r="X40" s="3"/>
      </tp>
      <tp t="s">
        <v>#N/A N/A</v>
        <stp/>
        <stp>BDP|2250535075652382043</stp>
        <tr r="AE29" s="3"/>
      </tp>
      <tp t="s">
        <v>#N/A N/A</v>
        <stp/>
        <stp>BDP|6079115826667714032</stp>
        <tr r="U18" s="3"/>
      </tp>
      <tp t="s">
        <v>#N/A N/A</v>
        <stp/>
        <stp>BDP|2693182129167340447</stp>
        <tr r="AK61" s="3"/>
      </tp>
      <tp t="s">
        <v>#N/A N/A</v>
        <stp/>
        <stp>BDP|6309640244513382501</stp>
        <tr r="AV45" s="3"/>
      </tp>
      <tp t="s">
        <v>#N/A N/A</v>
        <stp/>
        <stp>BDP|6770220966615173525</stp>
        <tr r="BN17" s="3"/>
      </tp>
      <tp t="s">
        <v>#N/A N/A</v>
        <stp/>
        <stp>BDP|4408609566537180133</stp>
        <tr r="AN50" s="3"/>
      </tp>
      <tp t="s">
        <v>#N/A N/A</v>
        <stp/>
        <stp>BDP|9226859195092244816</stp>
        <tr r="AS62" s="3"/>
      </tp>
      <tp t="s">
        <v>#N/A N/A</v>
        <stp/>
        <stp>BDP|1268060400586006559</stp>
        <tr r="BL55" s="3"/>
      </tp>
      <tp t="s">
        <v>#N/A N/A</v>
        <stp/>
        <stp>BDP|2388452963435215762</stp>
        <tr r="BD20" s="3"/>
      </tp>
      <tp t="s">
        <v>#N/A N/A</v>
        <stp/>
        <stp>BDP|3754827800049326070</stp>
        <tr r="V33" s="3"/>
      </tp>
      <tp t="s">
        <v>#N/A N/A</v>
        <stp/>
        <stp>BDP|1669266551362659665</stp>
        <tr r="BE59" s="3"/>
      </tp>
      <tp t="s">
        <v>#N/A N/A</v>
        <stp/>
        <stp>BDP|6576081113386842309</stp>
        <tr r="AH27" s="3"/>
      </tp>
      <tp t="s">
        <v>#N/A N/A</v>
        <stp/>
        <stp>BDP|4688835703229704774</stp>
        <tr r="AQ59" s="3"/>
      </tp>
      <tp t="s">
        <v>#N/A N/A</v>
        <stp/>
        <stp>BDP|6670686268841414545</stp>
        <tr r="AN20" s="3"/>
      </tp>
      <tp t="s">
        <v>#N/A N/A</v>
        <stp/>
        <stp>BDP|4229923397717233139</stp>
        <tr r="AP66" s="3"/>
      </tp>
      <tp t="s">
        <v>#N/A N/A</v>
        <stp/>
        <stp>BDP|9655648533759131766</stp>
        <tr r="BG63" s="3"/>
      </tp>
      <tp t="s">
        <v>#N/A N/A</v>
        <stp/>
        <stp>BDP|7540785638555237415</stp>
        <tr r="Y37" s="3"/>
      </tp>
      <tp t="s">
        <v>#N/A N/A</v>
        <stp/>
        <stp>BDP|7253764400752343017</stp>
        <tr r="BI63" s="3"/>
      </tp>
      <tp t="s">
        <v>#N/A N/A</v>
        <stp/>
        <stp>BDP|1660298848984365125</stp>
        <tr r="AN32" s="3"/>
      </tp>
      <tp t="s">
        <v>#N/A N/A</v>
        <stp/>
        <stp>BDP|2402506651418144820</stp>
        <tr r="BH67" s="3"/>
      </tp>
      <tp t="s">
        <v>#N/A N/A</v>
        <stp/>
        <stp>BDP|3046768925865263174</stp>
        <tr r="AA16" s="3"/>
      </tp>
      <tp t="s">
        <v>#N/A N/A</v>
        <stp/>
        <stp>BDP|3172134341281405508</stp>
        <tr r="W46" s="3"/>
      </tp>
      <tp t="s">
        <v>#N/A N/A</v>
        <stp/>
        <stp>BDP|5251278580409349415</stp>
        <tr r="BM45" s="3"/>
      </tp>
      <tp t="s">
        <v>#N/A N/A</v>
        <stp/>
        <stp>BDP|8236916410927267561</stp>
        <tr r="AC47" s="3"/>
      </tp>
      <tp t="s">
        <v>#N/A N/A</v>
        <stp/>
        <stp>BDP|3007084118352196261</stp>
        <tr r="AU68" s="3"/>
      </tp>
      <tp t="s">
        <v>#N/A N/A</v>
        <stp/>
        <stp>BDP|5282229137053611562</stp>
        <tr r="AL23" s="3"/>
      </tp>
      <tp t="s">
        <v>#N/A N/A</v>
        <stp/>
        <stp>BDP|3211488100735490091</stp>
        <tr r="AW51" s="3"/>
      </tp>
      <tp t="s">
        <v>#N/A N/A</v>
        <stp/>
        <stp>BDP|2710036077680566711</stp>
        <tr r="AT36" s="3"/>
      </tp>
      <tp t="s">
        <v>#N/A N/A</v>
        <stp/>
        <stp>BDP|7300519321104115663</stp>
        <tr r="AR23" s="3"/>
      </tp>
      <tp t="s">
        <v>#N/A N/A</v>
        <stp/>
        <stp>BDP|8682723331478993687</stp>
        <tr r="BH23" s="3"/>
      </tp>
      <tp t="s">
        <v>#N/A N/A</v>
        <stp/>
        <stp>BDP|7157268772165615564</stp>
        <tr r="V15" s="3"/>
      </tp>
      <tp t="s">
        <v>#N/A N/A</v>
        <stp/>
        <stp>BDP|7890457673487812130</stp>
        <tr r="AS65" s="3"/>
      </tp>
      <tp t="s">
        <v>#N/A N/A</v>
        <stp/>
        <stp>BDP|4662687110994973522</stp>
        <tr r="AC58" s="3"/>
      </tp>
      <tp t="s">
        <v>#N/A N/A</v>
        <stp/>
        <stp>BDP|9194690816459813532</stp>
        <tr r="AK46" s="3"/>
      </tp>
      <tp t="s">
        <v>#N/A N/A</v>
        <stp/>
        <stp>BDP|4568306360690577350</stp>
        <tr r="X62" s="3"/>
      </tp>
      <tp t="s">
        <v>#N/A N/A</v>
        <stp/>
        <stp>BDP|2266667663042303212</stp>
        <tr r="BQ49" s="3"/>
      </tp>
      <tp t="s">
        <v>#N/A N/A</v>
        <stp/>
        <stp>BDP|8038223686247020716</stp>
        <tr r="BA68" s="3"/>
      </tp>
      <tp t="s">
        <v>#N/A N/A</v>
        <stp/>
        <stp>BDP|8548584573411254860</stp>
        <tr r="BO36" s="3"/>
      </tp>
      <tp t="s">
        <v>#N/A N/A</v>
        <stp/>
        <stp>BDP|4821622916145701511</stp>
        <tr r="AC35" s="3"/>
      </tp>
      <tp t="s">
        <v>#N/A N/A</v>
        <stp/>
        <stp>BDP|5077755232726858452</stp>
        <tr r="BO16" s="3"/>
      </tp>
      <tp t="s">
        <v>#N/A N/A</v>
        <stp/>
        <stp>BDP|6861125426160079662</stp>
        <tr r="AC43" s="3"/>
      </tp>
      <tp t="s">
        <v>#N/A N/A</v>
        <stp/>
        <stp>BDP|6402480139910845260</stp>
        <tr r="BK28" s="3"/>
      </tp>
      <tp t="s">
        <v>#N/A N/A</v>
        <stp/>
        <stp>BDP|1914564307410456778</stp>
        <tr r="BM19" s="3"/>
      </tp>
      <tp t="s">
        <v>#N/A N/A</v>
        <stp/>
        <stp>BDP|6918776892893574826</stp>
        <tr r="BG44" s="3"/>
      </tp>
      <tp t="s">
        <v>#N/A N/A</v>
        <stp/>
        <stp>BDP|9305541636174224882</stp>
        <tr r="AO54" s="3"/>
      </tp>
      <tp t="s">
        <v>#N/A N/A</v>
        <stp/>
        <stp>BDP|9434419756933866806</stp>
        <tr r="BL48" s="3"/>
      </tp>
      <tp t="s">
        <v>#N/A N/A</v>
        <stp/>
        <stp>BDP|8661302078587634830</stp>
        <tr r="AT42" s="3"/>
      </tp>
      <tp t="s">
        <v>#N/A N/A</v>
        <stp/>
        <stp>BDP|6280468858241486538</stp>
        <tr r="BA65" s="3"/>
      </tp>
      <tp t="s">
        <v>#N/A N/A</v>
        <stp/>
        <stp>BDP|8085796971858461375</stp>
        <tr r="AL69" s="3"/>
      </tp>
      <tp t="s">
        <v>#N/A N/A</v>
        <stp/>
        <stp>BDP|1766556016352869448</stp>
        <tr r="BG43" s="3"/>
      </tp>
      <tp t="s">
        <v>#N/A N/A</v>
        <stp/>
        <stp>BDP|8911181092697885430</stp>
        <tr r="AQ16" s="3"/>
      </tp>
      <tp t="s">
        <v>#N/A N/A</v>
        <stp/>
        <stp>BDP|5380905636449849553</stp>
        <tr r="AX26" s="3"/>
      </tp>
      <tp t="s">
        <v>#N/A N/A</v>
        <stp/>
        <stp>BDP|6473261778799148934</stp>
        <tr r="BN44" s="3"/>
      </tp>
      <tp t="s">
        <v>#N/A N/A</v>
        <stp/>
        <stp>BDP|6862512424160145245</stp>
        <tr r="AP26" s="3"/>
      </tp>
      <tp t="s">
        <v>#N/A N/A</v>
        <stp/>
        <stp>BDP|4281250397809194580</stp>
        <tr r="BK52" s="3"/>
      </tp>
      <tp t="s">
        <v>#N/A N/A</v>
        <stp/>
        <stp>BDP|1597929644067398893</stp>
        <tr r="AS45" s="3"/>
      </tp>
      <tp t="s">
        <v>#N/A N/A</v>
        <stp/>
        <stp>BDP|7927905807815379847</stp>
        <tr r="W33" s="3"/>
      </tp>
      <tp t="s">
        <v>#N/A N/A</v>
        <stp/>
        <stp>BDP|5139712428851672271</stp>
        <tr r="AJ30" s="3"/>
      </tp>
      <tp t="s">
        <v>#N/A N/A</v>
        <stp/>
        <stp>BDP|8878356542014565832</stp>
        <tr r="AU57" s="3"/>
      </tp>
      <tp t="s">
        <v>#N/A N/A</v>
        <stp/>
        <stp>BDP|3037508654067216783</stp>
        <tr r="BB39" s="3"/>
      </tp>
      <tp t="s">
        <v>#N/A N/A</v>
        <stp/>
        <stp>BDP|9962979699533152987</stp>
        <tr r="BE15" s="3"/>
      </tp>
      <tp t="s">
        <v>#N/A N/A</v>
        <stp/>
        <stp>BDP|5472787178763357599</stp>
        <tr r="AL22" s="3"/>
      </tp>
      <tp t="s">
        <v>#N/A N/A</v>
        <stp/>
        <stp>BDP|7135808390037806279</stp>
        <tr r="AS51" s="3"/>
      </tp>
      <tp t="s">
        <v>#N/A N/A</v>
        <stp/>
        <stp>BDP|4156359043958142885</stp>
        <tr r="BC45" s="3"/>
      </tp>
      <tp t="s">
        <v>#N/A N/A</v>
        <stp/>
        <stp>BDP|3526047675675204287</stp>
        <tr r="AA61" s="3"/>
      </tp>
      <tp t="s">
        <v>#N/A N/A</v>
        <stp/>
        <stp>BDP|5697718478164210236</stp>
        <tr r="AE34" s="3"/>
      </tp>
      <tp t="s">
        <v>#N/A N/A</v>
        <stp/>
        <stp>BDP|7670626218744677758</stp>
        <tr r="AC59" s="3"/>
      </tp>
      <tp t="s">
        <v>#N/A N/A</v>
        <stp/>
        <stp>BDP|5424018675497624694</stp>
        <tr r="AI33" s="3"/>
      </tp>
      <tp t="s">
        <v>#N/A N/A</v>
        <stp/>
        <stp>BDP|3208109250535931145</stp>
        <tr r="V32" s="3"/>
      </tp>
      <tp t="s">
        <v>#N/A N/A</v>
        <stp/>
        <stp>BDP|9736747772669673380</stp>
        <tr r="BN25" s="3"/>
      </tp>
      <tp t="s">
        <v>#N/A N/A</v>
        <stp/>
        <stp>BDP|7631910213555220991</stp>
        <tr r="AT46" s="3"/>
      </tp>
      <tp t="s">
        <v>#N/A N/A</v>
        <stp/>
        <stp>BDP|4852032484277446845</stp>
        <tr r="X24" s="3"/>
      </tp>
      <tp t="s">
        <v>#N/A N/A</v>
        <stp/>
        <stp>BDP|5307212162121628395</stp>
        <tr r="AL42" s="3"/>
      </tp>
      <tp t="s">
        <v>#N/A N/A</v>
        <stp/>
        <stp>BDP|2927574657972716325</stp>
        <tr r="AR27" s="3"/>
      </tp>
      <tp t="s">
        <v>#N/A N/A</v>
        <stp/>
        <stp>BDP|4652797938204869739</stp>
        <tr r="W42" s="3"/>
      </tp>
      <tp t="s">
        <v>#N/A N/A</v>
        <stp/>
        <stp>BDP|9493086991425442650</stp>
        <tr r="AX58" s="3"/>
      </tp>
      <tp t="s">
        <v>#N/A N/A</v>
        <stp/>
        <stp>BDP|1074270436843828053</stp>
        <tr r="AV27" s="3"/>
      </tp>
      <tp t="s">
        <v>#N/A N/A</v>
        <stp/>
        <stp>BDP|6632741648655178368</stp>
        <tr r="AD30" s="3"/>
      </tp>
      <tp t="s">
        <v>#N/A N/A</v>
        <stp/>
        <stp>BDP|2804025664857165024</stp>
        <tr r="AG26" s="3"/>
      </tp>
      <tp t="s">
        <v>#N/A N/A</v>
        <stp/>
        <stp>BDP|6845374813022480558</stp>
        <tr r="AF35" s="3"/>
      </tp>
      <tp t="s">
        <v>#N/A N/A</v>
        <stp/>
        <stp>BDP|3919424826700549653</stp>
        <tr r="BO25" s="3"/>
      </tp>
      <tp t="s">
        <v>#N/A N/A</v>
        <stp/>
        <stp>BDP|3432507978551326324</stp>
        <tr r="AV57" s="3"/>
      </tp>
      <tp t="s">
        <v>#N/A N/A</v>
        <stp/>
        <stp>BDP|5778755083890705940</stp>
        <tr r="AL49" s="3"/>
      </tp>
      <tp t="s">
        <v>#N/A N/A</v>
        <stp/>
        <stp>BDP|3052495904716687295</stp>
        <tr r="BQ52" s="3"/>
      </tp>
      <tp t="s">
        <v>#N/A N/A</v>
        <stp/>
        <stp>BDP|1350046546903238517</stp>
        <tr r="AF22" s="3"/>
      </tp>
      <tp t="s">
        <v>#N/A N/A</v>
        <stp/>
        <stp>BDP|3404112705659026827</stp>
        <tr r="AO56" s="3"/>
      </tp>
      <tp t="s">
        <v>#N/A N/A</v>
        <stp/>
        <stp>BDP|8635806155533788568</stp>
        <tr r="AT51" s="3"/>
      </tp>
      <tp t="s">
        <v>#N/A N/A</v>
        <stp/>
        <stp>BDP|6541401292871491911</stp>
        <tr r="AE58" s="3"/>
      </tp>
      <tp t="s">
        <v>#N/A N/A</v>
        <stp/>
        <stp>BDP|8238973881343021978</stp>
        <tr r="AD47" s="3"/>
      </tp>
      <tp t="s">
        <v>#N/A N/A</v>
        <stp/>
        <stp>BDP|7547719036107941780</stp>
        <tr r="AN19" s="3"/>
      </tp>
      <tp t="s">
        <v>#N/A N/A</v>
        <stp/>
        <stp>BDP|2048246178606815279</stp>
        <tr r="Y24" s="3"/>
      </tp>
      <tp t="s">
        <v>#N/A N/A</v>
        <stp/>
        <stp>BDP|4294885686835626299</stp>
        <tr r="AC45" s="3"/>
      </tp>
      <tp t="s">
        <v>#N/A N/A</v>
        <stp/>
        <stp>BDP|9675671672489286224</stp>
        <tr r="BI21" s="3"/>
      </tp>
      <tp t="s">
        <v>#N/A N/A</v>
        <stp/>
        <stp>BDP|6601168423911908790</stp>
        <tr r="BP60" s="3"/>
      </tp>
      <tp t="s">
        <v>#N/A N/A</v>
        <stp/>
        <stp>BDP|7725446961160902684</stp>
        <tr r="AG46" s="3"/>
      </tp>
      <tp t="s">
        <v>#N/A N/A</v>
        <stp/>
        <stp>BDP|2640718775340755169</stp>
        <tr r="BP43" s="3"/>
      </tp>
      <tp t="s">
        <v>#N/A N/A</v>
        <stp/>
        <stp>BDP|6845418793238840018</stp>
        <tr r="AY55" s="3"/>
      </tp>
      <tp t="s">
        <v>#N/A N/A</v>
        <stp/>
        <stp>BDP|3538603342417422500</stp>
        <tr r="AI44" s="3"/>
      </tp>
      <tp t="s">
        <v>#N/A N/A</v>
        <stp/>
        <stp>BDP|1971122029099073829</stp>
        <tr r="BG24" s="3"/>
      </tp>
      <tp t="s">
        <v>#N/A N/A</v>
        <stp/>
        <stp>BDP|9581877676253573610</stp>
        <tr r="V65" s="3"/>
      </tp>
      <tp t="s">
        <v>#N/A N/A</v>
        <stp/>
        <stp>BDP|9730966465434292165</stp>
        <tr r="AZ59" s="3"/>
      </tp>
      <tp t="s">
        <v>#N/A N/A</v>
        <stp/>
        <stp>BDP|3245716231434680041</stp>
        <tr r="AJ45" s="3"/>
      </tp>
      <tp t="s">
        <v>#N/A N/A</v>
        <stp/>
        <stp>BDP|9966285950325925881</stp>
        <tr r="AH42" s="3"/>
      </tp>
      <tp t="s">
        <v>#N/A N/A</v>
        <stp/>
        <stp>BDP|1742549273682787271</stp>
        <tr r="BJ35" s="3"/>
      </tp>
      <tp t="s">
        <v>#N/A N/A</v>
        <stp/>
        <stp>BDP|4714199877966052796</stp>
        <tr r="AQ32" s="3"/>
      </tp>
      <tp t="s">
        <v>#N/A N/A</v>
        <stp/>
        <stp>BDP|2745258474407763307</stp>
        <tr r="AG24" s="3"/>
      </tp>
      <tp t="s">
        <v>#N/A N/A</v>
        <stp/>
        <stp>BDP|8047148726920464878</stp>
        <tr r="BQ32" s="3"/>
      </tp>
      <tp t="s">
        <v>#N/A N/A</v>
        <stp/>
        <stp>BDP|3930144060950543790</stp>
        <tr r="AR22" s="3"/>
      </tp>
      <tp t="s">
        <v>#N/A N/A</v>
        <stp/>
        <stp>BDP|9266521365371514818</stp>
        <tr r="AT31" s="3"/>
      </tp>
      <tp t="s">
        <v>#N/A N/A</v>
        <stp/>
        <stp>BDP|2597116404219512940</stp>
        <tr r="BQ39" s="3"/>
      </tp>
      <tp t="s">
        <v>#N/A N/A</v>
        <stp/>
        <stp>BDP|7459940997265025169</stp>
        <tr r="BF22" s="3"/>
      </tp>
      <tp t="s">
        <v>#N/A N/A</v>
        <stp/>
        <stp>BDP|4726670346206269358</stp>
        <tr r="U30" s="3"/>
      </tp>
      <tp t="s">
        <v>#N/A N/A</v>
        <stp/>
        <stp>BDP|5308040834676070320</stp>
        <tr r="AZ18" s="3"/>
      </tp>
      <tp t="s">
        <v>#N/A N/A</v>
        <stp/>
        <stp>BDP|1154180689258412355</stp>
        <tr r="BI60" s="3"/>
      </tp>
      <tp t="s">
        <v>#N/A N/A</v>
        <stp/>
        <stp>BDP|7292673257566384104</stp>
        <tr r="BJ65" s="3"/>
      </tp>
      <tp t="s">
        <v>#N/A N/A</v>
        <stp/>
        <stp>BDP|6165515067556461022</stp>
        <tr r="AH20" s="3"/>
      </tp>
      <tp t="s">
        <v>#N/A N/A</v>
        <stp/>
        <stp>BDP|8796909724680608040</stp>
        <tr r="AN42" s="3"/>
      </tp>
      <tp t="s">
        <v>#N/A N/A</v>
        <stp/>
        <stp>BDP|8479054455309286701</stp>
        <tr r="BO62" s="3"/>
      </tp>
      <tp t="s">
        <v>#N/A N/A</v>
        <stp/>
        <stp>BDP|1423480244846939472</stp>
        <tr r="BM61" s="3"/>
      </tp>
      <tp t="s">
        <v>#N/A N/A</v>
        <stp/>
        <stp>BDP|1169076619794092793</stp>
        <tr r="AL38" s="3"/>
      </tp>
      <tp t="s">
        <v>#N/A N/A</v>
        <stp/>
        <stp>BDP|2664088878594648262</stp>
        <tr r="BQ31" s="3"/>
      </tp>
      <tp t="s">
        <v>#N/A N/A</v>
        <stp/>
        <stp>BDP|8680827355805246356</stp>
        <tr r="AS44" s="3"/>
      </tp>
      <tp t="s">
        <v>#N/A N/A</v>
        <stp/>
        <stp>BDP|4943483767062297732</stp>
        <tr r="AW46" s="3"/>
      </tp>
      <tp t="s">
        <v>#N/A N/A</v>
        <stp/>
        <stp>BDP|8553977855475189211</stp>
        <tr r="BN55" s="3"/>
      </tp>
      <tp t="s">
        <v>#N/A N/A</v>
        <stp/>
        <stp>BDP|9985296946388740469</stp>
        <tr r="BM40" s="3"/>
      </tp>
      <tp t="s">
        <v>#N/A N/A</v>
        <stp/>
        <stp>BDP|1080083309395485722</stp>
        <tr r="AG20" s="3"/>
      </tp>
      <tp t="s">
        <v>#N/A N/A</v>
        <stp/>
        <stp>BDP|2074525375681369236</stp>
        <tr r="AX38" s="3"/>
      </tp>
      <tp t="s">
        <v>#N/A N/A</v>
        <stp/>
        <stp>BDP|9434908361136344327</stp>
        <tr r="BB36" s="3"/>
      </tp>
      <tp t="s">
        <v>#N/A N/A</v>
        <stp/>
        <stp>BDP|7645530070113458551</stp>
        <tr r="AP48" s="3"/>
      </tp>
      <tp t="s">
        <v>#N/A N/A</v>
        <stp/>
        <stp>BDP|4814793312473547222</stp>
        <tr r="AS42" s="3"/>
      </tp>
      <tp t="s">
        <v>#N/A N/A</v>
        <stp/>
        <stp>BDP|2914947288287433754</stp>
        <tr r="AW43" s="3"/>
      </tp>
      <tp t="s">
        <v>#N/A N/A</v>
        <stp/>
        <stp>BDP|5219707335451577367</stp>
        <tr r="AJ31" s="3"/>
      </tp>
      <tp t="s">
        <v>#N/A N/A</v>
        <stp/>
        <stp>BDP|8350620392740274452</stp>
        <tr r="AS37" s="3"/>
      </tp>
      <tp t="s">
        <v>#N/A N/A</v>
        <stp/>
        <stp>BDP|4048328167480088217</stp>
        <tr r="AL37" s="3"/>
      </tp>
      <tp t="s">
        <v>#N/A N/A</v>
        <stp/>
        <stp>BDP|6593504061302566440</stp>
        <tr r="AZ20" s="3"/>
      </tp>
      <tp t="s">
        <v>#N/A N/A</v>
        <stp/>
        <stp>BDP|5179189838272514617</stp>
        <tr r="BI30" s="3"/>
      </tp>
      <tp t="s">
        <v>#N/A N/A</v>
        <stp/>
        <stp>BDP|1392946692764508659</stp>
        <tr r="AD60" s="3"/>
      </tp>
      <tp t="s">
        <v>#N/A N/A</v>
        <stp/>
        <stp>BDP|3032107220774064756</stp>
        <tr r="BK15" s="3"/>
      </tp>
      <tp t="s">
        <v>#N/A N/A</v>
        <stp/>
        <stp>BDP|7410068433802223564</stp>
        <tr r="BO20" s="3"/>
      </tp>
      <tp t="s">
        <v>#N/A N/A</v>
        <stp/>
        <stp>BDP|25387423749814101</stp>
        <tr r="BK67" s="3"/>
      </tp>
      <tp t="s">
        <v>#N/A N/A</v>
        <stp/>
        <stp>BDP|96397983355460752</stp>
        <tr r="AP61" s="3"/>
      </tp>
      <tp t="s">
        <v>#N/A N/A</v>
        <stp/>
        <stp>BDP|47485089275246117</stp>
        <tr r="Y58" s="3"/>
      </tp>
      <tp t="s">
        <v>#N/A N/A</v>
        <stp/>
        <stp>BDP|99275947918424689</stp>
        <tr r="AR26" s="3"/>
      </tp>
      <tp t="s">
        <v>#N/A N/A</v>
        <stp/>
        <stp>BDP|17359977959681604</stp>
        <tr r="AC24" s="3"/>
      </tp>
      <tp t="s">
        <v>#N/A N/A</v>
        <stp/>
        <stp>BDP|97905983092355804</stp>
        <tr r="BI38" s="3"/>
      </tp>
      <tp t="s">
        <v>#N/A N/A</v>
        <stp/>
        <stp>BDP|67340697210942082</stp>
        <tr r="U67" s="3"/>
      </tp>
      <tp t="s">
        <v>#N/A N/A</v>
        <stp/>
        <stp>BDP|43951512397794272</stp>
        <tr r="AQ56" s="3"/>
      </tp>
      <tp t="s">
        <v>#N/A N/A</v>
        <stp/>
        <stp>BDP|47778820899497043</stp>
        <tr r="AN51" s="3"/>
      </tp>
      <tp t="s">
        <v>#N/A N/A</v>
        <stp/>
        <stp>BDP|18182020237463871</stp>
        <tr r="AQ50" s="3"/>
      </tp>
      <tp t="s">
        <v>#N/A N/A</v>
        <stp/>
        <stp>BDP|79397155910301976</stp>
        <tr r="BC36" s="3"/>
      </tp>
      <tp t="s">
        <v>#N/A N/A</v>
        <stp/>
        <stp>BDP|91218422426408668</stp>
        <tr r="BD29" s="3"/>
      </tp>
      <tp t="s">
        <v>#N/A N/A</v>
        <stp/>
        <stp>BDP|96054522725378400</stp>
        <tr r="AH58" s="3"/>
      </tp>
      <tp t="s">
        <v>#N/A N/A</v>
        <stp/>
        <stp>BDP|38884888474851141</stp>
        <tr r="BD31" s="3"/>
      </tp>
      <tp t="s">
        <v>#N/A N/A</v>
        <stp/>
        <stp>BDP|40697626880501388</stp>
        <tr r="AZ67" s="3"/>
      </tp>
      <tp t="s">
        <v>#N/A N/A</v>
        <stp/>
        <stp>BDP|37144876564583474</stp>
        <tr r="BN29" s="3"/>
      </tp>
      <tp t="s">
        <v>#N/A N/A</v>
        <stp/>
        <stp>BDP|956452317032702201</stp>
        <tr r="BC30" s="3"/>
      </tp>
      <tp t="s">
        <v>#N/A N/A</v>
        <stp/>
        <stp>BDP|292290161707528625</stp>
        <tr r="BB47" s="3"/>
      </tp>
      <tp t="s">
        <v>#N/A N/A</v>
        <stp/>
        <stp>BDP|396874419519781550</stp>
        <tr r="W19" s="3"/>
      </tp>
      <tp t="s">
        <v>#N/A N/A</v>
        <stp/>
        <stp>BDP|107224018733791545</stp>
        <tr r="BF55" s="3"/>
      </tp>
      <tp t="s">
        <v>#N/A N/A</v>
        <stp/>
        <stp>BDP|766159259356251705</stp>
        <tr r="BF42" s="3"/>
      </tp>
      <tp t="s">
        <v>#N/A N/A</v>
        <stp/>
        <stp>BDP|360190615170426521</stp>
        <tr r="X65" s="3"/>
      </tp>
      <tp t="s">
        <v>#N/A N/A</v>
        <stp/>
        <stp>BDP|317258643102495142</stp>
        <tr r="BF61" s="3"/>
      </tp>
      <tp t="s">
        <v>#N/A N/A</v>
        <stp/>
        <stp>BDP|459102112380320554</stp>
        <tr r="BI58" s="3"/>
      </tp>
      <tp t="s">
        <v>#N/A N/A</v>
        <stp/>
        <stp>BDP|432342525290124456</stp>
        <tr r="BQ20" s="3"/>
      </tp>
      <tp t="s">
        <v>#N/A N/A</v>
        <stp/>
        <stp>BDP|237275160741323059</stp>
        <tr r="AU50" s="3"/>
      </tp>
      <tp t="s">
        <v>#N/A N/A</v>
        <stp/>
        <stp>BDP|116325963812811325</stp>
        <tr r="BI37" s="3"/>
      </tp>
      <tp t="s">
        <v>#N/A N/A</v>
        <stp/>
        <stp>BDP|886200932063654669</stp>
        <tr r="BF43" s="3"/>
      </tp>
      <tp t="s">
        <v>#N/A N/A</v>
        <stp/>
        <stp>BDP|618414909813284392</stp>
        <tr r="BA15" s="3"/>
      </tp>
      <tp t="s">
        <v>#N/A N/A</v>
        <stp/>
        <stp>BDP|833882894530400551</stp>
        <tr r="AI16" s="3"/>
      </tp>
      <tp t="s">
        <v>#N/A N/A</v>
        <stp/>
        <stp>BDP|666692238291715072</stp>
        <tr r="AC51" s="3"/>
      </tp>
      <tp t="s">
        <v>#N/A N/A</v>
        <stp/>
        <stp>BDP|649319131461840636</stp>
        <tr r="BL31" s="3"/>
      </tp>
      <tp t="s">
        <v>#N/A N/A</v>
        <stp/>
        <stp>BDP|358975556232979965</stp>
        <tr r="AD17" s="3"/>
      </tp>
      <tp t="s">
        <v>#N/A N/A</v>
        <stp/>
        <stp>BDP|749049451883356196</stp>
        <tr r="AW41" s="3"/>
      </tp>
      <tp t="s">
        <v>#N/A N/A</v>
        <stp/>
        <stp>BDP|427963010918256753</stp>
        <tr r="AO55" s="3"/>
      </tp>
      <tp t="s">
        <v>#N/A N/A</v>
        <stp/>
        <stp>BDP|387426951163134561</stp>
        <tr r="AG51" s="3"/>
      </tp>
      <tp t="s">
        <v>#N/A N/A</v>
        <stp/>
        <stp>BDP|467541033400278165</stp>
        <tr r="BH26" s="3"/>
      </tp>
      <tp t="s">
        <v>#N/A N/A</v>
        <stp/>
        <stp>BDP|478000200986191179</stp>
        <tr r="X25" s="3"/>
      </tp>
      <tp t="s">
        <v>#N/A N/A</v>
        <stp/>
        <stp>BDP|761419423539218856</stp>
        <tr r="BP27" s="3"/>
      </tp>
      <tp t="s">
        <v>#N/A N/A</v>
        <stp/>
        <stp>BDP|793534123112195247</stp>
        <tr r="BI15" s="3"/>
      </tp>
      <tp t="s">
        <v>#N/A N/A</v>
        <stp/>
        <stp>BDP|210108338484092181</stp>
        <tr r="AY32" s="3"/>
      </tp>
      <tp t="s">
        <v>#N/A N/A</v>
        <stp/>
        <stp>BDP|926723847440780486</stp>
        <tr r="W41" s="3"/>
      </tp>
      <tp t="s">
        <v>#N/A N/A</v>
        <stp/>
        <stp>BDP|226310261982837090</stp>
        <tr r="AR69" s="3"/>
      </tp>
      <tp t="s">
        <v>#N/A N/A</v>
        <stp/>
        <stp>BDP|933442642923435484</stp>
        <tr r="AD26" s="3"/>
      </tp>
      <tp t="s">
        <v>#N/A N/A</v>
        <stp/>
        <stp>BDP|381796749126215371</stp>
        <tr r="X69" s="3"/>
      </tp>
      <tp t="s">
        <v>#N/A N/A</v>
        <stp/>
        <stp>BDP|151887029508543443</stp>
        <tr r="AE53" s="3"/>
      </tp>
      <tp t="s">
        <v>#N/A N/A</v>
        <stp/>
        <stp>BDP|380068428717951354</stp>
        <tr r="AB65" s="3"/>
      </tp>
      <tp t="s">
        <v>#N/A N/A</v>
        <stp/>
        <stp>BDP|613954080111984150</stp>
        <tr r="AK68" s="3"/>
      </tp>
      <tp t="s">
        <v>#N/A N/A</v>
        <stp/>
        <stp>BDP|337388837059096846</stp>
        <tr r="AC69" s="3"/>
      </tp>
      <tp t="s">
        <v>#N/A N/A</v>
        <stp/>
        <stp>BDP|110670504423293497</stp>
        <tr r="AE48" s="3"/>
      </tp>
      <tp t="s">
        <v>#N/A N/A</v>
        <stp/>
        <stp>BDP|215985588728393851</stp>
        <tr r="AU32" s="3"/>
      </tp>
      <tp t="s">
        <v>#N/A N/A</v>
        <stp/>
        <stp>BDP|142305127926146627</stp>
        <tr r="AW58" s="3"/>
      </tp>
      <tp t="s">
        <v>#N/A N/A</v>
        <stp/>
        <stp>BDP|811761149256900498</stp>
        <tr r="BD67" s="3"/>
      </tp>
      <tp t="s">
        <v>#N/A N/A</v>
        <stp/>
        <stp>BDP|838996989702591316</stp>
        <tr r="BF69" s="3"/>
      </tp>
      <tp t="s">
        <v>#N/A N/A</v>
        <stp/>
        <stp>BDP|445985379486890819</stp>
        <tr r="BJ17" s="3"/>
      </tp>
      <tp t="s">
        <v>#N/A N/A</v>
        <stp/>
        <stp>BDP|958756204672790507</stp>
        <tr r="AD66" s="3"/>
      </tp>
      <tp t="s">
        <v>#N/A N/A</v>
        <stp/>
        <stp>BDP|488327513473880144</stp>
        <tr r="BM60" s="3"/>
      </tp>
      <tp t="s">
        <v>#N/A N/A</v>
        <stp/>
        <stp>BDP|811805642469538550</stp>
        <tr r="BN59" s="3"/>
      </tp>
      <tp t="s">
        <v>#N/A N/A</v>
        <stp/>
        <stp>BDP|580548743213125245</stp>
        <tr r="AT41" s="3"/>
      </tp>
      <tp t="s">
        <v>#N/A N/A</v>
        <stp/>
        <stp>BDP|697047695160057965</stp>
        <tr r="BG62" s="3"/>
      </tp>
      <tp t="s">
        <v>#N/A N/A</v>
        <stp/>
        <stp>BDP|528272736724703526</stp>
        <tr r="AN47" s="3"/>
      </tp>
      <tp t="s">
        <v>#N/A N/A</v>
        <stp/>
        <stp>BDP|897705877207204413</stp>
        <tr r="AG34" s="3"/>
      </tp>
      <tp t="s">
        <v>#N/A N/A</v>
        <stp/>
        <stp>BDP|568600838320131632</stp>
        <tr r="BB16" s="3"/>
      </tp>
      <tp t="s">
        <v>#N/A N/A</v>
        <stp/>
        <stp>BDP|198658219887315375</stp>
        <tr r="BG66" s="3"/>
      </tp>
      <tp t="s">
        <v>#N/A N/A</v>
        <stp/>
        <stp>BDP|844836969878013581</stp>
        <tr r="AH55" s="3"/>
      </tp>
      <tp t="s">
        <v>#N/A N/A</v>
        <stp/>
        <stp>BDP|580480101612455526</stp>
        <tr r="AP32" s="3"/>
      </tp>
      <tp t="s">
        <v>#N/A N/A</v>
        <stp/>
        <stp>BDP|486073766443017615</stp>
        <tr r="Y36" s="3"/>
      </tp>
      <tp t="s">
        <v>#N/A N/A</v>
        <stp/>
        <stp>BDP|387551340063484147</stp>
        <tr r="BD21" s="3"/>
      </tp>
      <tp t="s">
        <v>#N/A N/A</v>
        <stp/>
        <stp>BDP|887000829440739146</stp>
        <tr r="BQ61" s="3"/>
      </tp>
      <tp t="s">
        <v>#N/A N/A</v>
        <stp/>
        <stp>BDP|616948564018232584</stp>
        <tr r="AL46" s="3"/>
      </tp>
      <tp t="s">
        <v>#N/A N/A</v>
        <stp/>
        <stp>BDP|503629122016516084</stp>
        <tr r="AM37" s="3"/>
      </tp>
      <tp t="s">
        <v>#N/A N/A</v>
        <stp/>
        <stp>BDP|738320948467215258</stp>
        <tr r="BP35" s="3"/>
      </tp>
      <tp t="s">
        <v>#N/A N/A</v>
        <stp/>
        <stp>BDP|619426421115461153</stp>
        <tr r="BC63" s="3"/>
      </tp>
      <tp t="s">
        <v>#N/A N/A</v>
        <stp/>
        <stp>BDP|739387061225961223</stp>
        <tr r="AW27" s="3"/>
      </tp>
      <tp t="s">
        <v>#N/A N/A</v>
        <stp/>
        <stp>BDP|374356305926757734</stp>
        <tr r="Z54" s="3"/>
      </tp>
      <tp t="s">
        <v>#N/A N/A</v>
        <stp/>
        <stp>BDP|612726615384676070</stp>
        <tr r="AB35" s="3"/>
      </tp>
      <tp t="s">
        <v>#N/A N/A</v>
        <stp/>
        <stp>BDP|124151379991763589</stp>
        <tr r="Y26" s="3"/>
      </tp>
      <tp t="s">
        <v>#N/A N/A</v>
        <stp/>
        <stp>BDP|306232073051763675</stp>
        <tr r="AJ43" s="3"/>
      </tp>
      <tp t="s">
        <v>#N/A N/A</v>
        <stp/>
        <stp>BDP|114148859160928988</stp>
        <tr r="U19" s="3"/>
      </tp>
      <tp t="s">
        <v>#N/A N/A</v>
        <stp/>
        <stp>BDP|485522180676169685</stp>
        <tr r="AO30" s="3"/>
      </tp>
      <tp t="s">
        <v>#N/A N/A</v>
        <stp/>
        <stp>BDP|527732643367998938</stp>
        <tr r="X32" s="3"/>
      </tp>
      <tp t="s">
        <v>#N/A N/A</v>
        <stp/>
        <stp>BDP|151177389960972430</stp>
        <tr r="BF30" s="3"/>
      </tp>
      <tp t="s">
        <v>#N/A N/A</v>
        <stp/>
        <stp>BDP|636388459279542270</stp>
        <tr r="X59" s="3"/>
      </tp>
      <tp t="s">
        <v>#N/A N/A</v>
        <stp/>
        <stp>BDP|423752441697459930</stp>
        <tr r="AK55" s="3"/>
      </tp>
      <tp t="s">
        <v>#N/A N/A</v>
        <stp/>
        <stp>BDP|624623264948901590</stp>
        <tr r="AA55" s="3"/>
      </tp>
      <tp t="s">
        <v>#N/A N/A</v>
        <stp/>
        <stp>BDP|244814504610108545</stp>
        <tr r="AT62" s="3"/>
      </tp>
      <tp t="s">
        <v>#N/A N/A</v>
        <stp/>
        <stp>BDP|270987435261451751</stp>
        <tr r="BO66" s="3"/>
      </tp>
      <tp t="s">
        <v>#N/A N/A</v>
        <stp/>
        <stp>BDP|602294885207365118</stp>
        <tr r="BQ59" s="3"/>
      </tp>
      <tp t="s">
        <v>#N/A N/A</v>
        <stp/>
        <stp>BDP|562992304830347539</stp>
        <tr r="AO17" s="3"/>
      </tp>
      <tp t="s">
        <v>#N/A N/A</v>
        <stp/>
        <stp>BDP|354825450584028591</stp>
        <tr r="BB42" s="3"/>
      </tp>
      <tp t="s">
        <v>#N/A N/A</v>
        <stp/>
        <stp>BDP|598226283401270713</stp>
        <tr r="BB22" s="3"/>
      </tp>
      <tp t="s">
        <v>#N/A N/A</v>
        <stp/>
        <stp>BDP|559128491233605701</stp>
        <tr r="BC56" s="3"/>
      </tp>
      <tp t="s">
        <v>#N/A N/A</v>
        <stp/>
        <stp>BDP|601035088853899760</stp>
        <tr r="BJ58" s="3"/>
      </tp>
      <tp t="s">
        <v>#N/A N/A</v>
        <stp/>
        <stp>BDP|512803018517828190</stp>
        <tr r="AS39" s="3"/>
      </tp>
      <tp t="s">
        <v>#N/A N/A</v>
        <stp/>
        <stp>BDP|963635451078547400</stp>
        <tr r="BA22" s="3"/>
      </tp>
      <tp t="s">
        <v>#N/A N/A</v>
        <stp/>
        <stp>BDP|552651598879974989</stp>
        <tr r="AH60" s="3"/>
      </tp>
      <tp t="s">
        <v>#N/A N/A</v>
        <stp/>
        <stp>BDP|853908578667039671</stp>
        <tr r="BB34" s="3"/>
      </tp>
      <tp t="s">
        <v>#N/A N/A</v>
        <stp/>
        <stp>BDP|640671187480442120</stp>
        <tr r="AK22" s="3"/>
      </tp>
      <tp t="s">
        <v>#N/A N/A</v>
        <stp/>
        <stp>BDP|206965940554170794</stp>
        <tr r="BA24" s="3"/>
      </tp>
      <tp t="s">
        <v>#N/A N/A</v>
        <stp/>
        <stp>BDP|108653578767793851</stp>
        <tr r="AA25" s="3"/>
      </tp>
      <tp t="s">
        <v>#N/A N/A</v>
        <stp/>
        <stp>BDP|511530968758309546</stp>
        <tr r="BB25" s="3"/>
      </tp>
      <tp t="s">
        <v>#N/A N/A</v>
        <stp/>
        <stp>BDP|550047327205177923</stp>
        <tr r="BB26" s="3"/>
      </tp>
      <tp t="s">
        <v>#N/A N/A</v>
        <stp/>
        <stp>BDP|660316591413209748</stp>
        <tr r="V26" s="3"/>
      </tp>
      <tp t="s">
        <v>#N/A N/A</v>
        <stp/>
        <stp>BDP|712201764322444871</stp>
        <tr r="Y51" s="3"/>
      </tp>
      <tp t="s">
        <v>#N/A N/A</v>
        <stp/>
        <stp>BDP|333651921549627332</stp>
        <tr r="AP69" s="3"/>
      </tp>
      <tp t="s">
        <v>#N/A N/A</v>
        <stp/>
        <stp>BDP|710282693500632265</stp>
        <tr r="BK36" s="3"/>
      </tp>
      <tp t="s">
        <v>#N/A N/A</v>
        <stp/>
        <stp>BDP|841918876782578552</stp>
        <tr r="AQ21" s="3"/>
      </tp>
      <tp t="s">
        <v>#N/A N/A</v>
        <stp/>
        <stp>BDP|940307586871069378</stp>
        <tr r="AU36" s="3"/>
      </tp>
      <tp t="s">
        <v>#N/A N/A</v>
        <stp/>
        <stp>BDP|107996098821320834</stp>
        <tr r="AH31" s="3"/>
      </tp>
      <tp t="s">
        <v>#N/A N/A</v>
        <stp/>
        <stp>BDP|532940893800742972</stp>
        <tr r="AH36" s="3"/>
      </tp>
      <tp t="s">
        <v>#N/A N/A</v>
        <stp/>
        <stp>BDP|453197580815845563</stp>
        <tr r="AC36" s="3"/>
      </tp>
      <tp t="s">
        <v>#N/A N/A</v>
        <stp/>
        <stp>BDP|685443176888049389</stp>
        <tr r="AZ39" s="3"/>
      </tp>
      <tp t="s">
        <v>#N/A N/A</v>
        <stp/>
        <stp>BDP|674433480886171286</stp>
        <tr r="BM25" s="3"/>
      </tp>
      <tp t="s">
        <v>#N/A N/A</v>
        <stp/>
        <stp>BDP|831818966341279737</stp>
        <tr r="BK40" s="3"/>
      </tp>
      <tp t="s">
        <v>#N/A N/A</v>
        <stp/>
        <stp>BDP|170989307159581831</stp>
        <tr r="AM31" s="3"/>
      </tp>
      <tp t="s">
        <v>#N/A N/A</v>
        <stp/>
        <stp>BDP|269830302501239180</stp>
        <tr r="BM58" s="3"/>
      </tp>
      <tp t="s">
        <v>#N/A N/A</v>
        <stp/>
        <stp>BDP|942081532089906231</stp>
        <tr r="BO48" s="3"/>
      </tp>
      <tp t="s">
        <v>#N/A N/A</v>
        <stp/>
        <stp>BDP|816813166281215778</stp>
        <tr r="AR47" s="3"/>
      </tp>
      <tp t="s">
        <v>#N/A N/A</v>
        <stp/>
        <stp>BDP|117822733370053358</stp>
        <tr r="Y28" s="3"/>
      </tp>
      <tp t="s">
        <v>#N/A N/A</v>
        <stp/>
        <stp>BDP|637660226678739443</stp>
        <tr r="AW44" s="3"/>
      </tp>
      <tp t="s">
        <v>#N/A N/A</v>
        <stp/>
        <stp>BDP|238840863441516778</stp>
        <tr r="BQ30" s="3"/>
      </tp>
      <tp t="s">
        <v>#N/A N/A</v>
        <stp/>
        <stp>BDP|694766357578289220</stp>
        <tr r="X44" s="3"/>
      </tp>
      <tp t="s">
        <v>#N/A N/A</v>
        <stp/>
        <stp>BDP|648089336549851172</stp>
        <tr r="BJ51" s="3"/>
      </tp>
      <tp t="s">
        <v>#N/A N/A</v>
        <stp/>
        <stp>BDP|465306384937121733</stp>
        <tr r="BI32" s="3"/>
      </tp>
      <tp t="s">
        <v>#N/A N/A</v>
        <stp/>
        <stp>BDP|994026838869414155</stp>
        <tr r="AH48" s="3"/>
      </tp>
      <tp t="s">
        <v>#N/A N/A</v>
        <stp/>
        <stp>BDP|206434100587898918</stp>
        <tr r="AI34" s="3"/>
      </tp>
      <tp t="s">
        <v>#N/A N/A</v>
        <stp/>
        <stp>BDP|235351296454999408</stp>
        <tr r="BO24" s="3"/>
      </tp>
      <tp t="s">
        <v>#N/A N/A</v>
        <stp/>
        <stp>BDP|401638647431352969</stp>
        <tr r="AC39" s="3"/>
      </tp>
      <tp t="s">
        <v>#N/A N/A</v>
        <stp/>
        <stp>BDP|300208496940431146</stp>
        <tr r="AD16" s="3"/>
      </tp>
      <tp t="s">
        <v>#N/A N/A</v>
        <stp/>
        <stp>BDP|109459879639276096</stp>
        <tr r="AS50" s="3"/>
      </tp>
      <tp t="s">
        <v>#N/A N/A</v>
        <stp/>
        <stp>BDP|155625824826494838</stp>
        <tr r="BE43" s="3"/>
      </tp>
      <tp t="s">
        <v>#N/A N/A</v>
        <stp/>
        <stp>BDP|946864170733991663</stp>
        <tr r="BI62" s="3"/>
      </tp>
      <tp t="s">
        <v>#N/A N/A</v>
        <stp/>
        <stp>BDP|379990677314539092</stp>
        <tr r="AL50" s="3"/>
      </tp>
      <tp t="s">
        <v>#N/A N/A</v>
        <stp/>
        <stp>BDP|386202883400766046</stp>
        <tr r="AF28" s="3"/>
      </tp>
      <tp t="s">
        <v>#N/A N/A</v>
        <stp/>
        <stp>BDP|743804842094078263</stp>
        <tr r="AT61" s="3"/>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volatileDependencies" Target="volatileDependencies.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7.jpg"/></Relationships>
</file>

<file path=xl/drawings/_rels/drawing2.xml.rels><?xml version="1.0" encoding="UTF-8" standalone="yes"?>
<Relationships xmlns="http://schemas.openxmlformats.org/package/2006/relationships"><Relationship Id="rId1"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_rels/drawing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7.xml.rels><?xml version="1.0" encoding="UTF-8" standalone="yes"?>
<Relationships xmlns="http://schemas.openxmlformats.org/package/2006/relationships"><Relationship Id="rId1" Type="http://schemas.openxmlformats.org/officeDocument/2006/relationships/image" Target="../media/image8.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28575</xdr:colOff>
          <xdr:row>11</xdr:row>
          <xdr:rowOff>0</xdr:rowOff>
        </xdr:from>
        <xdr:to>
          <xdr:col>18</xdr:col>
          <xdr:colOff>352425</xdr:colOff>
          <xdr:row>12</xdr:row>
          <xdr:rowOff>104775</xdr:rowOff>
        </xdr:to>
        <xdr:sp macro="" textlink="">
          <xdr:nvSpPr>
            <xdr:cNvPr id="3074" name="btnPDF"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11</xdr:row>
          <xdr:rowOff>161925</xdr:rowOff>
        </xdr:from>
        <xdr:to>
          <xdr:col>10</xdr:col>
          <xdr:colOff>571500</xdr:colOff>
          <xdr:row>13</xdr:row>
          <xdr:rowOff>47625</xdr:rowOff>
        </xdr:to>
        <xdr:sp macro="" textlink="">
          <xdr:nvSpPr>
            <xdr:cNvPr id="3075" name="btnBrowse"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12</xdr:row>
          <xdr:rowOff>76200</xdr:rowOff>
        </xdr:from>
        <xdr:to>
          <xdr:col>18</xdr:col>
          <xdr:colOff>352425</xdr:colOff>
          <xdr:row>13</xdr:row>
          <xdr:rowOff>161925</xdr:rowOff>
        </xdr:to>
        <xdr:sp macro="" textlink="">
          <xdr:nvSpPr>
            <xdr:cNvPr id="3076" name="btnExcel"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11</xdr:row>
          <xdr:rowOff>47625</xdr:rowOff>
        </xdr:from>
        <xdr:to>
          <xdr:col>7</xdr:col>
          <xdr:colOff>657225</xdr:colOff>
          <xdr:row>14</xdr:row>
          <xdr:rowOff>47625</xdr:rowOff>
        </xdr:to>
        <xdr:sp macro="" textlink="">
          <xdr:nvSpPr>
            <xdr:cNvPr id="3077" name="btnReport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19</xdr:colOff>
      <xdr:row>0</xdr:row>
      <xdr:rowOff>12</xdr:rowOff>
    </xdr:from>
    <xdr:to>
      <xdr:col>13</xdr:col>
      <xdr:colOff>258252</xdr:colOff>
      <xdr:row>4</xdr:row>
      <xdr:rowOff>133303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 y="12"/>
          <a:ext cx="10058400" cy="89529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390525</xdr:colOff>
          <xdr:row>9</xdr:row>
          <xdr:rowOff>152400</xdr:rowOff>
        </xdr:from>
        <xdr:to>
          <xdr:col>6</xdr:col>
          <xdr:colOff>66675</xdr:colOff>
          <xdr:row>11</xdr:row>
          <xdr:rowOff>152400</xdr:rowOff>
        </xdr:to>
        <xdr:sp macro="" textlink="">
          <xdr:nvSpPr>
            <xdr:cNvPr id="3078" name="CommandButton1"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676275</xdr:colOff>
          <xdr:row>11</xdr:row>
          <xdr:rowOff>152400</xdr:rowOff>
        </xdr:from>
        <xdr:to>
          <xdr:col>9</xdr:col>
          <xdr:colOff>514350</xdr:colOff>
          <xdr:row>13</xdr:row>
          <xdr:rowOff>85725</xdr:rowOff>
        </xdr:to>
        <xdr:sp macro="" textlink="">
          <xdr:nvSpPr>
            <xdr:cNvPr id="3079" name="CommandButton2"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800100</xdr:colOff>
          <xdr:row>6</xdr:row>
          <xdr:rowOff>76200</xdr:rowOff>
        </xdr:from>
        <xdr:to>
          <xdr:col>4</xdr:col>
          <xdr:colOff>542925</xdr:colOff>
          <xdr:row>7</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19050</xdr:colOff>
      <xdr:row>0</xdr:row>
      <xdr:rowOff>1</xdr:rowOff>
    </xdr:from>
    <xdr:to>
      <xdr:col>8</xdr:col>
      <xdr:colOff>201058</xdr:colOff>
      <xdr:row>1</xdr:row>
      <xdr:rowOff>9696</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1"/>
          <a:ext cx="4924425" cy="4383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8</xdr:col>
      <xdr:colOff>417508</xdr:colOff>
      <xdr:row>1</xdr:row>
      <xdr:rowOff>9695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0"/>
          <a:ext cx="4924425" cy="4383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7</xdr:col>
      <xdr:colOff>995841</xdr:colOff>
      <xdr:row>1</xdr:row>
      <xdr:rowOff>9695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0"/>
          <a:ext cx="4924425" cy="4383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7</xdr:col>
      <xdr:colOff>966972</xdr:colOff>
      <xdr:row>1</xdr:row>
      <xdr:rowOff>9695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0"/>
          <a:ext cx="4924425" cy="4383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7</xdr:col>
      <xdr:colOff>280443</xdr:colOff>
      <xdr:row>1</xdr:row>
      <xdr:rowOff>9695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0"/>
          <a:ext cx="4924425" cy="4383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9</xdr:col>
      <xdr:colOff>73594</xdr:colOff>
      <xdr:row>1</xdr:row>
      <xdr:rowOff>9695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0"/>
          <a:ext cx="4924425" cy="43832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0</xdr:col>
      <xdr:colOff>3105151</xdr:colOff>
      <xdr:row>0</xdr:row>
      <xdr:rowOff>276387</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3105150" cy="27638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BR1796"/>
  <sheetViews>
    <sheetView zoomScale="90" zoomScaleNormal="90" workbookViewId="0">
      <pane ySplit="14" topLeftCell="A15" activePane="bottomLeft" state="frozen"/>
      <selection pane="bottomLeft" activeCell="I25" sqref="I25"/>
    </sheetView>
  </sheetViews>
  <sheetFormatPr defaultColWidth="9.140625" defaultRowHeight="15" x14ac:dyDescent="0.25"/>
  <cols>
    <col min="1" max="1" width="13.85546875" style="6" bestFit="1" customWidth="1"/>
    <col min="2" max="2" width="14" style="46" customWidth="1"/>
    <col min="3" max="3" width="18.5703125" style="47" customWidth="1"/>
    <col min="4" max="4" width="11.5703125" style="48" customWidth="1"/>
    <col min="5" max="5" width="12.7109375" style="50" customWidth="1"/>
    <col min="6" max="6" width="9.140625" style="6"/>
    <col min="7" max="7" width="9.140625" style="6" customWidth="1"/>
    <col min="8" max="8" width="11.85546875" style="6" customWidth="1"/>
    <col min="9" max="19" width="9.140625" style="6"/>
    <col min="20" max="20" width="9.28515625" style="6" customWidth="1"/>
    <col min="21" max="21" width="12.5703125" style="1" bestFit="1" customWidth="1"/>
    <col min="22" max="22" width="16.85546875" style="1" bestFit="1" customWidth="1"/>
    <col min="23" max="23" width="18.42578125" style="1" bestFit="1" customWidth="1"/>
    <col min="24" max="24" width="9.140625" style="1"/>
    <col min="25" max="25" width="11.140625" style="1" bestFit="1" customWidth="1"/>
    <col min="26" max="26" width="9.140625" style="1"/>
    <col min="27" max="27" width="14.140625" style="1" bestFit="1" customWidth="1"/>
    <col min="28" max="28" width="11.5703125" style="1" bestFit="1" customWidth="1"/>
    <col min="29" max="29" width="23.140625" style="1" bestFit="1" customWidth="1"/>
    <col min="30" max="30" width="14.28515625" style="1" bestFit="1" customWidth="1"/>
    <col min="31" max="31" width="16.28515625" style="1" bestFit="1" customWidth="1"/>
    <col min="32" max="32" width="17.7109375" style="1" customWidth="1"/>
    <col min="33" max="34" width="14.7109375" style="1" bestFit="1" customWidth="1"/>
    <col min="35" max="35" width="15.7109375" style="1" bestFit="1" customWidth="1"/>
    <col min="36" max="36" width="10.5703125" style="1" bestFit="1" customWidth="1"/>
    <col min="37" max="37" width="18.7109375" style="1" bestFit="1" customWidth="1"/>
    <col min="38" max="38" width="15.7109375" style="1" bestFit="1" customWidth="1"/>
    <col min="39" max="39" width="14.28515625" style="1" bestFit="1" customWidth="1"/>
    <col min="40" max="40" width="8.28515625" style="1" bestFit="1" customWidth="1"/>
    <col min="41" max="41" width="13.5703125" style="1" bestFit="1" customWidth="1"/>
    <col min="42" max="42" width="22.140625" style="1" bestFit="1" customWidth="1"/>
    <col min="43" max="43" width="23.28515625" style="1" bestFit="1" customWidth="1"/>
    <col min="44" max="44" width="11.42578125" style="1" bestFit="1" customWidth="1"/>
    <col min="45" max="45" width="10.85546875" style="1" bestFit="1" customWidth="1"/>
    <col min="46" max="46" width="32.7109375" style="1" bestFit="1" customWidth="1"/>
    <col min="47" max="49" width="15.28515625" style="1" bestFit="1" customWidth="1"/>
    <col min="50" max="50" width="13.5703125" style="1" bestFit="1" customWidth="1"/>
    <col min="51" max="53" width="15.85546875" style="1" bestFit="1" customWidth="1"/>
    <col min="54" max="56" width="14.28515625" style="1" bestFit="1" customWidth="1"/>
    <col min="57" max="57" width="13.42578125" style="1" bestFit="1" customWidth="1"/>
    <col min="58" max="58" width="19.5703125" style="1" bestFit="1" customWidth="1"/>
    <col min="59" max="59" width="17.5703125" style="1" bestFit="1" customWidth="1"/>
    <col min="60" max="60" width="10.42578125" style="1" bestFit="1" customWidth="1"/>
    <col min="61" max="61" width="20.5703125" style="1" bestFit="1" customWidth="1"/>
    <col min="62" max="62" width="20.5703125" style="115" customWidth="1"/>
    <col min="63" max="63" width="20.5703125" style="123" customWidth="1"/>
    <col min="64" max="64" width="19.85546875" style="1" bestFit="1" customWidth="1"/>
    <col min="65" max="65" width="24.42578125" style="1" bestFit="1" customWidth="1"/>
    <col min="66" max="66" width="13.28515625" style="1" bestFit="1" customWidth="1"/>
    <col min="67" max="67" width="18.7109375" style="1" bestFit="1" customWidth="1"/>
    <col min="68" max="68" width="16.42578125" style="1" bestFit="1" customWidth="1"/>
    <col min="69" max="16384" width="9.140625" style="1"/>
  </cols>
  <sheetData>
    <row r="1" spans="1:70" x14ac:dyDescent="0.25">
      <c r="A1" s="2"/>
      <c r="F1" s="2"/>
      <c r="G1" s="2"/>
      <c r="H1" s="2"/>
      <c r="I1" s="2"/>
      <c r="J1" s="2"/>
      <c r="K1" s="2"/>
      <c r="L1" s="20"/>
      <c r="M1" s="20"/>
      <c r="N1" s="20"/>
      <c r="O1" s="20"/>
      <c r="P1" s="20"/>
      <c r="Q1" s="20"/>
      <c r="R1" s="20"/>
    </row>
    <row r="2" spans="1:70" x14ac:dyDescent="0.25">
      <c r="A2" s="2"/>
      <c r="F2" s="2"/>
      <c r="G2" s="2"/>
      <c r="H2" s="2"/>
      <c r="I2" s="2"/>
      <c r="J2" s="2"/>
      <c r="K2" s="2"/>
      <c r="L2" s="20"/>
      <c r="M2" s="20"/>
      <c r="N2" s="20"/>
      <c r="O2" s="20"/>
      <c r="P2" s="20"/>
      <c r="Q2" s="20"/>
      <c r="R2" s="20"/>
    </row>
    <row r="3" spans="1:70" x14ac:dyDescent="0.25">
      <c r="A3" s="2"/>
      <c r="F3" s="2"/>
      <c r="G3" s="2"/>
      <c r="H3" s="2"/>
      <c r="I3" s="2"/>
      <c r="J3" s="2"/>
      <c r="K3" s="2"/>
      <c r="L3" s="20"/>
      <c r="M3" s="20"/>
      <c r="N3" s="20"/>
      <c r="O3" s="20"/>
      <c r="P3" s="20"/>
      <c r="Q3" s="20"/>
      <c r="R3" s="20"/>
    </row>
    <row r="4" spans="1:70" x14ac:dyDescent="0.25">
      <c r="A4" s="2"/>
      <c r="F4" s="2"/>
      <c r="G4" s="2"/>
      <c r="H4" s="2"/>
      <c r="I4" s="2"/>
      <c r="J4" s="2"/>
      <c r="K4" s="2"/>
      <c r="L4" s="20"/>
      <c r="M4" s="20"/>
      <c r="N4" s="20"/>
      <c r="O4" s="20"/>
      <c r="Q4" s="20"/>
      <c r="R4" s="20"/>
    </row>
    <row r="5" spans="1:70" x14ac:dyDescent="0.25">
      <c r="A5" s="2"/>
      <c r="F5" s="2"/>
      <c r="G5" s="2"/>
      <c r="H5" s="2"/>
      <c r="I5" s="2"/>
      <c r="J5" s="2"/>
      <c r="K5" s="2"/>
      <c r="L5" s="20"/>
      <c r="M5" s="20"/>
      <c r="N5" s="20"/>
      <c r="O5" s="20"/>
      <c r="P5" s="20"/>
      <c r="Q5" s="20"/>
      <c r="R5" s="20"/>
    </row>
    <row r="6" spans="1:70" x14ac:dyDescent="0.25">
      <c r="A6" s="2"/>
      <c r="F6" s="2"/>
      <c r="G6" s="2"/>
      <c r="H6" s="2"/>
      <c r="I6" s="2"/>
      <c r="J6" s="2"/>
      <c r="K6" s="2"/>
      <c r="L6" s="20"/>
      <c r="M6" s="20"/>
      <c r="N6" s="20"/>
      <c r="O6" s="20"/>
      <c r="P6" s="20"/>
      <c r="Q6" s="20"/>
      <c r="R6" s="20"/>
      <c r="BN6" s="152">
        <f>SUMPRODUCT(BN14:BN101,$C14:$C101)/SUM($C14:$C101)</f>
        <v>6.9925618437381054</v>
      </c>
      <c r="BO6" s="152">
        <f>SUMPRODUCT(BO14:BO101,$C14:$C101)/SUM($C14:$C101)</f>
        <v>6.5441229386377682</v>
      </c>
    </row>
    <row r="7" spans="1:70" x14ac:dyDescent="0.25">
      <c r="A7" s="2"/>
      <c r="F7" s="2"/>
      <c r="G7" s="2"/>
      <c r="H7" s="2"/>
      <c r="I7" s="2"/>
      <c r="J7" s="2"/>
      <c r="K7" s="2"/>
      <c r="L7" s="20"/>
      <c r="M7" s="20"/>
      <c r="N7" s="20"/>
      <c r="O7" s="20"/>
      <c r="P7" s="20"/>
      <c r="Q7" s="20"/>
      <c r="R7" s="20"/>
      <c r="AH7" s="152">
        <f>SUMPRODUCT(AH15:AH102,$C15:$C102)/SUM($C15:$C102)</f>
        <v>9.3995234755074755</v>
      </c>
      <c r="BK7" s="146" t="s">
        <v>102</v>
      </c>
      <c r="BN7" s="152">
        <f>SUMPRODUCT(BN15:BN102,$C15:$C102)/SUM($C15:$C102)</f>
        <v>6.9925618437381054</v>
      </c>
      <c r="BO7" s="1" t="s">
        <v>106</v>
      </c>
    </row>
    <row r="8" spans="1:70" x14ac:dyDescent="0.25">
      <c r="A8" s="2"/>
      <c r="F8" s="2"/>
      <c r="G8" s="2"/>
      <c r="H8" s="2"/>
      <c r="I8" s="2"/>
      <c r="J8" s="2"/>
      <c r="K8" s="2"/>
      <c r="L8" s="20"/>
      <c r="M8" s="20"/>
      <c r="N8" s="20"/>
      <c r="O8" s="20"/>
      <c r="P8" s="20"/>
      <c r="Q8" s="20"/>
      <c r="R8" s="20"/>
      <c r="T8" s="6" t="s">
        <v>195</v>
      </c>
      <c r="U8" s="1" t="s">
        <v>109</v>
      </c>
      <c r="V8" s="1" t="s">
        <v>110</v>
      </c>
    </row>
    <row r="9" spans="1:70" x14ac:dyDescent="0.25">
      <c r="A9" s="2">
        <v>1</v>
      </c>
      <c r="B9" s="46">
        <v>2</v>
      </c>
      <c r="C9" s="6">
        <v>3</v>
      </c>
      <c r="D9" s="46">
        <v>4</v>
      </c>
      <c r="E9" s="6">
        <v>5</v>
      </c>
      <c r="F9" s="46">
        <v>6</v>
      </c>
      <c r="G9" s="6">
        <v>7</v>
      </c>
      <c r="H9" s="46">
        <v>8</v>
      </c>
      <c r="I9" s="6">
        <v>9</v>
      </c>
      <c r="J9" s="46">
        <v>10</v>
      </c>
      <c r="K9" s="6">
        <v>11</v>
      </c>
      <c r="L9" s="46">
        <v>12</v>
      </c>
      <c r="M9" s="6">
        <v>13</v>
      </c>
      <c r="N9" s="46">
        <v>14</v>
      </c>
      <c r="O9" s="6">
        <v>15</v>
      </c>
      <c r="P9" s="46">
        <v>16</v>
      </c>
      <c r="Q9" s="6">
        <v>17</v>
      </c>
      <c r="R9" s="46">
        <v>18</v>
      </c>
      <c r="S9" s="6">
        <v>19</v>
      </c>
      <c r="T9" s="46">
        <f>SUM(T15:T2000)</f>
        <v>0</v>
      </c>
      <c r="U9" s="6">
        <v>21</v>
      </c>
      <c r="V9" s="46">
        <v>22</v>
      </c>
      <c r="W9" s="6">
        <v>23</v>
      </c>
      <c r="X9" s="46">
        <v>24</v>
      </c>
      <c r="Y9" s="6">
        <v>25</v>
      </c>
      <c r="Z9" s="46">
        <v>26</v>
      </c>
      <c r="AA9" s="6">
        <v>27</v>
      </c>
      <c r="AB9" s="46">
        <v>28</v>
      </c>
      <c r="AC9" s="6">
        <v>29</v>
      </c>
      <c r="AD9" s="46">
        <v>30</v>
      </c>
      <c r="AE9" s="6">
        <v>31</v>
      </c>
      <c r="AF9" s="46">
        <v>32</v>
      </c>
      <c r="AG9" s="6">
        <v>33</v>
      </c>
      <c r="AH9" s="46">
        <v>34</v>
      </c>
      <c r="AI9" s="6">
        <v>35</v>
      </c>
      <c r="AJ9" s="46">
        <v>36</v>
      </c>
      <c r="AK9" s="6">
        <v>37</v>
      </c>
      <c r="AL9" s="46">
        <v>38</v>
      </c>
      <c r="AM9" s="6">
        <v>39</v>
      </c>
      <c r="AN9" s="46">
        <v>40</v>
      </c>
      <c r="AO9" s="6">
        <v>41</v>
      </c>
      <c r="AP9" s="46">
        <v>42</v>
      </c>
      <c r="AQ9" s="6">
        <v>43</v>
      </c>
      <c r="AR9" s="46">
        <v>44</v>
      </c>
      <c r="AS9" s="6">
        <v>45</v>
      </c>
      <c r="AT9" s="46">
        <v>46</v>
      </c>
      <c r="AU9" s="6">
        <v>47</v>
      </c>
      <c r="AV9" s="46">
        <v>48</v>
      </c>
      <c r="AW9" s="6">
        <v>49</v>
      </c>
      <c r="AX9" s="46">
        <v>50</v>
      </c>
      <c r="AY9" s="6">
        <v>51</v>
      </c>
      <c r="AZ9" s="46">
        <v>52</v>
      </c>
      <c r="BA9" s="6">
        <v>53</v>
      </c>
      <c r="BB9" s="46">
        <v>54</v>
      </c>
      <c r="BC9" s="6">
        <v>55</v>
      </c>
      <c r="BD9" s="46">
        <v>56</v>
      </c>
      <c r="BE9" s="6">
        <v>57</v>
      </c>
      <c r="BF9" s="46">
        <v>58</v>
      </c>
      <c r="BG9" s="6">
        <v>59</v>
      </c>
      <c r="BH9" s="46">
        <v>60</v>
      </c>
      <c r="BI9" s="6">
        <v>61</v>
      </c>
      <c r="BJ9" s="46">
        <v>62</v>
      </c>
      <c r="BK9" s="6">
        <v>63</v>
      </c>
      <c r="BL9" s="124">
        <v>64</v>
      </c>
      <c r="BM9" s="124">
        <v>65</v>
      </c>
      <c r="BN9" s="124">
        <v>66</v>
      </c>
      <c r="BO9" s="124">
        <v>67</v>
      </c>
      <c r="BP9" s="124">
        <v>68</v>
      </c>
      <c r="BQ9" s="124">
        <v>69</v>
      </c>
      <c r="BR9" s="124">
        <v>70</v>
      </c>
    </row>
    <row r="10" spans="1:70" x14ac:dyDescent="0.25">
      <c r="A10" s="2"/>
      <c r="F10" s="2"/>
      <c r="G10" s="2"/>
      <c r="H10" s="2"/>
      <c r="I10" s="2"/>
      <c r="J10" s="2"/>
      <c r="K10" s="2"/>
      <c r="L10" s="20"/>
      <c r="M10" s="20"/>
      <c r="N10" s="20"/>
      <c r="O10" s="20"/>
      <c r="P10" s="20"/>
      <c r="Q10" s="20"/>
      <c r="R10" s="20"/>
    </row>
    <row r="11" spans="1:70" x14ac:dyDescent="0.25">
      <c r="A11" s="4" t="s">
        <v>32</v>
      </c>
      <c r="B11" s="5"/>
      <c r="C11" s="45"/>
      <c r="D11" s="23"/>
      <c r="E11" s="51"/>
      <c r="F11" s="5"/>
      <c r="G11" s="5" t="s">
        <v>23</v>
      </c>
      <c r="I11" s="5"/>
      <c r="J11" s="5"/>
      <c r="K11" s="4" t="s">
        <v>55</v>
      </c>
      <c r="L11" s="21"/>
      <c r="M11" s="20"/>
      <c r="N11" s="20"/>
      <c r="O11" s="20"/>
      <c r="P11" s="43"/>
      <c r="Q11" s="4" t="s">
        <v>56</v>
      </c>
      <c r="R11" s="20"/>
      <c r="BN11" s="1" t="s">
        <v>105</v>
      </c>
    </row>
    <row r="12" spans="1:70" x14ac:dyDescent="0.25">
      <c r="A12" s="2"/>
      <c r="F12" s="2"/>
      <c r="G12" s="2"/>
      <c r="H12" s="2"/>
      <c r="I12" s="2"/>
      <c r="J12" s="2"/>
      <c r="K12" s="17"/>
      <c r="L12" s="20"/>
      <c r="M12" s="20"/>
      <c r="N12" s="20"/>
      <c r="O12" s="20"/>
      <c r="P12" s="20"/>
      <c r="Q12" s="20"/>
      <c r="R12" s="20"/>
      <c r="AG12" s="147" t="e">
        <f>SUMPRODUCT(AG15:AG79,$A15:$A79)/SUM($A15:$A79)</f>
        <v>#DIV/0!</v>
      </c>
      <c r="AH12" s="147" t="e">
        <f t="shared" ref="AH12:AJ12" si="0">SUMPRODUCT(AH15:AH79,$A15:$A79)/SUM($A15:$A79)</f>
        <v>#DIV/0!</v>
      </c>
      <c r="AI12" s="147" t="e">
        <f t="shared" si="0"/>
        <v>#DIV/0!</v>
      </c>
      <c r="AJ12" s="147" t="e">
        <f t="shared" si="0"/>
        <v>#DIV/0!</v>
      </c>
      <c r="BJ12" s="147" t="e">
        <f t="shared" ref="BJ12:BR12" si="1">SUMPRODUCT(BJ15:BJ79,$A15:$A79)/SUM($A15:$A79)</f>
        <v>#DIV/0!</v>
      </c>
      <c r="BL12" s="147" t="e">
        <f>SUMPRODUCT(BL15:BL79,$A15:$A79)/SUM($A15:$A79)</f>
        <v>#DIV/0!</v>
      </c>
      <c r="BM12" s="147" t="e">
        <f t="shared" si="1"/>
        <v>#DIV/0!</v>
      </c>
      <c r="BN12" s="147" t="e">
        <f t="shared" si="1"/>
        <v>#DIV/0!</v>
      </c>
      <c r="BO12" s="147" t="e">
        <f t="shared" si="1"/>
        <v>#DIV/0!</v>
      </c>
      <c r="BP12" s="147" t="e">
        <f t="shared" si="1"/>
        <v>#DIV/0!</v>
      </c>
      <c r="BQ12" s="147" t="e">
        <f t="shared" si="1"/>
        <v>#DIV/0!</v>
      </c>
      <c r="BR12" s="147" t="e">
        <f t="shared" si="1"/>
        <v>#DIV/0!</v>
      </c>
    </row>
    <row r="13" spans="1:70" x14ac:dyDescent="0.25">
      <c r="A13" s="2"/>
      <c r="B13" s="54"/>
      <c r="C13" s="55" t="s">
        <v>15</v>
      </c>
      <c r="D13" s="54" t="s">
        <v>24</v>
      </c>
      <c r="E13" s="56" t="s">
        <v>57</v>
      </c>
      <c r="F13" s="2"/>
      <c r="G13" s="2"/>
      <c r="H13" s="2"/>
      <c r="I13" s="2"/>
      <c r="J13" s="2"/>
      <c r="L13" s="22" t="s">
        <v>58</v>
      </c>
      <c r="M13" s="18"/>
      <c r="N13" s="18"/>
      <c r="O13" s="19"/>
      <c r="P13" s="20"/>
      <c r="Q13" s="20"/>
      <c r="R13" s="20"/>
      <c r="U13" s="117">
        <v>20240311</v>
      </c>
      <c r="V13" s="1">
        <v>0</v>
      </c>
      <c r="W13" s="113">
        <v>1</v>
      </c>
      <c r="X13" s="115">
        <v>2</v>
      </c>
      <c r="Y13" s="115">
        <v>3</v>
      </c>
      <c r="Z13" s="115">
        <v>4</v>
      </c>
      <c r="AA13" s="115">
        <v>5</v>
      </c>
      <c r="AB13" s="115">
        <v>6</v>
      </c>
      <c r="AC13" s="115">
        <v>7</v>
      </c>
      <c r="AD13" s="115">
        <v>8</v>
      </c>
      <c r="AE13" s="115">
        <v>9</v>
      </c>
      <c r="AF13" s="115">
        <v>10</v>
      </c>
      <c r="AG13" s="115">
        <v>11</v>
      </c>
      <c r="AH13" s="115">
        <v>12</v>
      </c>
      <c r="AI13" s="115">
        <v>13</v>
      </c>
      <c r="AJ13" s="115">
        <v>14</v>
      </c>
      <c r="AK13" s="115">
        <v>15</v>
      </c>
      <c r="AL13" s="115">
        <v>16</v>
      </c>
      <c r="AM13" s="115">
        <v>17</v>
      </c>
      <c r="AN13" s="115">
        <v>18</v>
      </c>
      <c r="AO13" s="115">
        <v>19</v>
      </c>
      <c r="AP13" s="115">
        <v>20</v>
      </c>
      <c r="AQ13" s="115">
        <v>21</v>
      </c>
      <c r="AR13" s="115">
        <v>22</v>
      </c>
      <c r="AS13" s="115">
        <v>23</v>
      </c>
      <c r="AT13" s="115">
        <v>24</v>
      </c>
      <c r="AU13" s="115">
        <v>25</v>
      </c>
      <c r="AV13" s="115">
        <v>26</v>
      </c>
      <c r="AW13" s="115">
        <v>27</v>
      </c>
      <c r="AX13" s="115">
        <v>28</v>
      </c>
      <c r="AY13" s="115">
        <v>29</v>
      </c>
      <c r="AZ13" s="115">
        <v>30</v>
      </c>
      <c r="BA13" s="115">
        <v>31</v>
      </c>
      <c r="BB13" s="115">
        <v>32</v>
      </c>
      <c r="BC13" s="115">
        <v>33</v>
      </c>
      <c r="BD13" s="115">
        <v>34</v>
      </c>
      <c r="BE13" s="115">
        <v>35</v>
      </c>
      <c r="BF13" s="115">
        <v>36</v>
      </c>
      <c r="BG13" s="115">
        <v>37</v>
      </c>
      <c r="BH13" s="115">
        <v>38</v>
      </c>
      <c r="BI13" s="115">
        <v>39</v>
      </c>
      <c r="BJ13" s="123">
        <v>40</v>
      </c>
      <c r="BK13" s="123">
        <v>41</v>
      </c>
      <c r="BL13" s="115">
        <v>42</v>
      </c>
      <c r="BM13" s="123">
        <v>43</v>
      </c>
      <c r="BN13" s="123">
        <v>44</v>
      </c>
      <c r="BO13" s="123">
        <v>45</v>
      </c>
      <c r="BP13" s="123">
        <v>46</v>
      </c>
      <c r="BQ13" s="123">
        <v>47</v>
      </c>
      <c r="BR13" s="123">
        <v>48</v>
      </c>
    </row>
    <row r="14" spans="1:70" x14ac:dyDescent="0.25">
      <c r="A14" s="2"/>
      <c r="B14" s="57" t="s">
        <v>0</v>
      </c>
      <c r="C14" s="58" t="s">
        <v>16</v>
      </c>
      <c r="D14" s="57" t="s">
        <v>25</v>
      </c>
      <c r="E14" s="59" t="s">
        <v>36</v>
      </c>
      <c r="F14" s="2"/>
      <c r="G14" s="2"/>
      <c r="H14" s="2"/>
      <c r="I14" s="2"/>
      <c r="J14" s="2"/>
      <c r="K14" s="2"/>
      <c r="U14" s="1" t="s">
        <v>98</v>
      </c>
      <c r="V14" s="113" t="s">
        <v>99</v>
      </c>
      <c r="W14" s="113" t="s">
        <v>62</v>
      </c>
      <c r="X14" s="113" t="s">
        <v>60</v>
      </c>
      <c r="Y14" s="113" t="s">
        <v>63</v>
      </c>
      <c r="Z14" s="113" t="s">
        <v>64</v>
      </c>
      <c r="AA14" s="113" t="s">
        <v>65</v>
      </c>
      <c r="AB14" s="113" t="s">
        <v>61</v>
      </c>
      <c r="AC14" s="113" t="s">
        <v>66</v>
      </c>
      <c r="AD14" s="113" t="s">
        <v>67</v>
      </c>
      <c r="AE14" s="113" t="s">
        <v>68</v>
      </c>
      <c r="AF14" s="113" t="s">
        <v>69</v>
      </c>
      <c r="AG14" s="113" t="s">
        <v>70</v>
      </c>
      <c r="AH14" s="113" t="s">
        <v>71</v>
      </c>
      <c r="AI14" s="113" t="s">
        <v>72</v>
      </c>
      <c r="AJ14" s="113" t="s">
        <v>73</v>
      </c>
      <c r="AK14" s="113" t="s">
        <v>74</v>
      </c>
      <c r="AL14" s="113" t="s">
        <v>75</v>
      </c>
      <c r="AM14" s="113" t="s">
        <v>76</v>
      </c>
      <c r="AN14" s="113" t="s">
        <v>77</v>
      </c>
      <c r="AO14" s="113" t="s">
        <v>78</v>
      </c>
      <c r="AP14" s="113" t="s">
        <v>79</v>
      </c>
      <c r="AQ14" s="113" t="s">
        <v>80</v>
      </c>
      <c r="AR14" s="113" t="s">
        <v>81</v>
      </c>
      <c r="AS14" s="113" t="s">
        <v>82</v>
      </c>
      <c r="AT14" s="113" t="s">
        <v>83</v>
      </c>
      <c r="AU14" s="113" t="s">
        <v>84</v>
      </c>
      <c r="AV14" s="113" t="s">
        <v>85</v>
      </c>
      <c r="AW14" s="113" t="s">
        <v>86</v>
      </c>
      <c r="AX14" s="113" t="s">
        <v>87</v>
      </c>
      <c r="AY14" s="113" t="s">
        <v>88</v>
      </c>
      <c r="AZ14" s="113" t="s">
        <v>89</v>
      </c>
      <c r="BA14" s="113" t="s">
        <v>90</v>
      </c>
      <c r="BB14" s="113" t="s">
        <v>91</v>
      </c>
      <c r="BC14" s="113" t="s">
        <v>92</v>
      </c>
      <c r="BD14" s="113" t="s">
        <v>93</v>
      </c>
      <c r="BE14" s="113" t="s">
        <v>94</v>
      </c>
      <c r="BF14" s="113" t="s">
        <v>95</v>
      </c>
      <c r="BG14" s="113" t="s">
        <v>96</v>
      </c>
      <c r="BH14" s="113" t="s">
        <v>97</v>
      </c>
      <c r="BI14" s="113" t="s">
        <v>59</v>
      </c>
      <c r="BJ14" s="115" t="s">
        <v>100</v>
      </c>
      <c r="BK14" s="123" t="s">
        <v>107</v>
      </c>
      <c r="BL14" s="122"/>
      <c r="BM14" s="122"/>
      <c r="BN14" s="122"/>
      <c r="BO14" s="122"/>
      <c r="BP14" s="122"/>
      <c r="BQ14" s="122"/>
      <c r="BR14" s="122"/>
    </row>
    <row r="15" spans="1:70" x14ac:dyDescent="0.25">
      <c r="A15" s="149"/>
      <c r="B15" s="238" t="s">
        <v>140</v>
      </c>
      <c r="C15" s="239">
        <v>1242831</v>
      </c>
      <c r="D15" s="240">
        <v>99.866661071777344</v>
      </c>
      <c r="E15" s="53"/>
      <c r="F15" s="49"/>
      <c r="T15" s="6" t="str">
        <f>IF(U15&lt;&gt;TRIM(B15),1,"")</f>
        <v/>
      </c>
      <c r="U15" s="1" t="str" cm="1">
        <f t="array" ref="U15">_xll.BDP($B15 &amp; " id cusip","id cusip")</f>
        <v>3140QFWT2</v>
      </c>
      <c r="V15" s="144" t="str" cm="1">
        <f t="array" ref="V15">_xll.BDP($B15 &amp; " id cusip",V$14)</f>
        <v>FN CA7857</v>
      </c>
      <c r="W15" s="144" t="str" cm="1">
        <f t="array" ref="W15">_xll.BDP($B15 &amp; " id cusip",W$14)</f>
        <v>MBS ARM</v>
      </c>
      <c r="X15" s="144" cm="1">
        <f t="array" ref="X15">_xll.BDP($B15 &amp; " id cusip",X$14)</f>
        <v>5.85</v>
      </c>
      <c r="Y15" s="144" cm="1">
        <f t="array" ref="Y15">_xll.BDP($B15 &amp; " id cusip",Y$14)</f>
        <v>6.5</v>
      </c>
      <c r="Z15" s="144" cm="1">
        <f t="array" ref="Z15">_xll.BDP($B15 &amp; " id cusip",Z$14)</f>
        <v>203</v>
      </c>
      <c r="AA15" s="144" cm="1">
        <f t="array" ref="AA15">_xll.BDP($B15 &amp; " id cusip",AA$14)</f>
        <v>157</v>
      </c>
      <c r="AB15" s="144" t="str" cm="1">
        <f t="array" ref="AB15">_xll.BDP($B15 &amp; " id cusip",AB$14)</f>
        <v>12/1/2048</v>
      </c>
      <c r="AC15" s="144" cm="1">
        <f t="array" ref="AC15">_xll.BDP($B15 &amp; " id cusip",AC$14,"settle_dt=" &amp; $U$13)</f>
        <v>3</v>
      </c>
      <c r="AD15" s="144" cm="1">
        <f t="array" ref="AD15">_xll.BDP($B15 &amp; " id cusip",AD$14,"settle_dt=" &amp; $U$13)</f>
        <v>25.82</v>
      </c>
      <c r="AE15" s="144" cm="1">
        <f t="array" ref="AE15">_xll.BDP($B15 &amp; " id cusip",AE$14,"settle_dt=" &amp; $U$13)</f>
        <v>14.501335167500001</v>
      </c>
      <c r="AF15" s="144" cm="1">
        <f t="array" ref="AF15">_xll.BDP($B15 &amp; " id cusip",AF$14,"settle_dt=" &amp; $U$13)</f>
        <v>99.768041213032163</v>
      </c>
      <c r="AG15" s="144" cm="1">
        <f t="array" ref="AG15">_xll.BDP($B15 &amp; " id cusip",AG$14,"settle_dt=" &amp; $U$13)</f>
        <v>86.79720969548967</v>
      </c>
      <c r="AH15" s="144" cm="1">
        <f t="array" ref="AH15">_xll.BDP($B15 &amp; " id cusip",AH$14,"settle_dt=" &amp; $U$13)</f>
        <v>63.731262348470267</v>
      </c>
      <c r="AI15" s="144" cm="1">
        <f t="array" ref="AI15">_xll.BDP($B15 &amp; " id cusip",AI$14,"settle_dt=" &amp; $U$13)</f>
        <v>43.521557717229243</v>
      </c>
      <c r="AJ15" s="144" cm="1">
        <f t="array" ref="AJ15">_xll.BDP($B15 &amp; " id cusip",AJ$14,"settle_dt=" &amp; $U$13)</f>
        <v>0.32837103000000001</v>
      </c>
      <c r="AK15" s="144" t="str" cm="1">
        <f t="array" ref="AK15">_xll.BDP($B15 &amp; " id cusip",AK$14,"settle_dt=" &amp; $U$13)</f>
        <v>3/1/2024</v>
      </c>
      <c r="AL15" s="144" cm="1">
        <f t="array" ref="AL15">_xll.BDP($B15 &amp; " id cusip",AL$14,"settle_dt=" &amp; $U$13)</f>
        <v>0.54587761000000001</v>
      </c>
      <c r="AM15" s="144" cm="1">
        <f t="array" ref="AM15">_xll.BDP($B15 &amp; " id cusip",AM$14,"settle_dt=" &amp; $U$13)</f>
        <v>265</v>
      </c>
      <c r="AN15" s="144" t="str" cm="1">
        <f t="array" ref="AN15">_xll.BDP($B15 &amp; " id cusip",AN$14,"settle_dt=" &amp; $U$13)</f>
        <v>LB</v>
      </c>
      <c r="AO15" s="144" cm="1">
        <f t="array" ref="AO15">_xll.BDP($B15 &amp; " id cusip",AO$14,"settle_dt=" &amp; $U$13)</f>
        <v>157</v>
      </c>
      <c r="AP15" s="144" cm="1">
        <f t="array" ref="AP15">_xll.BDP($B15 &amp; " id cusip",AP$14,"settle_dt=" &amp; $U$13)</f>
        <v>236233</v>
      </c>
      <c r="AQ15" s="144" cm="1">
        <f t="array" ref="AQ15">_xll.BDP($B15 &amp; " id cusip",AQ$14,"settle_dt=" &amp; $U$13)</f>
        <v>310000</v>
      </c>
      <c r="AR15" s="144" cm="1">
        <f t="array" ref="AR15">_xll.BDP($B15 &amp; " id cusip",AR$14,"settle_dt=" &amp; $U$13)</f>
        <v>54</v>
      </c>
      <c r="AS15" s="144" cm="1">
        <f t="array" ref="AS15">_xll.BDP($B15 &amp; " id cusip",AS$14,"settle_dt=" &amp; $U$13)</f>
        <v>767</v>
      </c>
      <c r="AT15" s="144" t="str" cm="1">
        <f t="array" ref="AT15">_xll.BDP($B15 &amp; " id cusip",AT$14,"settle_dt=" &amp; $U$13)</f>
        <v>MULTIPLE</v>
      </c>
      <c r="AU15" s="144" t="str" cm="1">
        <f t="array" ref="AU15">_xll.BDP($B15 &amp; " id cusip",AU$14,"settle_dt=" &amp; $U$13)</f>
        <v>MA 84%</v>
      </c>
      <c r="AV15" s="144" t="str" cm="1">
        <f t="array" ref="AV15">_xll.BDP($B15 &amp; " id cusip",AV$14,"settle_dt=" &amp; $U$13)</f>
        <v>PA 16%</v>
      </c>
      <c r="AW15" s="144" t="str" cm="1">
        <f t="array" ref="AW15">_xll.BDP($B15 &amp; " id cusip",AW$14,"settle_dt=" &amp; $U$13)</f>
        <v>PA 9%</v>
      </c>
      <c r="AX15" s="144" cm="1">
        <f t="array" ref="AX15">_xll.BDP($B15 &amp; " id cusip",AX$14,"settle_dt=" &amp; $U$13)</f>
        <v>0</v>
      </c>
      <c r="AY15" s="144" cm="1">
        <f t="array" ref="AY15">_xll.BDP($B15 &amp; " id cusip",AY$14,"settle_dt=" &amp; $U$13)</f>
        <v>0</v>
      </c>
      <c r="AZ15" s="144" cm="1">
        <f t="array" ref="AZ15">_xll.BDP($B15 &amp; " id cusip",AZ$14,"settle_dt=" &amp; $U$13)</f>
        <v>0</v>
      </c>
      <c r="BA15" s="144" cm="1">
        <f t="array" ref="BA15">_xll.BDP($B15 &amp; " id cusip",BA$14,"settle_dt=" &amp; $U$13)</f>
        <v>0</v>
      </c>
      <c r="BB15" s="144" t="str" cm="1">
        <f t="array" ref="BB15">_xll.BDP($B15 &amp; " id cusip",BB$14,"settle_dt=" &amp; $U$13)</f>
        <v>MA 84.4</v>
      </c>
      <c r="BC15" s="144" t="str" cm="1">
        <f t="array" ref="BC15">_xll.BDP($B15 &amp; " id cusip",BC$14,"settle_dt=" &amp; $U$13)</f>
        <v>PA 15.6</v>
      </c>
      <c r="BD15" s="144" t="str" cm="1">
        <f t="array" ref="BD15">_xll.BDP($B15 &amp; " id cusip",BD$14,"settle_dt=" &amp; $U$13)</f>
        <v>PA 9.4</v>
      </c>
      <c r="BE15" s="144" cm="1">
        <f t="array" ref="BE15">_xll.BDP($B15 &amp; " id cusip",BE$14,"settle_dt=" &amp; $U$13)</f>
        <v>54</v>
      </c>
      <c r="BF15" s="144" t="str" cm="1">
        <f t="array" ref="BF15">_xll.BDP($B15 &amp; " id cusip",BF$14,"settle_dt=" &amp; $U$13)</f>
        <v>#N/A Field Not Applicable</v>
      </c>
      <c r="BG15" s="144" cm="1">
        <f t="array" ref="BG15">_xll.BDP($B15 &amp; " id cusip",BG$14,"settle_dt=" &amp; $U$13)</f>
        <v>310000</v>
      </c>
      <c r="BH15" s="144" cm="1">
        <f t="array" ref="BH15">_xll.BDP($B15 &amp; " id cusip",BH$14,"settle_dt=" &amp; $U$13)</f>
        <v>360</v>
      </c>
      <c r="BI15" s="144" t="str" cm="1">
        <f t="array" ref="BI15">_xll.BDP($B15 &amp; " id cusip",BI$14,"settle_dt=" &amp; $U$13)</f>
        <v>Mtge</v>
      </c>
      <c r="BJ15" s="144" cm="1">
        <f t="array" ref="BJ15">_xll.BDP($B15 &amp; " id cusip",BJ$14,"settle_dt=" &amp; $U$13)</f>
        <v>6.4859999999999998</v>
      </c>
      <c r="BK15" s="144" t="str" cm="1">
        <f t="array" ref="BK15">_xll.BDP($B15 &amp; " id cusip",BK$14,"settle_dt=" &amp; $U$13)</f>
        <v>FNARM</v>
      </c>
      <c r="BL15" s="122">
        <f>_xll.BDP($B15 &amp; " mtge","YLD_CNV_BID","SETTLE_DT=" &amp; $U$13,"PX_BID=" &amp; $D15, "MTG_PREPAY_SPEED=" &amp; AD15, "MTG_PREPAY_TYP=CPR")</f>
        <v>6.9589999999999996</v>
      </c>
      <c r="BM15" s="122">
        <f>_xll.BDP($B15 &amp; " mtge","YLD_CNV_BID","SETTLE_DT=" &amp; $U$13,"PX_BID=" &amp; $D15, "MTG_PREPAY_SPEED=" &amp; AE15, "MTG_PREPAY_TYP=CPR")</f>
        <v>7.0880000000000001</v>
      </c>
      <c r="BN15" s="122">
        <f>_xll.BDP($B15 &amp; " mtge","YLD_CNV_BID","SETTLE_DT=" &amp; $U$13,"PX_BID=" &amp; $D15, "MTG_PREPAY_SPEED=" &amp; AF15, "MTG_PREPAY_TYP=CPR")</f>
        <v>4.9489999999999998</v>
      </c>
      <c r="BO15" s="122">
        <f>_xll.BDP($B15 &amp; " mtge","YLD_CNV_BID","SETTLE_DT=" &amp; $U$13,"PX_BID=" &amp; $D15, "MTG_PREPAY_SPEED=" &amp; AG15, "MTG_PREPAY_TYP=CPR")</f>
        <v>5.8940000000000001</v>
      </c>
      <c r="BP15" s="122">
        <f>_xll.BDP($B15 &amp; " mtge","YLD_CNV_BID","SETTLE_DT=" &amp; $U$13,"PX_BID=" &amp; $D15, "MTG_PREPAY_SPEED=" &amp; AH15, "MTG_PREPAY_TYP=CPR")</f>
        <v>6.4109999999999996</v>
      </c>
      <c r="BQ15" s="122">
        <f>_xll.BDP($B15 &amp; " mtge","YLD_CNV_BID","SETTLE_DT=" &amp; $U$13,"PX_BID=" &amp; $D15, "MTG_PREPAY_SPEED=" &amp; AI15, "MTG_PREPAY_TYP=CPR")</f>
        <v>6.7279999999999998</v>
      </c>
      <c r="BR15" s="122"/>
    </row>
    <row r="16" spans="1:70" x14ac:dyDescent="0.25">
      <c r="A16" s="149"/>
      <c r="B16" s="238" t="s">
        <v>141</v>
      </c>
      <c r="C16" s="239">
        <v>5150000</v>
      </c>
      <c r="D16" s="240">
        <v>101.9951286315918</v>
      </c>
      <c r="E16" s="53"/>
      <c r="F16" s="49"/>
      <c r="T16" s="6" t="str">
        <f t="shared" ref="T16:T68" si="2">IF(U16&lt;&gt;TRIM(B16),1,"")</f>
        <v/>
      </c>
      <c r="U16" s="144" t="str" cm="1">
        <f t="array" ref="U16">_xll.BDP(B16 &amp; " id cusip","id cusip")</f>
        <v>3138EQUQ3</v>
      </c>
      <c r="V16" s="144" t="str" cm="1">
        <f t="array" ref="V16">_xll.BDP($B16 &amp; " id cusip",$V$14)</f>
        <v>FN AL7790</v>
      </c>
      <c r="W16" s="144" t="str" cm="1">
        <f t="array" ref="W16">_xll.BDP($B16 &amp; " id cusip",W$14)</f>
        <v>MBS ARM</v>
      </c>
      <c r="X16" s="144" cm="1">
        <f t="array" ref="X16">_xll.BDP($B16 &amp; " id cusip",X$14)</f>
        <v>5.9240000000000004</v>
      </c>
      <c r="Y16" s="144" cm="1">
        <f t="array" ref="Y16">_xll.BDP($B16 &amp; " id cusip",Y$14)</f>
        <v>6.35</v>
      </c>
      <c r="Z16" s="144" cm="1">
        <f t="array" ref="Z16">_xll.BDP($B16 &amp; " id cusip",Z$14)</f>
        <v>190</v>
      </c>
      <c r="AA16" s="144" cm="1">
        <f t="array" ref="AA16">_xll.BDP($B16 &amp; " id cusip",AA$14)</f>
        <v>170</v>
      </c>
      <c r="AB16" s="144" t="str" cm="1">
        <f t="array" ref="AB16">_xll.BDP($B16 &amp; " id cusip",AB$14)</f>
        <v>9/1/2040</v>
      </c>
      <c r="AC16" s="144" cm="1">
        <f t="array" ref="AC16">_xll.BDP($B16 &amp; " id cusip",AC$14,"settle_dt=" &amp; $U$13)</f>
        <v>64</v>
      </c>
      <c r="AD16" s="144" cm="1">
        <f t="array" ref="AD16">_xll.BDP($B16 &amp; " id cusip",AD$14,"settle_dt=" &amp; $U$13)</f>
        <v>20.8</v>
      </c>
      <c r="AE16" s="144" cm="1">
        <f t="array" ref="AE16">_xll.BDP($B16 &amp; " id cusip",AE$14,"settle_dt=" &amp; $U$13)</f>
        <v>31.706916589400002</v>
      </c>
      <c r="AF16" s="144" cm="1">
        <f t="array" ref="AF16">_xll.BDP($B16 &amp; " id cusip",AF$14,"settle_dt=" &amp; $U$13)</f>
        <v>1.0674994656533432</v>
      </c>
      <c r="AG16" s="144" cm="1">
        <f t="array" ref="AG16">_xll.BDP($B16 &amp; " id cusip",AG$14,"settle_dt=" &amp; $U$13)</f>
        <v>5.2305526747856153</v>
      </c>
      <c r="AH16" s="144" cm="1">
        <f t="array" ref="AH16">_xll.BDP($B16 &amp; " id cusip",AH$14,"settle_dt=" &amp; $U$13)</f>
        <v>14.757193169411609</v>
      </c>
      <c r="AI16" s="144" cm="1">
        <f t="array" ref="AI16">_xll.BDP($B16 &amp; " id cusip",AI$14,"settle_dt=" &amp; $U$13)</f>
        <v>14.114123218095386</v>
      </c>
      <c r="AJ16" s="144" cm="1">
        <f t="array" ref="AJ16">_xll.BDP($B16 &amp; " id cusip",AJ$14,"settle_dt=" &amp; $U$13)</f>
        <v>0.10830525000000001</v>
      </c>
      <c r="AK16" s="144" t="str" cm="1">
        <f t="array" ref="AK16">_xll.BDP($B16 &amp; " id cusip",AK$14,"settle_dt=" &amp; $U$13)</f>
        <v>3/1/2024</v>
      </c>
      <c r="AL16" s="144" cm="1">
        <f t="array" ref="AL16">_xll.BDP($B16 &amp; " id cusip",AL$14,"settle_dt=" &amp; $U$13)</f>
        <v>0.10873279</v>
      </c>
      <c r="AM16" s="144" cm="1">
        <f t="array" ref="AM16">_xll.BDP($B16 &amp; " id cusip",AM$14,"settle_dt=" &amp; $U$13)</f>
        <v>292</v>
      </c>
      <c r="AN16" s="144" t="str" cm="1">
        <f t="array" ref="AN16">_xll.BDP($B16 &amp; " id cusip",AN$14,"settle_dt=" &amp; $U$13)</f>
        <v>LB</v>
      </c>
      <c r="AO16" s="144" cm="1">
        <f t="array" ref="AO16">_xll.BDP($B16 &amp; " id cusip",AO$14,"settle_dt=" &amp; $U$13)</f>
        <v>170</v>
      </c>
      <c r="AP16" s="144" cm="1">
        <f t="array" ref="AP16">_xll.BDP($B16 &amp; " id cusip",AP$14,"settle_dt=" &amp; $U$13)</f>
        <v>266635</v>
      </c>
      <c r="AQ16" s="144" cm="1">
        <f t="array" ref="AQ16">_xll.BDP($B16 &amp; " id cusip",AQ$14,"settle_dt=" &amp; $U$13)</f>
        <v>524000</v>
      </c>
      <c r="AR16" s="144" cm="1">
        <f t="array" ref="AR16">_xll.BDP($B16 &amp; " id cusip",AR$14,"settle_dt=" &amp; $U$13)</f>
        <v>70</v>
      </c>
      <c r="AS16" s="144" cm="1">
        <f t="array" ref="AS16">_xll.BDP($B16 &amp; " id cusip",AS$14,"settle_dt=" &amp; $U$13)</f>
        <v>758</v>
      </c>
      <c r="AT16" s="144" t="str" cm="1">
        <f t="array" ref="AT16">_xll.BDP($B16 &amp; " id cusip",AT$14,"settle_dt=" &amp; $U$13)</f>
        <v>FANNIE MAE MEGA</v>
      </c>
      <c r="AU16" s="144" t="str" cm="1">
        <f t="array" ref="AU16">_xll.BDP($B16 &amp; " id cusip",AU$14,"settle_dt=" &amp; $U$13)</f>
        <v>CA 15%</v>
      </c>
      <c r="AV16" s="144" t="str" cm="1">
        <f t="array" ref="AV16">_xll.BDP($B16 &amp; " id cusip",AV$14,"settle_dt=" &amp; $U$13)</f>
        <v>NJ 13%</v>
      </c>
      <c r="AW16" s="144" t="str" cm="1">
        <f t="array" ref="AW16">_xll.BDP($B16 &amp; " id cusip",AW$14,"settle_dt=" &amp; $U$13)</f>
        <v>IL 11%</v>
      </c>
      <c r="AX16" s="144" cm="1">
        <f t="array" ref="AX16">_xll.BDP($B16 &amp; " id cusip",AX$14,"settle_dt=" &amp; $U$13)</f>
        <v>35.209999999999994</v>
      </c>
      <c r="AY16" s="144" cm="1">
        <f t="array" ref="AY16">_xll.BDP($B16 &amp; " id cusip",AY$14,"settle_dt=" &amp; $U$13)</f>
        <v>0.41</v>
      </c>
      <c r="AZ16" s="144" cm="1">
        <f t="array" ref="AZ16">_xll.BDP($B16 &amp; " id cusip",AZ$14,"settle_dt=" &amp; $U$13)</f>
        <v>0</v>
      </c>
      <c r="BA16" s="144" cm="1">
        <f t="array" ref="BA16">_xll.BDP($B16 &amp; " id cusip",BA$14,"settle_dt=" &amp; $U$13)</f>
        <v>0</v>
      </c>
      <c r="BB16" s="144" t="str" cm="1">
        <f t="array" ref="BB16">_xll.BDP($B16 &amp; " id cusip",BB$14,"settle_dt=" &amp; $U$13)</f>
        <v>CA 15.3</v>
      </c>
      <c r="BC16" s="144" t="str" cm="1">
        <f t="array" ref="BC16">_xll.BDP($B16 &amp; " id cusip",BC$14,"settle_dt=" &amp; $U$13)</f>
        <v>NJ 12.7</v>
      </c>
      <c r="BD16" s="144" t="str" cm="1">
        <f t="array" ref="BD16">_xll.BDP($B16 &amp; " id cusip",BD$14,"settle_dt=" &amp; $U$13)</f>
        <v>IL 10.6</v>
      </c>
      <c r="BE16" s="144" cm="1">
        <f t="array" ref="BE16">_xll.BDP($B16 &amp; " id cusip",BE$14,"settle_dt=" &amp; $U$13)</f>
        <v>70</v>
      </c>
      <c r="BF16" s="144" t="str" cm="1">
        <f t="array" ref="BF16">_xll.BDP($B16 &amp; " id cusip",BF$14,"settle_dt=" &amp; $U$13)</f>
        <v>#N/A Field Not Applicable</v>
      </c>
      <c r="BG16" s="144" cm="1">
        <f t="array" ref="BG16">_xll.BDP($B16 &amp; " id cusip",BG$14,"settle_dt=" &amp; $U$13)</f>
        <v>524000</v>
      </c>
      <c r="BH16" s="144" cm="1">
        <f t="array" ref="BH16">_xll.BDP($B16 &amp; " id cusip",BH$14,"settle_dt=" &amp; $U$13)</f>
        <v>360</v>
      </c>
      <c r="BI16" s="144" t="str" cm="1">
        <f t="array" ref="BI16">_xll.BDP($B16 &amp; " id cusip",BI$14,"settle_dt=" &amp; $U$13)</f>
        <v>Mtge</v>
      </c>
      <c r="BJ16" s="144" cm="1">
        <f t="array" ref="BJ16">_xll.BDP($B16 &amp; " id cusip",BJ$14,"settle_dt=" &amp; $U$13)</f>
        <v>6.7519999999999998</v>
      </c>
      <c r="BK16" s="144" t="str" cm="1">
        <f t="array" ref="BK16">_xll.BDP($B16 &amp; " id cusip",BK$14,"settle_dt=" &amp; $U$13)</f>
        <v>FNARM</v>
      </c>
      <c r="BL16" s="122">
        <f>_xll.BDP($B16 &amp; " mtge","YLD_CNV_BID","SETTLE_DT=" &amp; $U$13,"PX_BID=" &amp; $D16, "MTG_PREPAY_SPEED=" &amp; AD16, "MTG_PREPAY_TYP=CPR")</f>
        <v>6.5359999999999996</v>
      </c>
      <c r="BM16" s="122">
        <f>_xll.BDP($B16 &amp; " mtge","YLD_CNV_BID","SETTLE_DT=" &amp; $U$13,"PX_BID=" &amp; $D16, "MTG_PREPAY_SPEED=" &amp; AE16, "MTG_PREPAY_TYP=CPR")</f>
        <v>6.1349999999999998</v>
      </c>
      <c r="BN16" s="122">
        <f>_xll.BDP($B16 &amp; " mtge","YLD_CNV_BID","SETTLE_DT=" &amp; $U$13,"PX_BID=" &amp; $D16, "MTG_PREPAY_SPEED=" &amp; AF16, "MTG_PREPAY_TYP=CPR")</f>
        <v>7.1040000000000001</v>
      </c>
      <c r="BO16" s="122">
        <f>_xll.BDP($B16 &amp; " mtge","YLD_CNV_BID","SETTLE_DT=" &amp; $U$13,"PX_BID=" &amp; $D16, "MTG_PREPAY_SPEED=" &amp; AG16, "MTG_PREPAY_TYP=CPR")</f>
        <v>7.0030000000000001</v>
      </c>
      <c r="BP16" s="122">
        <f>_xll.BDP($B16 &amp; " mtge","YLD_CNV_BID","SETTLE_DT=" &amp; $U$13,"PX_BID=" &amp; $D16, "MTG_PREPAY_SPEED=" &amp; AH16, "MTG_PREPAY_TYP=CPR")</f>
        <v>6.7320000000000002</v>
      </c>
      <c r="BQ16" s="122">
        <f>_xll.BDP($B16 &amp; " mtge","YLD_CNV_BID","SETTLE_DT=" &amp; $U$13,"PX_BID=" &amp; $D16, "MTG_PREPAY_SPEED=" &amp; AI16, "MTG_PREPAY_TYP=CPR")</f>
        <v>6.7519999999999998</v>
      </c>
      <c r="BR16" s="122"/>
    </row>
    <row r="17" spans="1:70" x14ac:dyDescent="0.25">
      <c r="A17" s="149"/>
      <c r="B17" s="238" t="s">
        <v>142</v>
      </c>
      <c r="C17" s="239">
        <v>25986475</v>
      </c>
      <c r="D17" s="240">
        <v>101.312255859375</v>
      </c>
      <c r="E17" s="53"/>
      <c r="F17" s="49"/>
      <c r="T17" s="6" t="str">
        <f>IF(U17&lt;&gt;TRIM(B17),1,"")</f>
        <v/>
      </c>
      <c r="U17" s="144" t="str" cm="1">
        <f t="array" ref="U17">_xll.BDP(B17 &amp; " id cusip","id cusip")</f>
        <v>31410KXJ8</v>
      </c>
      <c r="V17" s="144" t="str" cm="1">
        <f t="array" ref="V17">_xll.BDP($B17 &amp; " id cusip",$V$14)</f>
        <v>FN 889981</v>
      </c>
      <c r="W17" s="144" t="str" cm="1">
        <f t="array" ref="W17">_xll.BDP($B17 &amp; " id cusip",W$14)</f>
        <v>MBS ARM</v>
      </c>
      <c r="X17" s="144" cm="1">
        <f t="array" ref="X17">_xll.BDP($B17 &amp; " id cusip",X$14)</f>
        <v>6.0810000000000004</v>
      </c>
      <c r="Y17" s="144" cm="1">
        <f t="array" ref="Y17">_xll.BDP($B17 &amp; " id cusip",Y$14)</f>
        <v>6.5069999999999997</v>
      </c>
      <c r="Z17" s="144" cm="1">
        <f t="array" ref="Z17">_xll.BDP($B17 &amp; " id cusip",Z$14)</f>
        <v>173</v>
      </c>
      <c r="AA17" s="144" cm="1">
        <f t="array" ref="AA17">_xll.BDP($B17 &amp; " id cusip",AA$14)</f>
        <v>187</v>
      </c>
      <c r="AB17" s="144" t="str" cm="1">
        <f t="array" ref="AB17">_xll.BDP($B17 &amp; " id cusip",AB$14)</f>
        <v>10/1/2038</v>
      </c>
      <c r="AC17" s="144" cm="1">
        <f t="array" ref="AC17">_xll.BDP($B17 &amp; " id cusip",AC$14,"settle_dt=" &amp; $U$13)</f>
        <v>5</v>
      </c>
      <c r="AD17" s="144" cm="1">
        <f t="array" ref="AD17">_xll.BDP($B17 &amp; " id cusip",AD$14,"settle_dt=" &amp; $U$13)</f>
        <v>20.37</v>
      </c>
      <c r="AE17" s="144" cm="1">
        <f t="array" ref="AE17">_xll.BDP($B17 &amp; " id cusip",AE$14,"settle_dt=" &amp; $U$13)</f>
        <v>11.762373414500001</v>
      </c>
      <c r="AF17" s="144" cm="1">
        <f t="array" ref="AF17">_xll.BDP($B17 &amp; " id cusip",AF$14,"settle_dt=" &amp; $U$13)</f>
        <v>0.74528029499013604</v>
      </c>
      <c r="AG17" s="144" cm="1">
        <f t="array" ref="AG17">_xll.BDP($B17 &amp; " id cusip",AG$14,"settle_dt=" &amp; $U$13)</f>
        <v>1.9923194714268178</v>
      </c>
      <c r="AH17" s="144" cm="1">
        <f t="array" ref="AH17">_xll.BDP($B17 &amp; " id cusip",AH$14,"settle_dt=" &amp; $U$13)</f>
        <v>2.3452267710627805</v>
      </c>
      <c r="AI17" s="144" cm="1">
        <f t="array" ref="AI17">_xll.BDP($B17 &amp; " id cusip",AI$14,"settle_dt=" &amp; $U$13)</f>
        <v>2.268651557868584</v>
      </c>
      <c r="AJ17" s="144" cm="1">
        <f t="array" ref="AJ17">_xll.BDP($B17 &amp; " id cusip",AJ$14,"settle_dt=" &amp; $U$13)</f>
        <v>1.901253E-2</v>
      </c>
      <c r="AK17" s="144" t="str" cm="1">
        <f t="array" ref="AK17">_xll.BDP($B17 &amp; " id cusip",AK$14,"settle_dt=" &amp; $U$13)</f>
        <v>3/1/2024</v>
      </c>
      <c r="AL17" s="144" cm="1">
        <f t="array" ref="AL17">_xll.BDP($B17 &amp; " id cusip",AL$14,"settle_dt=" &amp; $U$13)</f>
        <v>1.9090639999999999E-2</v>
      </c>
      <c r="AM17" s="144" cm="1">
        <f t="array" ref="AM17">_xll.BDP($B17 &amp; " id cusip",AM$14,"settle_dt=" &amp; $U$13)</f>
        <v>357</v>
      </c>
      <c r="AN17" s="144" t="str" cm="1">
        <f t="array" ref="AN17">_xll.BDP($B17 &amp; " id cusip",AN$14,"settle_dt=" &amp; $U$13)</f>
        <v>LB</v>
      </c>
      <c r="AO17" s="144" cm="1">
        <f t="array" ref="AO17">_xll.BDP($B17 &amp; " id cusip",AO$14,"settle_dt=" &amp; $U$13)</f>
        <v>187</v>
      </c>
      <c r="AP17" s="144" cm="1">
        <f t="array" ref="AP17">_xll.BDP($B17 &amp; " id cusip",AP$14,"settle_dt=" &amp; $U$13)</f>
        <v>206328</v>
      </c>
      <c r="AQ17" s="144" cm="1">
        <f t="array" ref="AQ17">_xll.BDP($B17 &amp; " id cusip",AQ$14,"settle_dt=" &amp; $U$13)</f>
        <v>272000</v>
      </c>
      <c r="AR17" s="144" cm="1">
        <f t="array" ref="AR17">_xll.BDP($B17 &amp; " id cusip",AR$14,"settle_dt=" &amp; $U$13)</f>
        <v>75</v>
      </c>
      <c r="AS17" s="144" cm="1">
        <f t="array" ref="AS17">_xll.BDP($B17 &amp; " id cusip",AS$14,"settle_dt=" &amp; $U$13)</f>
        <v>723</v>
      </c>
      <c r="AT17" s="144" t="str" cm="1">
        <f t="array" ref="AT17">_xll.BDP($B17 &amp; " id cusip",AT$14,"settle_dt=" &amp; $U$13)</f>
        <v>FANNIE MAE MEGA</v>
      </c>
      <c r="AU17" s="144" t="str" cm="1">
        <f t="array" ref="AU17">_xll.BDP($B17 &amp; " id cusip",AU$14,"settle_dt=" &amp; $U$13)</f>
        <v>CA 61%</v>
      </c>
      <c r="AV17" s="144" t="str" cm="1">
        <f t="array" ref="AV17">_xll.BDP($B17 &amp; " id cusip",AV$14,"settle_dt=" &amp; $U$13)</f>
        <v>PA 26%</v>
      </c>
      <c r="AW17" s="144" t="str" cm="1">
        <f t="array" ref="AW17">_xll.BDP($B17 &amp; " id cusip",AW$14,"settle_dt=" &amp; $U$13)</f>
        <v>MO 13%</v>
      </c>
      <c r="AX17" s="144" cm="1">
        <f t="array" ref="AX17">_xll.BDP($B17 &amp; " id cusip",AX$14,"settle_dt=" &amp; $U$13)</f>
        <v>100</v>
      </c>
      <c r="AY17" s="144" cm="1">
        <f t="array" ref="AY17">_xll.BDP($B17 &amp; " id cusip",AY$14,"settle_dt=" &amp; $U$13)</f>
        <v>0</v>
      </c>
      <c r="AZ17" s="144" cm="1">
        <f t="array" ref="AZ17">_xll.BDP($B17 &amp; " id cusip",AZ$14,"settle_dt=" &amp; $U$13)</f>
        <v>0</v>
      </c>
      <c r="BA17" s="144" cm="1">
        <f t="array" ref="BA17">_xll.BDP($B17 &amp; " id cusip",BA$14,"settle_dt=" &amp; $U$13)</f>
        <v>0</v>
      </c>
      <c r="BB17" s="144" t="str" cm="1">
        <f t="array" ref="BB17">_xll.BDP($B17 &amp; " id cusip",BB$14,"settle_dt=" &amp; $U$13)</f>
        <v>CA 60.8</v>
      </c>
      <c r="BC17" s="144" t="str" cm="1">
        <f t="array" ref="BC17">_xll.BDP($B17 &amp; " id cusip",BC$14,"settle_dt=" &amp; $U$13)</f>
        <v>PA 25.8</v>
      </c>
      <c r="BD17" s="144" t="str" cm="1">
        <f t="array" ref="BD17">_xll.BDP($B17 &amp; " id cusip",BD$14,"settle_dt=" &amp; $U$13)</f>
        <v>MO 13.4</v>
      </c>
      <c r="BE17" s="144" cm="1">
        <f t="array" ref="BE17">_xll.BDP($B17 &amp; " id cusip",BE$14,"settle_dt=" &amp; $U$13)</f>
        <v>75</v>
      </c>
      <c r="BF17" s="144" t="str" cm="1">
        <f t="array" ref="BF17">_xll.BDP($B17 &amp; " id cusip",BF$14,"settle_dt=" &amp; $U$13)</f>
        <v>#N/A Field Not Applicable</v>
      </c>
      <c r="BG17" s="144" cm="1">
        <f t="array" ref="BG17">_xll.BDP($B17 &amp; " id cusip",BG$14,"settle_dt=" &amp; $U$13)</f>
        <v>272000</v>
      </c>
      <c r="BH17" s="144" cm="1">
        <f t="array" ref="BH17">_xll.BDP($B17 &amp; " id cusip",BH$14,"settle_dt=" &amp; $U$13)</f>
        <v>360</v>
      </c>
      <c r="BI17" s="144" t="str" cm="1">
        <f t="array" ref="BI17">_xll.BDP($B17 &amp; " id cusip",BI$14,"settle_dt=" &amp; $U$13)</f>
        <v>Mtge</v>
      </c>
      <c r="BJ17" s="144" cm="1">
        <f t="array" ref="BJ17">_xll.BDP($B17 &amp; " id cusip",BJ$14,"settle_dt=" &amp; $U$13)</f>
        <v>7.202</v>
      </c>
      <c r="BK17" s="144" t="str" cm="1">
        <f t="array" ref="BK17">_xll.BDP($B17 &amp; " id cusip",BK$14,"settle_dt=" &amp; $U$13)</f>
        <v>FNARM</v>
      </c>
      <c r="BL17" s="122">
        <f>_xll.BDP($B17 &amp; " mtge","YLD_CNV_BID","SETTLE_DT=" &amp; $U$13,"PX_BID=" &amp; $D17, "MTG_PREPAY_SPEED=" &amp; AD17, "MTG_PREPAY_TYP=CPR")</f>
        <v>6.7949999999999999</v>
      </c>
      <c r="BM17" s="122">
        <f>_xll.BDP($B17 &amp; " mtge","YLD_CNV_BID","SETTLE_DT=" &amp; $U$13,"PX_BID=" &amp; $D17, "MTG_PREPAY_SPEED=" &amp; AE17, "MTG_PREPAY_TYP=CPR")</f>
        <v>7</v>
      </c>
      <c r="BN17" s="122">
        <f>_xll.BDP($B17 &amp; " mtge","YLD_CNV_BID","SETTLE_DT=" &amp; $U$13,"PX_BID=" &amp; $D17, "MTG_PREPAY_SPEED=" &amp; AF17, "MTG_PREPAY_TYP=CPR")</f>
        <v>7.2169999999999996</v>
      </c>
      <c r="BO17" s="122">
        <f>_xll.BDP($B17 &amp; " mtge","YLD_CNV_BID","SETTLE_DT=" &amp; $U$13,"PX_BID=" &amp; $D17, "MTG_PREPAY_SPEED=" &amp; AG17, "MTG_PREPAY_TYP=CPR")</f>
        <v>7.1950000000000003</v>
      </c>
      <c r="BP17" s="122">
        <f>_xll.BDP($B17 &amp; " mtge","YLD_CNV_BID","SETTLE_DT=" &amp; $U$13,"PX_BID=" &amp; $D17, "MTG_PREPAY_SPEED=" &amp; AH17, "MTG_PREPAY_TYP=CPR")</f>
        <v>7.1890000000000001</v>
      </c>
      <c r="BQ17" s="122">
        <f>_xll.BDP($B17 &amp; " mtge","YLD_CNV_BID","SETTLE_DT=" &amp; $U$13,"PX_BID=" &amp; $D17, "MTG_PREPAY_SPEED=" &amp; AI17, "MTG_PREPAY_TYP=CPR")</f>
        <v>7.19</v>
      </c>
      <c r="BR17" s="122"/>
    </row>
    <row r="18" spans="1:70" x14ac:dyDescent="0.25">
      <c r="A18" s="149"/>
      <c r="B18" s="137" t="s">
        <v>143</v>
      </c>
      <c r="C18" s="137">
        <v>16786252</v>
      </c>
      <c r="D18" s="137">
        <v>100.84714126586914</v>
      </c>
      <c r="E18" s="53"/>
      <c r="F18" s="49"/>
      <c r="T18" s="6" t="str">
        <f t="shared" si="2"/>
        <v/>
      </c>
      <c r="U18" s="144" t="str" cm="1">
        <f t="array" ref="U18">_xll.BDP(B18 &amp; " id cusip","id cusip")</f>
        <v>31414TMY4</v>
      </c>
      <c r="V18" s="144" t="str" cm="1">
        <f t="array" ref="V18">_xll.BDP($B18 &amp; " id cusip",$V$14)</f>
        <v>FN 975675</v>
      </c>
      <c r="W18" s="144" t="str" cm="1">
        <f t="array" ref="W18">_xll.BDP($B18 &amp; " id cusip",W$14)</f>
        <v>MBS ARM</v>
      </c>
      <c r="X18" s="144" cm="1">
        <f t="array" ref="X18">_xll.BDP($B18 &amp; " id cusip",X$14)</f>
        <v>6.0750000000000002</v>
      </c>
      <c r="Y18" s="144" cm="1">
        <f t="array" ref="Y18">_xll.BDP($B18 &amp; " id cusip",Y$14)</f>
        <v>6.5</v>
      </c>
      <c r="Z18" s="144" cm="1">
        <f t="array" ref="Z18">_xll.BDP($B18 &amp; " id cusip",Z$14)</f>
        <v>172</v>
      </c>
      <c r="AA18" s="144" cm="1">
        <f t="array" ref="AA18">_xll.BDP($B18 &amp; " id cusip",AA$14)</f>
        <v>188</v>
      </c>
      <c r="AB18" s="144" t="str" cm="1">
        <f t="array" ref="AB18">_xll.BDP($B18 &amp; " id cusip",AB$14)</f>
        <v>8/1/2038</v>
      </c>
      <c r="AC18" s="144" cm="1">
        <f t="array" ref="AC18">_xll.BDP($B18 &amp; " id cusip",AC$14,"settle_dt=" &amp; $U$13)</f>
        <v>3</v>
      </c>
      <c r="AD18" s="144" cm="1">
        <f t="array" ref="AD18">_xll.BDP($B18 &amp; " id cusip",AD$14,"settle_dt=" &amp; $U$13)</f>
        <v>19.309999999999999</v>
      </c>
      <c r="AE18" s="144" cm="1">
        <f t="array" ref="AE18">_xll.BDP($B18 &amp; " id cusip",AE$14,"settle_dt=" &amp; $U$13)</f>
        <v>12.957252673100001</v>
      </c>
      <c r="AF18" s="144" cm="1">
        <f t="array" ref="AF18">_xll.BDP($B18 &amp; " id cusip",AF$14,"settle_dt=" &amp; $U$13)</f>
        <v>0.43306852977804677</v>
      </c>
      <c r="AG18" s="144" cm="1">
        <f t="array" ref="AG18">_xll.BDP($B18 &amp; " id cusip",AG$14,"settle_dt=" &amp; $U$13)</f>
        <v>4.7971960117214945</v>
      </c>
      <c r="AH18" s="144" cm="1">
        <f t="array" ref="AH18">_xll.BDP($B18 &amp; " id cusip",AH$14,"settle_dt=" &amp; $U$13)</f>
        <v>5.4268302973362932</v>
      </c>
      <c r="AI18" s="144" cm="1">
        <f t="array" ref="AI18">_xll.BDP($B18 &amp; " id cusip",AI$14,"settle_dt=" &amp; $U$13)</f>
        <v>3.1618069306819652</v>
      </c>
      <c r="AJ18" s="144" cm="1">
        <f t="array" ref="AJ18">_xll.BDP($B18 &amp; " id cusip",AJ$14,"settle_dt=" &amp; $U$13)</f>
        <v>2.1924220000000001E-2</v>
      </c>
      <c r="AK18" s="144" t="str" cm="1">
        <f t="array" ref="AK18">_xll.BDP($B18 &amp; " id cusip",AK$14,"settle_dt=" &amp; $U$13)</f>
        <v>3/1/2024</v>
      </c>
      <c r="AL18" s="144" cm="1">
        <f t="array" ref="AL18">_xll.BDP($B18 &amp; " id cusip",AL$14,"settle_dt=" &amp; $U$13)</f>
        <v>2.2009259999999999E-2</v>
      </c>
      <c r="AM18" s="144" cm="1">
        <f t="array" ref="AM18">_xll.BDP($B18 &amp; " id cusip",AM$14,"settle_dt=" &amp; $U$13)</f>
        <v>360</v>
      </c>
      <c r="AN18" s="144" t="str" cm="1">
        <f t="array" ref="AN18">_xll.BDP($B18 &amp; " id cusip",AN$14,"settle_dt=" &amp; $U$13)</f>
        <v>LB</v>
      </c>
      <c r="AO18" s="144" cm="1">
        <f t="array" ref="AO18">_xll.BDP($B18 &amp; " id cusip",AO$14,"settle_dt=" &amp; $U$13)</f>
        <v>188</v>
      </c>
      <c r="AP18" s="144" cm="1">
        <f t="array" ref="AP18">_xll.BDP($B18 &amp; " id cusip",AP$14,"settle_dt=" &amp; $U$13)</f>
        <v>269998</v>
      </c>
      <c r="AQ18" s="144" cm="1">
        <f t="array" ref="AQ18">_xll.BDP($B18 &amp; " id cusip",AQ$14,"settle_dt=" &amp; $U$13)</f>
        <v>359000</v>
      </c>
      <c r="AR18" s="144" cm="1">
        <f t="array" ref="AR18">_xll.BDP($B18 &amp; " id cusip",AR$14,"settle_dt=" &amp; $U$13)</f>
        <v>79</v>
      </c>
      <c r="AS18" s="144" cm="1">
        <f t="array" ref="AS18">_xll.BDP($B18 &amp; " id cusip",AS$14,"settle_dt=" &amp; $U$13)</f>
        <v>713</v>
      </c>
      <c r="AT18" s="144" t="str" cm="1">
        <f t="array" ref="AT18">_xll.BDP($B18 &amp; " id cusip",AT$14,"settle_dt=" &amp; $U$13)</f>
        <v>WACHOVIA MORTGAGE, FSB</v>
      </c>
      <c r="AU18" s="144" t="str" cm="1">
        <f t="array" ref="AU18">_xll.BDP($B18 &amp; " id cusip",AU$14,"settle_dt=" &amp; $U$13)</f>
        <v>PA 56%</v>
      </c>
      <c r="AV18" s="144" t="str" cm="1">
        <f t="array" ref="AV18">_xll.BDP($B18 &amp; " id cusip",AV$14,"settle_dt=" &amp; $U$13)</f>
        <v>NC 23%</v>
      </c>
      <c r="AW18" s="144" t="str" cm="1">
        <f t="array" ref="AW18">_xll.BDP($B18 &amp; " id cusip",AW$14,"settle_dt=" &amp; $U$13)</f>
        <v>IL 21%</v>
      </c>
      <c r="AX18" s="144" cm="1">
        <f t="array" ref="AX18">_xll.BDP($B18 &amp; " id cusip",AX$14,"settle_dt=" &amp; $U$13)</f>
        <v>20.56</v>
      </c>
      <c r="AY18" s="144" cm="1">
        <f t="array" ref="AY18">_xll.BDP($B18 &amp; " id cusip",AY$14,"settle_dt=" &amp; $U$13)</f>
        <v>0</v>
      </c>
      <c r="AZ18" s="144" cm="1">
        <f t="array" ref="AZ18">_xll.BDP($B18 &amp; " id cusip",AZ$14,"settle_dt=" &amp; $U$13)</f>
        <v>0</v>
      </c>
      <c r="BA18" s="144" cm="1">
        <f t="array" ref="BA18">_xll.BDP($B18 &amp; " id cusip",BA$14,"settle_dt=" &amp; $U$13)</f>
        <v>0</v>
      </c>
      <c r="BB18" s="144" t="str" cm="1">
        <f t="array" ref="BB18">_xll.BDP($B18 &amp; " id cusip",BB$14,"settle_dt=" &amp; $U$13)</f>
        <v>PA 56.4</v>
      </c>
      <c r="BC18" s="144" t="str" cm="1">
        <f t="array" ref="BC18">_xll.BDP($B18 &amp; " id cusip",BC$14,"settle_dt=" &amp; $U$13)</f>
        <v>NC 23.1</v>
      </c>
      <c r="BD18" s="144" t="str" cm="1">
        <f t="array" ref="BD18">_xll.BDP($B18 &amp; " id cusip",BD$14,"settle_dt=" &amp; $U$13)</f>
        <v>IL 20.6</v>
      </c>
      <c r="BE18" s="144" cm="1">
        <f t="array" ref="BE18">_xll.BDP($B18 &amp; " id cusip",BE$14,"settle_dt=" &amp; $U$13)</f>
        <v>79</v>
      </c>
      <c r="BF18" s="144" t="str" cm="1">
        <f t="array" ref="BF18">_xll.BDP($B18 &amp; " id cusip",BF$14,"settle_dt=" &amp; $U$13)</f>
        <v>#N/A Field Not Applicable</v>
      </c>
      <c r="BG18" s="144" cm="1">
        <f t="array" ref="BG18">_xll.BDP($B18 &amp; " id cusip",BG$14,"settle_dt=" &amp; $U$13)</f>
        <v>359000</v>
      </c>
      <c r="BH18" s="144" cm="1">
        <f t="array" ref="BH18">_xll.BDP($B18 &amp; " id cusip",BH$14,"settle_dt=" &amp; $U$13)</f>
        <v>360</v>
      </c>
      <c r="BI18" s="144" t="str" cm="1">
        <f t="array" ref="BI18">_xll.BDP($B18 &amp; " id cusip",BI$14,"settle_dt=" &amp; $U$13)</f>
        <v>Mtge</v>
      </c>
      <c r="BJ18" s="144" cm="1">
        <f t="array" ref="BJ18">_xll.BDP($B18 &amp; " id cusip",BJ$14,"settle_dt=" &amp; $U$13)</f>
        <v>7.26</v>
      </c>
      <c r="BK18" s="144" t="str" cm="1">
        <f t="array" ref="BK18">_xll.BDP($B18 &amp; " id cusip",BK$14,"settle_dt=" &amp; $U$13)</f>
        <v>FNARM</v>
      </c>
      <c r="BL18" s="122">
        <f>_xll.BDP($B18 &amp; " mtge","YLD_CNV_BID","SETTLE_DT=" &amp; $U$13,"PX_BID=" &amp; $D18, "MTG_PREPAY_SPEED=" &amp; AD18, "MTG_PREPAY_TYP=CPR")</f>
        <v>7.0110000000000001</v>
      </c>
      <c r="BM18" s="122">
        <f>_xll.BDP($B18 &amp; " mtge","YLD_CNV_BID","SETTLE_DT=" &amp; $U$13,"PX_BID=" &amp; $D18, "MTG_PREPAY_SPEED=" &amp; AE18, "MTG_PREPAY_TYP=CPR")</f>
        <v>7.1260000000000003</v>
      </c>
      <c r="BN18" s="122">
        <f>_xll.BDP($B18 &amp; " mtge","YLD_CNV_BID","SETTLE_DT=" &amp; $U$13,"PX_BID=" &amp; $D18, "MTG_PREPAY_SPEED=" &amp; AF18, "MTG_PREPAY_TYP=CPR")</f>
        <v>7.3150000000000004</v>
      </c>
      <c r="BO18" s="122">
        <f>_xll.BDP($B18 &amp; " mtge","YLD_CNV_BID","SETTLE_DT=" &amp; $U$13,"PX_BID=" &amp; $D18, "MTG_PREPAY_SPEED=" &amp; AG18, "MTG_PREPAY_TYP=CPR")</f>
        <v>7.2549999999999999</v>
      </c>
      <c r="BP18" s="122">
        <f>_xll.BDP($B18 &amp; " mtge","YLD_CNV_BID","SETTLE_DT=" &amp; $U$13,"PX_BID=" &amp; $D18, "MTG_PREPAY_SPEED=" &amp; AH18, "MTG_PREPAY_TYP=CPR")</f>
        <v>7.2460000000000004</v>
      </c>
      <c r="BQ18" s="122">
        <f>_xll.BDP($B18 &amp; " mtge","YLD_CNV_BID","SETTLE_DT=" &amp; $U$13,"PX_BID=" &amp; $D18, "MTG_PREPAY_SPEED=" &amp; AI18, "MTG_PREPAY_TYP=CPR")</f>
        <v>7.2779999999999996</v>
      </c>
      <c r="BR18" s="122"/>
    </row>
    <row r="19" spans="1:70" x14ac:dyDescent="0.25">
      <c r="A19" s="149"/>
      <c r="B19" s="137" t="s">
        <v>144</v>
      </c>
      <c r="C19" s="137">
        <v>19956563</v>
      </c>
      <c r="D19" s="137">
        <v>100.50043106079102</v>
      </c>
      <c r="E19" s="53"/>
      <c r="T19" s="6" t="str">
        <f t="shared" si="2"/>
        <v/>
      </c>
      <c r="U19" s="144" t="str" cm="1">
        <f t="array" ref="U19">_xll.BDP(B19 &amp; " id cusip","id cusip")</f>
        <v>31415SWC2</v>
      </c>
      <c r="V19" s="144" t="str" cm="1">
        <f t="array" ref="V19">_xll.BDP($B19 &amp; " id cusip",$V$14)</f>
        <v>FN 988143</v>
      </c>
      <c r="W19" s="144" t="str" cm="1">
        <f t="array" ref="W19">_xll.BDP($B19 &amp; " id cusip",W$14)</f>
        <v>MBS ARM</v>
      </c>
      <c r="X19" s="144" cm="1">
        <f t="array" ref="X19">_xll.BDP($B19 &amp; " id cusip",X$14)</f>
        <v>5.9539999999999997</v>
      </c>
      <c r="Y19" s="144" cm="1">
        <f t="array" ref="Y19">_xll.BDP($B19 &amp; " id cusip",Y$14)</f>
        <v>6.5030000000000001</v>
      </c>
      <c r="Z19" s="144" cm="1">
        <f t="array" ref="Z19">_xll.BDP($B19 &amp; " id cusip",Z$14)</f>
        <v>174</v>
      </c>
      <c r="AA19" s="144" cm="1">
        <f t="array" ref="AA19">_xll.BDP($B19 &amp; " id cusip",AA$14)</f>
        <v>186</v>
      </c>
      <c r="AB19" s="144" t="str" cm="1">
        <f t="array" ref="AB19">_xll.BDP($B19 &amp; " id cusip",AB$14)</f>
        <v>10/1/2038</v>
      </c>
      <c r="AC19" s="144" cm="1">
        <f t="array" ref="AC19">_xll.BDP($B19 &amp; " id cusip",AC$14,"settle_dt=" &amp; $U$13)</f>
        <v>4</v>
      </c>
      <c r="AD19" s="144" cm="1">
        <f t="array" ref="AD19">_xll.BDP($B19 &amp; " id cusip",AD$14,"settle_dt=" &amp; $U$13)</f>
        <v>20.61</v>
      </c>
      <c r="AE19" s="144" cm="1">
        <f t="array" ref="AE19">_xll.BDP($B19 &amp; " id cusip",AE$14,"settle_dt=" &amp; $U$13)</f>
        <v>11.762373414500001</v>
      </c>
      <c r="AF19" s="144" cm="1">
        <f t="array" ref="AF19">_xll.BDP($B19 &amp; " id cusip",AF$14,"settle_dt=" &amp; $U$13)</f>
        <v>3.569635133114013</v>
      </c>
      <c r="AG19" s="144" cm="1">
        <f t="array" ref="AG19">_xll.BDP($B19 &amp; " id cusip",AG$14,"settle_dt=" &amp; $U$13)</f>
        <v>1.3162773811078554</v>
      </c>
      <c r="AH19" s="144" cm="1">
        <f t="array" ref="AH19">_xll.BDP($B19 &amp; " id cusip",AH$14,"settle_dt=" &amp; $U$13)</f>
        <v>0.80840803564349306</v>
      </c>
      <c r="AI19" s="144" cm="1">
        <f t="array" ref="AI19">_xll.BDP($B19 &amp; " id cusip",AI$14,"settle_dt=" &amp; $U$13)</f>
        <v>0.57453330259232827</v>
      </c>
      <c r="AJ19" s="144" cm="1">
        <f t="array" ref="AJ19">_xll.BDP($B19 &amp; " id cusip",AJ$14,"settle_dt=" &amp; $U$13)</f>
        <v>1.8310549999999998E-2</v>
      </c>
      <c r="AK19" s="144" t="str" cm="1">
        <f t="array" ref="AK19">_xll.BDP($B19 &amp; " id cusip",AK$14,"settle_dt=" &amp; $U$13)</f>
        <v>3/1/2024</v>
      </c>
      <c r="AL19" s="144" cm="1">
        <f t="array" ref="AL19">_xll.BDP($B19 &amp; " id cusip",AL$14,"settle_dt=" &amp; $U$13)</f>
        <v>1.842951E-2</v>
      </c>
      <c r="AM19" s="144" cm="1">
        <f t="array" ref="AM19">_xll.BDP($B19 &amp; " id cusip",AM$14,"settle_dt=" &amp; $U$13)</f>
        <v>359</v>
      </c>
      <c r="AN19" s="144" t="str" cm="1">
        <f t="array" ref="AN19">_xll.BDP($B19 &amp; " id cusip",AN$14,"settle_dt=" &amp; $U$13)</f>
        <v>LB</v>
      </c>
      <c r="AO19" s="144" cm="1">
        <f t="array" ref="AO19">_xll.BDP($B19 &amp; " id cusip",AO$14,"settle_dt=" &amp; $U$13)</f>
        <v>186</v>
      </c>
      <c r="AP19" s="144" cm="1">
        <f t="array" ref="AP19">_xll.BDP($B19 &amp; " id cusip",AP$14,"settle_dt=" &amp; $U$13)</f>
        <v>219585</v>
      </c>
      <c r="AQ19" s="144" cm="1">
        <f t="array" ref="AQ19">_xll.BDP($B19 &amp; " id cusip",AQ$14,"settle_dt=" &amp; $U$13)</f>
        <v>293000</v>
      </c>
      <c r="AR19" s="144" cm="1">
        <f t="array" ref="AR19">_xll.BDP($B19 &amp; " id cusip",AR$14,"settle_dt=" &amp; $U$13)</f>
        <v>78</v>
      </c>
      <c r="AS19" s="144" cm="1">
        <f t="array" ref="AS19">_xll.BDP($B19 &amp; " id cusip",AS$14,"settle_dt=" &amp; $U$13)</f>
        <v>736</v>
      </c>
      <c r="AT19" s="144" t="str" cm="1">
        <f t="array" ref="AT19">_xll.BDP($B19 &amp; " id cusip",AT$14,"settle_dt=" &amp; $U$13)</f>
        <v>BANK OF AMERICA NA</v>
      </c>
      <c r="AU19" s="144" t="str" cm="1">
        <f t="array" ref="AU19">_xll.BDP($B19 &amp; " id cusip",AU$14,"settle_dt=" &amp; $U$13)</f>
        <v>CA 70%</v>
      </c>
      <c r="AV19" s="144" t="str" cm="1">
        <f t="array" ref="AV19">_xll.BDP($B19 &amp; " id cusip",AV$14,"settle_dt=" &amp; $U$13)</f>
        <v>AZ 27%</v>
      </c>
      <c r="AW19" s="144" t="str" cm="1">
        <f t="array" ref="AW19">_xll.BDP($B19 &amp; " id cusip",AW$14,"settle_dt=" &amp; $U$13)</f>
        <v>TX 3%</v>
      </c>
      <c r="AX19" s="144" cm="1">
        <f t="array" ref="AX19">_xll.BDP($B19 &amp; " id cusip",AX$14,"settle_dt=" &amp; $U$13)</f>
        <v>0</v>
      </c>
      <c r="AY19" s="144" cm="1">
        <f t="array" ref="AY19">_xll.BDP($B19 &amp; " id cusip",AY$14,"settle_dt=" &amp; $U$13)</f>
        <v>0</v>
      </c>
      <c r="AZ19" s="144" cm="1">
        <f t="array" ref="AZ19">_xll.BDP($B19 &amp; " id cusip",AZ$14,"settle_dt=" &amp; $U$13)</f>
        <v>0</v>
      </c>
      <c r="BA19" s="144" cm="1">
        <f t="array" ref="BA19">_xll.BDP($B19 &amp; " id cusip",BA$14,"settle_dt=" &amp; $U$13)</f>
        <v>0</v>
      </c>
      <c r="BB19" s="144" t="str" cm="1">
        <f t="array" ref="BB19">_xll.BDP($B19 &amp; " id cusip",BB$14,"settle_dt=" &amp; $U$13)</f>
        <v>CA 70.4</v>
      </c>
      <c r="BC19" s="144" t="str" cm="1">
        <f t="array" ref="BC19">_xll.BDP($B19 &amp; " id cusip",BC$14,"settle_dt=" &amp; $U$13)</f>
        <v>AZ 26.9</v>
      </c>
      <c r="BD19" s="144" t="str" cm="1">
        <f t="array" ref="BD19">_xll.BDP($B19 &amp; " id cusip",BD$14,"settle_dt=" &amp; $U$13)</f>
        <v>TX 2.6</v>
      </c>
      <c r="BE19" s="144" cm="1">
        <f t="array" ref="BE19">_xll.BDP($B19 &amp; " id cusip",BE$14,"settle_dt=" &amp; $U$13)</f>
        <v>78</v>
      </c>
      <c r="BF19" s="144" t="str" cm="1">
        <f t="array" ref="BF19">_xll.BDP($B19 &amp; " id cusip",BF$14,"settle_dt=" &amp; $U$13)</f>
        <v>#N/A Field Not Applicable</v>
      </c>
      <c r="BG19" s="144" cm="1">
        <f t="array" ref="BG19">_xll.BDP($B19 &amp; " id cusip",BG$14,"settle_dt=" &amp; $U$13)</f>
        <v>293000</v>
      </c>
      <c r="BH19" s="144" cm="1">
        <f t="array" ref="BH19">_xll.BDP($B19 &amp; " id cusip",BH$14,"settle_dt=" &amp; $U$13)</f>
        <v>360</v>
      </c>
      <c r="BI19" s="144" t="str" cm="1">
        <f t="array" ref="BI19">_xll.BDP($B19 &amp; " id cusip",BI$14,"settle_dt=" &amp; $U$13)</f>
        <v>Mtge</v>
      </c>
      <c r="BJ19" s="144" cm="1">
        <f t="array" ref="BJ19">_xll.BDP($B19 &amp; " id cusip",BJ$14,"settle_dt=" &amp; $U$13)</f>
        <v>7.2140000000000004</v>
      </c>
      <c r="BK19" s="144" t="str" cm="1">
        <f t="array" ref="BK19">_xll.BDP($B19 &amp; " id cusip",BK$14,"settle_dt=" &amp; $U$13)</f>
        <v>FNARM</v>
      </c>
      <c r="BL19" s="122">
        <f>_xll.BDP($B19 &amp; " mtge","YLD_CNV_BID","SETTLE_DT=" &amp; $U$13,"PX_BID=" &amp; $D19, "MTG_PREPAY_SPEED=" &amp; AD19, "MTG_PREPAY_TYP=CPR")</f>
        <v>6.9039999999999999</v>
      </c>
      <c r="BM19" s="122">
        <f>_xll.BDP($B19 &amp; " mtge","YLD_CNV_BID","SETTLE_DT=" &amp; $U$13,"PX_BID=" &amp; $D19, "MTG_PREPAY_SPEED=" &amp; AE19, "MTG_PREPAY_TYP=CPR")</f>
        <v>7.0510000000000002</v>
      </c>
      <c r="BN19" s="122">
        <f>_xll.BDP($B19 &amp; " mtge","YLD_CNV_BID","SETTLE_DT=" &amp; $U$13,"PX_BID=" &amp; $D19, "MTG_PREPAY_SPEED=" &amp; AF19, "MTG_PREPAY_TYP=CPR")</f>
        <v>7.1680000000000001</v>
      </c>
      <c r="BO19" s="122">
        <f>_xll.BDP($B19 &amp; " mtge","YLD_CNV_BID","SETTLE_DT=" &amp; $U$13,"PX_BID=" &amp; $D19, "MTG_PREPAY_SPEED=" &amp; AG19, "MTG_PREPAY_TYP=CPR")</f>
        <v>7.1970000000000001</v>
      </c>
      <c r="BP19" s="122">
        <f>_xll.BDP($B19 &amp; " mtge","YLD_CNV_BID","SETTLE_DT=" &amp; $U$13,"PX_BID=" &amp; $D19, "MTG_PREPAY_SPEED=" &amp; AH19, "MTG_PREPAY_TYP=CPR")</f>
        <v>7.2030000000000003</v>
      </c>
      <c r="BQ19" s="122">
        <f>_xll.BDP($B19 &amp; " mtge","YLD_CNV_BID","SETTLE_DT=" &amp; $U$13,"PX_BID=" &amp; $D19, "MTG_PREPAY_SPEED=" &amp; AI19, "MTG_PREPAY_TYP=CPR")</f>
        <v>7.2060000000000004</v>
      </c>
      <c r="BR19" s="122"/>
    </row>
    <row r="20" spans="1:70" x14ac:dyDescent="0.25">
      <c r="A20" s="149"/>
      <c r="B20" s="137" t="s">
        <v>145</v>
      </c>
      <c r="C20" s="137">
        <v>3100000</v>
      </c>
      <c r="D20" s="137">
        <v>101.32038879394531</v>
      </c>
      <c r="E20" s="53"/>
      <c r="T20" s="6" t="str">
        <f t="shared" si="2"/>
        <v/>
      </c>
      <c r="U20" s="144" t="str" cm="1">
        <f t="array" ref="U20">_xll.BDP(B20 &amp; " id cusip","id cusip")</f>
        <v>3140J84P5</v>
      </c>
      <c r="V20" s="144" t="str" cm="1">
        <f t="array" ref="V20">_xll.BDP($B20 &amp; " id cusip",$V$14)</f>
        <v>FN BM4429</v>
      </c>
      <c r="W20" s="144" t="str" cm="1">
        <f t="array" ref="W20">_xll.BDP($B20 &amp; " id cusip",W$14)</f>
        <v>MBS ARM</v>
      </c>
      <c r="X20" s="144" cm="1">
        <f t="array" ref="X20">_xll.BDP($B20 &amp; " id cusip",X$14)</f>
        <v>5.7460000000000004</v>
      </c>
      <c r="Y20" s="144" cm="1">
        <f t="array" ref="Y20">_xll.BDP($B20 &amp; " id cusip",Y$14)</f>
        <v>6.4109999999999996</v>
      </c>
      <c r="Z20" s="144" cm="1">
        <f t="array" ref="Z20">_xll.BDP($B20 &amp; " id cusip",Z$14)</f>
        <v>240</v>
      </c>
      <c r="AA20" s="144" cm="1">
        <f t="array" ref="AA20">_xll.BDP($B20 &amp; " id cusip",AA$14)</f>
        <v>120</v>
      </c>
      <c r="AB20" s="144" t="str" cm="1">
        <f t="array" ref="AB20">_xll.BDP($B20 &amp; " id cusip",AB$14)</f>
        <v>1/1/2045</v>
      </c>
      <c r="AC20" s="144" cm="1">
        <f t="array" ref="AC20">_xll.BDP($B20 &amp; " id cusip",AC$14,"settle_dt=" &amp; $U$13)</f>
        <v>145</v>
      </c>
      <c r="AD20" s="144" cm="1">
        <f t="array" ref="AD20">_xll.BDP($B20 &amp; " id cusip",AD$14,"settle_dt=" &amp; $U$13)</f>
        <v>30.07</v>
      </c>
      <c r="AE20" s="144" cm="1">
        <f t="array" ref="AE20">_xll.BDP($B20 &amp; " id cusip",AE$14,"settle_dt=" &amp; $U$13)</f>
        <v>19.162170316699999</v>
      </c>
      <c r="AF20" s="144" cm="1">
        <f t="array" ref="AF20">_xll.BDP($B20 &amp; " id cusip",AF$14,"settle_dt=" &amp; $U$13)</f>
        <v>0.66412945596653339</v>
      </c>
      <c r="AG20" s="144" cm="1">
        <f t="array" ref="AG20">_xll.BDP($B20 &amp; " id cusip",AG$14,"settle_dt=" &amp; $U$13)</f>
        <v>19.17276264906549</v>
      </c>
      <c r="AH20" s="144" cm="1">
        <f t="array" ref="AH20">_xll.BDP($B20 &amp; " id cusip",AH$14,"settle_dt=" &amp; $U$13)</f>
        <v>21.651920372950151</v>
      </c>
      <c r="AI20" s="144" cm="1">
        <f t="array" ref="AI20">_xll.BDP($B20 &amp; " id cusip",AI$14,"settle_dt=" &amp; $U$13)</f>
        <v>17.872390723858288</v>
      </c>
      <c r="AJ20" s="144" cm="1">
        <f t="array" ref="AJ20">_xll.BDP($B20 &amp; " id cusip",AJ$14,"settle_dt=" &amp; $U$13)</f>
        <v>0.1163806</v>
      </c>
      <c r="AK20" s="144" t="str" cm="1">
        <f t="array" ref="AK20">_xll.BDP($B20 &amp; " id cusip",AK$14,"settle_dt=" &amp; $U$13)</f>
        <v>3/1/2024</v>
      </c>
      <c r="AL20" s="144" cm="1">
        <f t="array" ref="AL20">_xll.BDP($B20 &amp; " id cusip",AL$14,"settle_dt=" &amp; $U$13)</f>
        <v>0.11668401</v>
      </c>
      <c r="AM20" s="144" cm="1">
        <f t="array" ref="AM20">_xll.BDP($B20 &amp; " id cusip",AM$14,"settle_dt=" &amp; $U$13)</f>
        <v>308</v>
      </c>
      <c r="AN20" s="144" t="str" cm="1">
        <f t="array" ref="AN20">_xll.BDP($B20 &amp; " id cusip",AN$14,"settle_dt=" &amp; $U$13)</f>
        <v>LB</v>
      </c>
      <c r="AO20" s="144" cm="1">
        <f t="array" ref="AO20">_xll.BDP($B20 &amp; " id cusip",AO$14,"settle_dt=" &amp; $U$13)</f>
        <v>120</v>
      </c>
      <c r="AP20" s="144" cm="1">
        <f t="array" ref="AP20">_xll.BDP($B20 &amp; " id cusip",AP$14,"settle_dt=" &amp; $U$13)</f>
        <v>323061</v>
      </c>
      <c r="AQ20" s="144" cm="1">
        <f t="array" ref="AQ20">_xll.BDP($B20 &amp; " id cusip",AQ$14,"settle_dt=" &amp; $U$13)</f>
        <v>719000</v>
      </c>
      <c r="AR20" s="144" cm="1">
        <f t="array" ref="AR20">_xll.BDP($B20 &amp; " id cusip",AR$14,"settle_dt=" &amp; $U$13)</f>
        <v>67</v>
      </c>
      <c r="AS20" s="144" cm="1">
        <f t="array" ref="AS20">_xll.BDP($B20 &amp; " id cusip",AS$14,"settle_dt=" &amp; $U$13)</f>
        <v>738</v>
      </c>
      <c r="AT20" s="144" t="str" cm="1">
        <f t="array" ref="AT20">_xll.BDP($B20 &amp; " id cusip",AT$14,"settle_dt=" &amp; $U$13)</f>
        <v>FANNIE MAE MEGA</v>
      </c>
      <c r="AU20" s="144" t="str" cm="1">
        <f t="array" ref="AU20">_xll.BDP($B20 &amp; " id cusip",AU$14,"settle_dt=" &amp; $U$13)</f>
        <v>TX 18%</v>
      </c>
      <c r="AV20" s="144" t="str" cm="1">
        <f t="array" ref="AV20">_xll.BDP($B20 &amp; " id cusip",AV$14,"settle_dt=" &amp; $U$13)</f>
        <v>NY 16%</v>
      </c>
      <c r="AW20" s="144" t="str" cm="1">
        <f t="array" ref="AW20">_xll.BDP($B20 &amp; " id cusip",AW$14,"settle_dt=" &amp; $U$13)</f>
        <v>MA 16%</v>
      </c>
      <c r="AX20" s="144" cm="1">
        <f t="array" ref="AX20">_xll.BDP($B20 &amp; " id cusip",AX$14,"settle_dt=" &amp; $U$13)</f>
        <v>62.959999999999994</v>
      </c>
      <c r="AY20" s="144" cm="1">
        <f t="array" ref="AY20">_xll.BDP($B20 &amp; " id cusip",AY$14,"settle_dt=" &amp; $U$13)</f>
        <v>0.01</v>
      </c>
      <c r="AZ20" s="144" cm="1">
        <f t="array" ref="AZ20">_xll.BDP($B20 &amp; " id cusip",AZ$14,"settle_dt=" &amp; $U$13)</f>
        <v>0</v>
      </c>
      <c r="BA20" s="144" cm="1">
        <f t="array" ref="BA20">_xll.BDP($B20 &amp; " id cusip",BA$14,"settle_dt=" &amp; $U$13)</f>
        <v>0</v>
      </c>
      <c r="BB20" s="144" t="str" cm="1">
        <f t="array" ref="BB20">_xll.BDP($B20 &amp; " id cusip",BB$14,"settle_dt=" &amp; $U$13)</f>
        <v>TX 18.2</v>
      </c>
      <c r="BC20" s="144" t="str" cm="1">
        <f t="array" ref="BC20">_xll.BDP($B20 &amp; " id cusip",BC$14,"settle_dt=" &amp; $U$13)</f>
        <v>NY 16.2</v>
      </c>
      <c r="BD20" s="144" t="str" cm="1">
        <f t="array" ref="BD20">_xll.BDP($B20 &amp; " id cusip",BD$14,"settle_dt=" &amp; $U$13)</f>
        <v>MA 15.7</v>
      </c>
      <c r="BE20" s="144" cm="1">
        <f t="array" ref="BE20">_xll.BDP($B20 &amp; " id cusip",BE$14,"settle_dt=" &amp; $U$13)</f>
        <v>67</v>
      </c>
      <c r="BF20" s="144" t="str" cm="1">
        <f t="array" ref="BF20">_xll.BDP($B20 &amp; " id cusip",BF$14,"settle_dt=" &amp; $U$13)</f>
        <v>#N/A Field Not Applicable</v>
      </c>
      <c r="BG20" s="144" cm="1">
        <f t="array" ref="BG20">_xll.BDP($B20 &amp; " id cusip",BG$14,"settle_dt=" &amp; $U$13)</f>
        <v>719000</v>
      </c>
      <c r="BH20" s="144" cm="1">
        <f t="array" ref="BH20">_xll.BDP($B20 &amp; " id cusip",BH$14,"settle_dt=" &amp; $U$13)</f>
        <v>360</v>
      </c>
      <c r="BI20" s="144" t="str" cm="1">
        <f t="array" ref="BI20">_xll.BDP($B20 &amp; " id cusip",BI$14,"settle_dt=" &amp; $U$13)</f>
        <v>Mtge</v>
      </c>
      <c r="BJ20" s="144" cm="1">
        <f t="array" ref="BJ20">_xll.BDP($B20 &amp; " id cusip",BJ$14,"settle_dt=" &amp; $U$13)</f>
        <v>6.5720000000000001</v>
      </c>
      <c r="BK20" s="144" t="str" cm="1">
        <f t="array" ref="BK20">_xll.BDP($B20 &amp; " id cusip",BK$14,"settle_dt=" &amp; $U$13)</f>
        <v>FNARM</v>
      </c>
      <c r="BL20" s="122">
        <f>_xll.BDP($B20 &amp; " mtge","YLD_CNV_BID","SETTLE_DT=" &amp; $U$13,"PX_BID=" &amp; $D20, "MTG_PREPAY_SPEED=" &amp; AD20, "MTG_PREPAY_TYP=CPR")</f>
        <v>6.3029999999999999</v>
      </c>
      <c r="BM20" s="122">
        <f>_xll.BDP($B20 &amp; " mtge","YLD_CNV_BID","SETTLE_DT=" &amp; $U$13,"PX_BID=" &amp; $D20, "MTG_PREPAY_SPEED=" &amp; AE20, "MTG_PREPAY_TYP=CPR")</f>
        <v>6.6139999999999999</v>
      </c>
      <c r="BN20" s="122">
        <f>_xll.BDP($B20 &amp; " mtge","YLD_CNV_BID","SETTLE_DT=" &amp; $U$13,"PX_BID=" &amp; $D20, "MTG_PREPAY_SPEED=" &amp; AF20, "MTG_PREPAY_TYP=CPR")</f>
        <v>7.0350000000000001</v>
      </c>
      <c r="BO20" s="122">
        <f>_xll.BDP($B20 &amp; " mtge","YLD_CNV_BID","SETTLE_DT=" &amp; $U$13,"PX_BID=" &amp; $D20, "MTG_PREPAY_SPEED=" &amp; AG20, "MTG_PREPAY_TYP=CPR")</f>
        <v>6.6130000000000004</v>
      </c>
      <c r="BP20" s="122">
        <f>_xll.BDP($B20 &amp; " mtge","YLD_CNV_BID","SETTLE_DT=" &amp; $U$13,"PX_BID=" &amp; $D20, "MTG_PREPAY_SPEED=" &amp; AH20, "MTG_PREPAY_TYP=CPR")</f>
        <v>6.5460000000000003</v>
      </c>
      <c r="BQ20" s="122">
        <f>_xll.BDP($B20 &amp; " mtge","YLD_CNV_BID","SETTLE_DT=" &amp; $U$13,"PX_BID=" &amp; $D20, "MTG_PREPAY_SPEED=" &amp; AI20, "MTG_PREPAY_TYP=CPR")</f>
        <v>6.6479999999999997</v>
      </c>
      <c r="BR20" s="122"/>
    </row>
    <row r="21" spans="1:70" x14ac:dyDescent="0.25">
      <c r="A21" s="149"/>
      <c r="B21" s="137" t="s">
        <v>146</v>
      </c>
      <c r="C21" s="137">
        <v>21116365</v>
      </c>
      <c r="D21" s="137">
        <v>100.74744415283203</v>
      </c>
      <c r="E21" s="53"/>
      <c r="T21" s="6" t="str">
        <f t="shared" si="2"/>
        <v/>
      </c>
      <c r="U21" s="144" t="str" cm="1">
        <f t="array" ref="U21">_xll.BDP(B21 &amp; " id cusip","id cusip")</f>
        <v>31415TJS0</v>
      </c>
      <c r="V21" s="144" t="str" cm="1">
        <f t="array" ref="V21">_xll.BDP($B21 &amp; " id cusip",$V$14)</f>
        <v>FN 988673</v>
      </c>
      <c r="W21" s="144" t="str" cm="1">
        <f t="array" ref="W21">_xll.BDP($B21 &amp; " id cusip",W$14)</f>
        <v>MBS ARM</v>
      </c>
      <c r="X21" s="144" cm="1">
        <f t="array" ref="X21">_xll.BDP($B21 &amp; " id cusip",X$14)</f>
        <v>6.1029999999999998</v>
      </c>
      <c r="Y21" s="144" cm="1">
        <f t="array" ref="Y21">_xll.BDP($B21 &amp; " id cusip",Y$14)</f>
        <v>6.5</v>
      </c>
      <c r="Z21" s="144" cm="1">
        <f t="array" ref="Z21">_xll.BDP($B21 &amp; " id cusip",Z$14)</f>
        <v>173</v>
      </c>
      <c r="AA21" s="144" cm="1">
        <f t="array" ref="AA21">_xll.BDP($B21 &amp; " id cusip",AA$14)</f>
        <v>187</v>
      </c>
      <c r="AB21" s="144" t="str" cm="1">
        <f t="array" ref="AB21">_xll.BDP($B21 &amp; " id cusip",AB$14)</f>
        <v>9/1/2038</v>
      </c>
      <c r="AC21" s="144" cm="1">
        <f t="array" ref="AC21">_xll.BDP($B21 &amp; " id cusip",AC$14,"settle_dt=" &amp; $U$13)</f>
        <v>2</v>
      </c>
      <c r="AD21" s="144" cm="1">
        <f t="array" ref="AD21">_xll.BDP($B21 &amp; " id cusip",AD$14,"settle_dt=" &amp; $U$13)</f>
        <v>22</v>
      </c>
      <c r="AE21" s="144" cm="1">
        <f t="array" ref="AE21">_xll.BDP($B21 &amp; " id cusip",AE$14,"settle_dt=" &amp; $U$13)</f>
        <v>11.762373414500001</v>
      </c>
      <c r="AF21" s="144" cm="1">
        <f t="array" ref="AF21">_xll.BDP($B21 &amp; " id cusip",AF$14,"settle_dt=" &amp; $U$13)</f>
        <v>3.3633696747854436</v>
      </c>
      <c r="AG21" s="144" cm="1">
        <f t="array" ref="AG21">_xll.BDP($B21 &amp; " id cusip",AG$14,"settle_dt=" &amp; $U$13)</f>
        <v>3.9904781521365007</v>
      </c>
      <c r="AH21" s="144" cm="1">
        <f t="array" ref="AH21">_xll.BDP($B21 &amp; " id cusip",AH$14,"settle_dt=" &amp; $U$13)</f>
        <v>19.8654275991364</v>
      </c>
      <c r="AI21" s="144" cm="1">
        <f t="array" ref="AI21">_xll.BDP($B21 &amp; " id cusip",AI$14,"settle_dt=" &amp; $U$13)</f>
        <v>12.024668354513091</v>
      </c>
      <c r="AJ21" s="144" cm="1">
        <f t="array" ref="AJ21">_xll.BDP($B21 &amp; " id cusip",AJ$14,"settle_dt=" &amp; $U$13)</f>
        <v>1.323064E-2</v>
      </c>
      <c r="AK21" s="144" t="str" cm="1">
        <f t="array" ref="AK21">_xll.BDP($B21 &amp; " id cusip",AK$14,"settle_dt=" &amp; $U$13)</f>
        <v>3/1/2024</v>
      </c>
      <c r="AL21" s="144" cm="1">
        <f t="array" ref="AL21">_xll.BDP($B21 &amp; " id cusip",AL$14,"settle_dt=" &amp; $U$13)</f>
        <v>1.3314650000000001E-2</v>
      </c>
      <c r="AM21" s="144" cm="1">
        <f t="array" ref="AM21">_xll.BDP($B21 &amp; " id cusip",AM$14,"settle_dt=" &amp; $U$13)</f>
        <v>360</v>
      </c>
      <c r="AN21" s="144" t="str" cm="1">
        <f t="array" ref="AN21">_xll.BDP($B21 &amp; " id cusip",AN$14,"settle_dt=" &amp; $U$13)</f>
        <v>LB</v>
      </c>
      <c r="AO21" s="144" cm="1">
        <f t="array" ref="AO21">_xll.BDP($B21 &amp; " id cusip",AO$14,"settle_dt=" &amp; $U$13)</f>
        <v>187</v>
      </c>
      <c r="AP21" s="144" cm="1">
        <f t="array" ref="AP21">_xll.BDP($B21 &amp; " id cusip",AP$14,"settle_dt=" &amp; $U$13)</f>
        <v>272499</v>
      </c>
      <c r="AQ21" s="144" cm="1">
        <f t="array" ref="AQ21">_xll.BDP($B21 &amp; " id cusip",AQ$14,"settle_dt=" &amp; $U$13)</f>
        <v>300000</v>
      </c>
      <c r="AR21" s="144" cm="1">
        <f t="array" ref="AR21">_xll.BDP($B21 &amp; " id cusip",AR$14,"settle_dt=" &amp; $U$13)</f>
        <v>81</v>
      </c>
      <c r="AS21" s="144" cm="1">
        <f t="array" ref="AS21">_xll.BDP($B21 &amp; " id cusip",AS$14,"settle_dt=" &amp; $U$13)</f>
        <v>788</v>
      </c>
      <c r="AT21" s="144" t="str" cm="1">
        <f t="array" ref="AT21">_xll.BDP($B21 &amp; " id cusip",AT$14,"settle_dt=" &amp; $U$13)</f>
        <v>AMTRUST BANK</v>
      </c>
      <c r="AU21" s="144" t="str" cm="1">
        <f t="array" ref="AU21">_xll.BDP($B21 &amp; " id cusip",AU$14,"settle_dt=" &amp; $U$13)</f>
        <v>CA 68%</v>
      </c>
      <c r="AV21" s="144" t="str" cm="1">
        <f t="array" ref="AV21">_xll.BDP($B21 &amp; " id cusip",AV$14,"settle_dt=" &amp; $U$13)</f>
        <v>WA 32%</v>
      </c>
      <c r="AW21" s="144" t="str" cm="1">
        <f t="array" ref="AW21">_xll.BDP($B21 &amp; " id cusip",AW$14,"settle_dt=" &amp; $U$13)</f>
        <v>TX 24%</v>
      </c>
      <c r="AX21" s="144" cm="1">
        <f t="array" ref="AX21">_xll.BDP($B21 &amp; " id cusip",AX$14,"settle_dt=" &amp; $U$13)</f>
        <v>100</v>
      </c>
      <c r="AY21" s="144" cm="1">
        <f t="array" ref="AY21">_xll.BDP($B21 &amp; " id cusip",AY$14,"settle_dt=" &amp; $U$13)</f>
        <v>0</v>
      </c>
      <c r="AZ21" s="144" cm="1">
        <f t="array" ref="AZ21">_xll.BDP($B21 &amp; " id cusip",AZ$14,"settle_dt=" &amp; $U$13)</f>
        <v>0</v>
      </c>
      <c r="BA21" s="144" cm="1">
        <f t="array" ref="BA21">_xll.BDP($B21 &amp; " id cusip",BA$14,"settle_dt=" &amp; $U$13)</f>
        <v>0</v>
      </c>
      <c r="BB21" s="144" t="str" cm="1">
        <f t="array" ref="BB21">_xll.BDP($B21 &amp; " id cusip",BB$14,"settle_dt=" &amp; $U$13)</f>
        <v>CA 68.0</v>
      </c>
      <c r="BC21" s="144" t="str" cm="1">
        <f t="array" ref="BC21">_xll.BDP($B21 &amp; " id cusip",BC$14,"settle_dt=" &amp; $U$13)</f>
        <v>WA 32.0</v>
      </c>
      <c r="BD21" s="144" t="str" cm="1">
        <f t="array" ref="BD21">_xll.BDP($B21 &amp; " id cusip",BD$14,"settle_dt=" &amp; $U$13)</f>
        <v>MO 7.6</v>
      </c>
      <c r="BE21" s="144" cm="1">
        <f t="array" ref="BE21">_xll.BDP($B21 &amp; " id cusip",BE$14,"settle_dt=" &amp; $U$13)</f>
        <v>81</v>
      </c>
      <c r="BF21" s="144" t="str" cm="1">
        <f t="array" ref="BF21">_xll.BDP($B21 &amp; " id cusip",BF$14,"settle_dt=" &amp; $U$13)</f>
        <v>#N/A Field Not Applicable</v>
      </c>
      <c r="BG21" s="144" cm="1">
        <f t="array" ref="BG21">_xll.BDP($B21 &amp; " id cusip",BG$14,"settle_dt=" &amp; $U$13)</f>
        <v>300000</v>
      </c>
      <c r="BH21" s="144" cm="1">
        <f t="array" ref="BH21">_xll.BDP($B21 &amp; " id cusip",BH$14,"settle_dt=" &amp; $U$13)</f>
        <v>360</v>
      </c>
      <c r="BI21" s="144" t="str" cm="1">
        <f t="array" ref="BI21">_xll.BDP($B21 &amp; " id cusip",BI$14,"settle_dt=" &amp; $U$13)</f>
        <v>Mtge</v>
      </c>
      <c r="BJ21" s="144" cm="1">
        <f t="array" ref="BJ21">_xll.BDP($B21 &amp; " id cusip",BJ$14,"settle_dt=" &amp; $U$13)</f>
        <v>7.05</v>
      </c>
      <c r="BK21" s="144" t="str" cm="1">
        <f t="array" ref="BK21">_xll.BDP($B21 &amp; " id cusip",BK$14,"settle_dt=" &amp; $U$13)</f>
        <v>FNARM</v>
      </c>
      <c r="BL21" s="122">
        <f>_xll.BDP($B21 &amp; " mtge","YLD_CNV_BID","SETTLE_DT=" &amp; $U$13,"PX_BID=" &amp; $D21, "MTG_PREPAY_SPEED=" &amp; AD21, "MTG_PREPAY_TYP=CPR")</f>
        <v>6.9850000000000003</v>
      </c>
      <c r="BM21" s="122">
        <f>_xll.BDP($B21 &amp; " mtge","YLD_CNV_BID","SETTLE_DT=" &amp; $U$13,"PX_BID=" &amp; $D21, "MTG_PREPAY_SPEED=" &amp; AE21, "MTG_PREPAY_TYP=CPR")</f>
        <v>7.173</v>
      </c>
      <c r="BN21" s="122">
        <f>_xll.BDP($B21 &amp; " mtge","YLD_CNV_BID","SETTLE_DT=" &amp; $U$13,"PX_BID=" &amp; $D21, "MTG_PREPAY_SPEED=" &amp; AF21, "MTG_PREPAY_TYP=CPR")</f>
        <v>7.3019999999999996</v>
      </c>
      <c r="BO21" s="122">
        <f>_xll.BDP($B21 &amp; " mtge","YLD_CNV_BID","SETTLE_DT=" &amp; $U$13,"PX_BID=" &amp; $D21, "MTG_PREPAY_SPEED=" &amp; AG21, "MTG_PREPAY_TYP=CPR")</f>
        <v>7.2930000000000001</v>
      </c>
      <c r="BP21" s="122">
        <f>_xll.BDP($B21 &amp; " mtge","YLD_CNV_BID","SETTLE_DT=" &amp; $U$13,"PX_BID=" &amp; $D21, "MTG_PREPAY_SPEED=" &amp; AH21, "MTG_PREPAY_TYP=CPR")</f>
        <v>7.0270000000000001</v>
      </c>
      <c r="BQ21" s="122">
        <f>_xll.BDP($B21 &amp; " mtge","YLD_CNV_BID","SETTLE_DT=" &amp; $U$13,"PX_BID=" &amp; $D21, "MTG_PREPAY_SPEED=" &amp; AI21, "MTG_PREPAY_TYP=CPR")</f>
        <v>7.1689999999999996</v>
      </c>
      <c r="BR21" s="122"/>
    </row>
    <row r="22" spans="1:70" x14ac:dyDescent="0.25">
      <c r="A22" s="149"/>
      <c r="B22" s="137" t="s">
        <v>147</v>
      </c>
      <c r="C22" s="137">
        <v>5000000</v>
      </c>
      <c r="D22" s="137">
        <v>100.86654281616211</v>
      </c>
      <c r="E22" s="53"/>
      <c r="T22" s="6" t="str">
        <f t="shared" si="2"/>
        <v/>
      </c>
      <c r="U22" s="144" t="str" cm="1">
        <f t="array" ref="U22">_xll.BDP(B22 &amp; " id cusip","id cusip")</f>
        <v>3138EN3X5</v>
      </c>
      <c r="V22" s="144" t="str" cm="1">
        <f t="array" ref="V22">_xll.BDP($B22 &amp; " id cusip",$V$14)</f>
        <v>FN AL6213</v>
      </c>
      <c r="W22" s="144" t="str" cm="1">
        <f t="array" ref="W22">_xll.BDP($B22 &amp; " id cusip",W$14)</f>
        <v>MBS ARM</v>
      </c>
      <c r="X22" s="144" cm="1">
        <f t="array" ref="X22">_xll.BDP($B22 &amp; " id cusip",X$14)</f>
        <v>5.8220000000000001</v>
      </c>
      <c r="Y22" s="144" cm="1">
        <f t="array" ref="Y22">_xll.BDP($B22 &amp; " id cusip",Y$14)</f>
        <v>6.5</v>
      </c>
      <c r="Z22" s="144" cm="1">
        <f t="array" ref="Z22">_xll.BDP($B22 &amp; " id cusip",Z$14)</f>
        <v>249</v>
      </c>
      <c r="AA22" s="144" cm="1">
        <f t="array" ref="AA22">_xll.BDP($B22 &amp; " id cusip",AA$14)</f>
        <v>111</v>
      </c>
      <c r="AB22" s="144" t="str" cm="1">
        <f t="array" ref="AB22">_xll.BDP($B22 &amp; " id cusip",AB$14)</f>
        <v>1/1/2045</v>
      </c>
      <c r="AC22" s="144" cm="1">
        <f t="array" ref="AC22">_xll.BDP($B22 &amp; " id cusip",AC$14,"settle_dt=" &amp; $U$13)</f>
        <v>17</v>
      </c>
      <c r="AD22" s="144" cm="1">
        <f t="array" ref="AD22">_xll.BDP($B22 &amp; " id cusip",AD$14,"settle_dt=" &amp; $U$13)</f>
        <v>25.98</v>
      </c>
      <c r="AE22" s="144" cm="1">
        <f t="array" ref="AE22">_xll.BDP($B22 &amp; " id cusip",AE$14,"settle_dt=" &amp; $U$13)</f>
        <v>19.162170316699999</v>
      </c>
      <c r="AF22" s="144" cm="1">
        <f t="array" ref="AF22">_xll.BDP($B22 &amp; " id cusip",AF$14,"settle_dt=" &amp; $U$13)</f>
        <v>0.42155734348052754</v>
      </c>
      <c r="AG22" s="144" cm="1">
        <f t="array" ref="AG22">_xll.BDP($B22 &amp; " id cusip",AG$14,"settle_dt=" &amp; $U$13)</f>
        <v>0.41489541192231139</v>
      </c>
      <c r="AH22" s="144" cm="1">
        <f t="array" ref="AH22">_xll.BDP($B22 &amp; " id cusip",AH$14,"settle_dt=" &amp; $U$13)</f>
        <v>8.3797930918507291</v>
      </c>
      <c r="AI22" s="144" cm="1">
        <f t="array" ref="AI22">_xll.BDP($B22 &amp; " id cusip",AI$14,"settle_dt=" &amp; $U$13)</f>
        <v>4.4599782842154712</v>
      </c>
      <c r="AJ22" s="144" cm="1">
        <f t="array" ref="AJ22">_xll.BDP($B22 &amp; " id cusip",AJ$14,"settle_dt=" &amp; $U$13)</f>
        <v>4.8949189999999997E-2</v>
      </c>
      <c r="AK22" s="144" t="str" cm="1">
        <f t="array" ref="AK22">_xll.BDP($B22 &amp; " id cusip",AK$14,"settle_dt=" &amp; $U$13)</f>
        <v>3/1/2024</v>
      </c>
      <c r="AL22" s="144" cm="1">
        <f t="array" ref="AL22">_xll.BDP($B22 &amp; " id cusip",AL$14,"settle_dt=" &amp; $U$13)</f>
        <v>4.9059360000000003E-2</v>
      </c>
      <c r="AM22" s="144" cm="1">
        <f t="array" ref="AM22">_xll.BDP($B22 &amp; " id cusip",AM$14,"settle_dt=" &amp; $U$13)</f>
        <v>360</v>
      </c>
      <c r="AN22" s="144" t="str" cm="1">
        <f t="array" ref="AN22">_xll.BDP($B22 &amp; " id cusip",AN$14,"settle_dt=" &amp; $U$13)</f>
        <v>LB</v>
      </c>
      <c r="AO22" s="144" cm="1">
        <f t="array" ref="AO22">_xll.BDP($B22 &amp; " id cusip",AO$14,"settle_dt=" &amp; $U$13)</f>
        <v>111</v>
      </c>
      <c r="AP22" s="144" cm="1">
        <f t="array" ref="AP22">_xll.BDP($B22 &amp; " id cusip",AP$14,"settle_dt=" &amp; $U$13)</f>
        <v>278209</v>
      </c>
      <c r="AQ22" s="144" cm="1">
        <f t="array" ref="AQ22">_xll.BDP($B22 &amp; " id cusip",AQ$14,"settle_dt=" &amp; $U$13)</f>
        <v>400000</v>
      </c>
      <c r="AR22" s="144" cm="1">
        <f t="array" ref="AR22">_xll.BDP($B22 &amp; " id cusip",AR$14,"settle_dt=" &amp; $U$13)</f>
        <v>69</v>
      </c>
      <c r="AS22" s="144" cm="1">
        <f t="array" ref="AS22">_xll.BDP($B22 &amp; " id cusip",AS$14,"settle_dt=" &amp; $U$13)</f>
        <v>759</v>
      </c>
      <c r="AT22" s="144" t="str" cm="1">
        <f t="array" ref="AT22">_xll.BDP($B22 &amp; " id cusip",AT$14,"settle_dt=" &amp; $U$13)</f>
        <v>FANNIE MAE MEGA</v>
      </c>
      <c r="AU22" s="144" t="str" cm="1">
        <f t="array" ref="AU22">_xll.BDP($B22 &amp; " id cusip",AU$14,"settle_dt=" &amp; $U$13)</f>
        <v>IL 30%</v>
      </c>
      <c r="AV22" s="144" t="str" cm="1">
        <f t="array" ref="AV22">_xll.BDP($B22 &amp; " id cusip",AV$14,"settle_dt=" &amp; $U$13)</f>
        <v>WA 18%</v>
      </c>
      <c r="AW22" s="144" t="str" cm="1">
        <f t="array" ref="AW22">_xll.BDP($B22 &amp; " id cusip",AW$14,"settle_dt=" &amp; $U$13)</f>
        <v>NY 10%</v>
      </c>
      <c r="AX22" s="144" cm="1">
        <f t="array" ref="AX22">_xll.BDP($B22 &amp; " id cusip",AX$14,"settle_dt=" &amp; $U$13)</f>
        <v>20.080000000000002</v>
      </c>
      <c r="AY22" s="144" cm="1">
        <f t="array" ref="AY22">_xll.BDP($B22 &amp; " id cusip",AY$14,"settle_dt=" &amp; $U$13)</f>
        <v>0</v>
      </c>
      <c r="AZ22" s="144" cm="1">
        <f t="array" ref="AZ22">_xll.BDP($B22 &amp; " id cusip",AZ$14,"settle_dt=" &amp; $U$13)</f>
        <v>0</v>
      </c>
      <c r="BA22" s="144" cm="1">
        <f t="array" ref="BA22">_xll.BDP($B22 &amp; " id cusip",BA$14,"settle_dt=" &amp; $U$13)</f>
        <v>0</v>
      </c>
      <c r="BB22" s="144" t="str" cm="1">
        <f t="array" ref="BB22">_xll.BDP($B22 &amp; " id cusip",BB$14,"settle_dt=" &amp; $U$13)</f>
        <v>IL 29.7</v>
      </c>
      <c r="BC22" s="144" t="str" cm="1">
        <f t="array" ref="BC22">_xll.BDP($B22 &amp; " id cusip",BC$14,"settle_dt=" &amp; $U$13)</f>
        <v>WA 17.9</v>
      </c>
      <c r="BD22" s="144" t="str" cm="1">
        <f t="array" ref="BD22">_xll.BDP($B22 &amp; " id cusip",BD$14,"settle_dt=" &amp; $U$13)</f>
        <v>NY 10.4</v>
      </c>
      <c r="BE22" s="144" cm="1">
        <f t="array" ref="BE22">_xll.BDP($B22 &amp; " id cusip",BE$14,"settle_dt=" &amp; $U$13)</f>
        <v>69</v>
      </c>
      <c r="BF22" s="144" t="str" cm="1">
        <f t="array" ref="BF22">_xll.BDP($B22 &amp; " id cusip",BF$14,"settle_dt=" &amp; $U$13)</f>
        <v>#N/A Field Not Applicable</v>
      </c>
      <c r="BG22" s="144" cm="1">
        <f t="array" ref="BG22">_xll.BDP($B22 &amp; " id cusip",BG$14,"settle_dt=" &amp; $U$13)</f>
        <v>400000</v>
      </c>
      <c r="BH22" s="144" cm="1">
        <f t="array" ref="BH22">_xll.BDP($B22 &amp; " id cusip",BH$14,"settle_dt=" &amp; $U$13)</f>
        <v>360</v>
      </c>
      <c r="BI22" s="144" t="str" cm="1">
        <f t="array" ref="BI22">_xll.BDP($B22 &amp; " id cusip",BI$14,"settle_dt=" &amp; $U$13)</f>
        <v>Mtge</v>
      </c>
      <c r="BJ22" s="144" cm="1">
        <f t="array" ref="BJ22">_xll.BDP($B22 &amp; " id cusip",BJ$14,"settle_dt=" &amp; $U$13)</f>
        <v>6.9180000000000001</v>
      </c>
      <c r="BK22" s="144" t="str" cm="1">
        <f t="array" ref="BK22">_xll.BDP($B22 &amp; " id cusip",BK$14,"settle_dt=" &amp; $U$13)</f>
        <v>FNARM</v>
      </c>
      <c r="BL22" s="122">
        <f>_xll.BDP($B22 &amp; " mtge","YLD_CNV_BID","SETTLE_DT=" &amp; $U$13,"PX_BID=" &amp; $D22, "MTG_PREPAY_SPEED=" &amp; AD22, "MTG_PREPAY_TYP=CPR")</f>
        <v>6.4790000000000001</v>
      </c>
      <c r="BM22" s="122">
        <f>_xll.BDP($B22 &amp; " mtge","YLD_CNV_BID","SETTLE_DT=" &amp; $U$13,"PX_BID=" &amp; $D22, "MTG_PREPAY_SPEED=" &amp; AE22, "MTG_PREPAY_TYP=CPR")</f>
        <v>6.6550000000000002</v>
      </c>
      <c r="BN22" s="122">
        <f>_xll.BDP($B22 &amp; " mtge","YLD_CNV_BID","SETTLE_DT=" &amp; $U$13,"PX_BID=" &amp; $D22, "MTG_PREPAY_SPEED=" &amp; AF22, "MTG_PREPAY_TYP=CPR")</f>
        <v>7.0579999999999998</v>
      </c>
      <c r="BO22" s="122">
        <f>_xll.BDP($B22 &amp; " mtge","YLD_CNV_BID","SETTLE_DT=" &amp; $U$13,"PX_BID=" &amp; $D22, "MTG_PREPAY_SPEED=" &amp; AG22, "MTG_PREPAY_TYP=CPR")</f>
        <v>7.0579999999999998</v>
      </c>
      <c r="BP22" s="122">
        <f>_xll.BDP($B22 &amp; " mtge","YLD_CNV_BID","SETTLE_DT=" &amp; $U$13,"PX_BID=" &amp; $D22, "MTG_PREPAY_SPEED=" &amp; AH22, "MTG_PREPAY_TYP=CPR")</f>
        <v>6.9029999999999996</v>
      </c>
      <c r="BQ22" s="122">
        <f>_xll.BDP($B22 &amp; " mtge","YLD_CNV_BID","SETTLE_DT=" &amp; $U$13,"PX_BID=" &amp; $D22, "MTG_PREPAY_SPEED=" &amp; AI22, "MTG_PREPAY_TYP=CPR")</f>
        <v>6.9829999999999997</v>
      </c>
      <c r="BR22" s="122"/>
    </row>
    <row r="23" spans="1:70" x14ac:dyDescent="0.25">
      <c r="A23" s="149"/>
      <c r="B23" s="137" t="s">
        <v>148</v>
      </c>
      <c r="C23" s="137">
        <v>2500000</v>
      </c>
      <c r="D23" s="137">
        <v>101.46961212158203</v>
      </c>
      <c r="E23" s="53"/>
      <c r="T23" s="6" t="str">
        <f t="shared" si="2"/>
        <v/>
      </c>
      <c r="U23" s="144" t="str" cm="1">
        <f t="array" ref="U23">_xll.BDP(B23 &amp; " id cusip","id cusip")</f>
        <v>3138YV2N8</v>
      </c>
      <c r="V23" s="144" t="str" cm="1">
        <f t="array" ref="V23">_xll.BDP($B23 &amp; " id cusip",$V$14)</f>
        <v>FN AZ4380</v>
      </c>
      <c r="W23" s="144" t="str" cm="1">
        <f t="array" ref="W23">_xll.BDP($B23 &amp; " id cusip",W$14)</f>
        <v>MBS ARM</v>
      </c>
      <c r="X23" s="144" cm="1">
        <f t="array" ref="X23">_xll.BDP($B23 &amp; " id cusip",X$14)</f>
        <v>5.84</v>
      </c>
      <c r="Y23" s="144" cm="1">
        <f t="array" ref="Y23">_xll.BDP($B23 &amp; " id cusip",Y$14)</f>
        <v>6.5</v>
      </c>
      <c r="Z23" s="144" cm="1">
        <f t="array" ref="Z23">_xll.BDP($B23 &amp; " id cusip",Z$14)</f>
        <v>256</v>
      </c>
      <c r="AA23" s="144" cm="1">
        <f t="array" ref="AA23">_xll.BDP($B23 &amp; " id cusip",AA$14)</f>
        <v>104</v>
      </c>
      <c r="AB23" s="144" t="str" cm="1">
        <f t="array" ref="AB23">_xll.BDP($B23 &amp; " id cusip",AB$14)</f>
        <v>8/1/2045</v>
      </c>
      <c r="AC23" s="144" cm="1">
        <f t="array" ref="AC23">_xll.BDP($B23 &amp; " id cusip",AC$14,"settle_dt=" &amp; $U$13)</f>
        <v>9</v>
      </c>
      <c r="AD23" s="144" cm="1">
        <f t="array" ref="AD23">_xll.BDP($B23 &amp; " id cusip",AD$14,"settle_dt=" &amp; $U$13)</f>
        <v>21.71</v>
      </c>
      <c r="AE23" s="144" cm="1">
        <f t="array" ref="AE23">_xll.BDP($B23 &amp; " id cusip",AE$14,"settle_dt=" &amp; $U$13)</f>
        <v>19.162170316699999</v>
      </c>
      <c r="AF23" s="144" cm="1">
        <f t="array" ref="AF23">_xll.BDP($B23 &amp; " id cusip",AF$14,"settle_dt=" &amp; $U$13)</f>
        <v>2.0949813335319534</v>
      </c>
      <c r="AG23" s="144" cm="1">
        <f t="array" ref="AG23">_xll.BDP($B23 &amp; " id cusip",AG$14,"settle_dt=" &amp; $U$13)</f>
        <v>39.686084531624623</v>
      </c>
      <c r="AH23" s="144" cm="1">
        <f t="array" ref="AH23">_xll.BDP($B23 &amp; " id cusip",AH$14,"settle_dt=" &amp; $U$13)</f>
        <v>26.991285640251263</v>
      </c>
      <c r="AI23" s="144" cm="1">
        <f t="array" ref="AI23">_xll.BDP($B23 &amp; " id cusip",AI$14,"settle_dt=" &amp; $U$13)</f>
        <v>31.765130559251109</v>
      </c>
      <c r="AJ23" s="144" cm="1">
        <f t="array" ref="AJ23">_xll.BDP($B23 &amp; " id cusip",AJ$14,"settle_dt=" &amp; $U$13)</f>
        <v>9.6721909999999994E-2</v>
      </c>
      <c r="AK23" s="144" t="str" cm="1">
        <f t="array" ref="AK23">_xll.BDP($B23 &amp; " id cusip",AK$14,"settle_dt=" &amp; $U$13)</f>
        <v>3/1/2024</v>
      </c>
      <c r="AL23" s="144" cm="1">
        <f t="array" ref="AL23">_xll.BDP($B23 &amp; " id cusip",AL$14,"settle_dt=" &amp; $U$13)</f>
        <v>9.7067500000000001E-2</v>
      </c>
      <c r="AM23" s="144" cm="1">
        <f t="array" ref="AM23">_xll.BDP($B23 &amp; " id cusip",AM$14,"settle_dt=" &amp; $U$13)</f>
        <v>359</v>
      </c>
      <c r="AN23" s="144" t="str" cm="1">
        <f t="array" ref="AN23">_xll.BDP($B23 &amp; " id cusip",AN$14,"settle_dt=" &amp; $U$13)</f>
        <v>LB</v>
      </c>
      <c r="AO23" s="144" cm="1">
        <f t="array" ref="AO23">_xll.BDP($B23 &amp; " id cusip",AO$14,"settle_dt=" &amp; $U$13)</f>
        <v>104</v>
      </c>
      <c r="AP23" s="144" cm="1">
        <f t="array" ref="AP23">_xll.BDP($B23 &amp; " id cusip",AP$14,"settle_dt=" &amp; $U$13)</f>
        <v>283141</v>
      </c>
      <c r="AQ23" s="144" cm="1">
        <f t="array" ref="AQ23">_xll.BDP($B23 &amp; " id cusip",AQ$14,"settle_dt=" &amp; $U$13)</f>
        <v>417000</v>
      </c>
      <c r="AR23" s="144" cm="1">
        <f t="array" ref="AR23">_xll.BDP($B23 &amp; " id cusip",AR$14,"settle_dt=" &amp; $U$13)</f>
        <v>71</v>
      </c>
      <c r="AS23" s="144" cm="1">
        <f t="array" ref="AS23">_xll.BDP($B23 &amp; " id cusip",AS$14,"settle_dt=" &amp; $U$13)</f>
        <v>727</v>
      </c>
      <c r="AT23" s="144" t="str" cm="1">
        <f t="array" ref="AT23">_xll.BDP($B23 &amp; " id cusip",AT$14,"settle_dt=" &amp; $U$13)</f>
        <v>GREEN TREE SERVICING, LLC</v>
      </c>
      <c r="AU23" s="144" t="str" cm="1">
        <f t="array" ref="AU23">_xll.BDP($B23 &amp; " id cusip",AU$14,"settle_dt=" &amp; $U$13)</f>
        <v>NJ 21%</v>
      </c>
      <c r="AV23" s="144" t="str" cm="1">
        <f t="array" ref="AV23">_xll.BDP($B23 &amp; " id cusip",AV$14,"settle_dt=" &amp; $U$13)</f>
        <v>AZ 16%</v>
      </c>
      <c r="AW23" s="144" t="str" cm="1">
        <f t="array" ref="AW23">_xll.BDP($B23 &amp; " id cusip",AW$14,"settle_dt=" &amp; $U$13)</f>
        <v>IL 14%</v>
      </c>
      <c r="AX23" s="144" cm="1">
        <f t="array" ref="AX23">_xll.BDP($B23 &amp; " id cusip",AX$14,"settle_dt=" &amp; $U$13)</f>
        <v>21.09</v>
      </c>
      <c r="AY23" s="144" cm="1">
        <f t="array" ref="AY23">_xll.BDP($B23 &amp; " id cusip",AY$14,"settle_dt=" &amp; $U$13)</f>
        <v>0</v>
      </c>
      <c r="AZ23" s="144" cm="1">
        <f t="array" ref="AZ23">_xll.BDP($B23 &amp; " id cusip",AZ$14,"settle_dt=" &amp; $U$13)</f>
        <v>0</v>
      </c>
      <c r="BA23" s="144" cm="1">
        <f t="array" ref="BA23">_xll.BDP($B23 &amp; " id cusip",BA$14,"settle_dt=" &amp; $U$13)</f>
        <v>0</v>
      </c>
      <c r="BB23" s="144" t="str" cm="1">
        <f t="array" ref="BB23">_xll.BDP($B23 &amp; " id cusip",BB$14,"settle_dt=" &amp; $U$13)</f>
        <v>NJ 21.1</v>
      </c>
      <c r="BC23" s="144" t="str" cm="1">
        <f t="array" ref="BC23">_xll.BDP($B23 &amp; " id cusip",BC$14,"settle_dt=" &amp; $U$13)</f>
        <v>AZ 15.8</v>
      </c>
      <c r="BD23" s="144" t="str" cm="1">
        <f t="array" ref="BD23">_xll.BDP($B23 &amp; " id cusip",BD$14,"settle_dt=" &amp; $U$13)</f>
        <v>IL 13.8</v>
      </c>
      <c r="BE23" s="144" cm="1">
        <f t="array" ref="BE23">_xll.BDP($B23 &amp; " id cusip",BE$14,"settle_dt=" &amp; $U$13)</f>
        <v>71</v>
      </c>
      <c r="BF23" s="144" t="str" cm="1">
        <f t="array" ref="BF23">_xll.BDP($B23 &amp; " id cusip",BF$14,"settle_dt=" &amp; $U$13)</f>
        <v>#N/A Field Not Applicable</v>
      </c>
      <c r="BG23" s="144" cm="1">
        <f t="array" ref="BG23">_xll.BDP($B23 &amp; " id cusip",BG$14,"settle_dt=" &amp; $U$13)</f>
        <v>417000</v>
      </c>
      <c r="BH23" s="144" cm="1">
        <f t="array" ref="BH23">_xll.BDP($B23 &amp; " id cusip",BH$14,"settle_dt=" &amp; $U$13)</f>
        <v>360</v>
      </c>
      <c r="BI23" s="144" t="str" cm="1">
        <f t="array" ref="BI23">_xll.BDP($B23 &amp; " id cusip",BI$14,"settle_dt=" &amp; $U$13)</f>
        <v>Mtge</v>
      </c>
      <c r="BJ23" s="144" cm="1">
        <f t="array" ref="BJ23">_xll.BDP($B23 &amp; " id cusip",BJ$14,"settle_dt=" &amp; $U$13)</f>
        <v>6.4509999999999996</v>
      </c>
      <c r="BK23" s="144" t="str" cm="1">
        <f t="array" ref="BK23">_xll.BDP($B23 &amp; " id cusip",BK$14,"settle_dt=" &amp; $U$13)</f>
        <v>FNARM</v>
      </c>
      <c r="BL23" s="122">
        <f>_xll.BDP($B23 &amp; " mtge","YLD_CNV_BID","SETTLE_DT=" &amp; $U$13,"PX_BID=" &amp; $D23, "MTG_PREPAY_SPEED=" &amp; AD23, "MTG_PREPAY_TYP=CPR")</f>
        <v>6.5720000000000001</v>
      </c>
      <c r="BM23" s="122">
        <f>_xll.BDP($B23 &amp; " mtge","YLD_CNV_BID","SETTLE_DT=" &amp; $U$13,"PX_BID=" &amp; $D23, "MTG_PREPAY_SPEED=" &amp; AE23, "MTG_PREPAY_TYP=CPR")</f>
        <v>6.6420000000000003</v>
      </c>
      <c r="BN23" s="122">
        <f>_xll.BDP($B23 &amp; " mtge","YLD_CNV_BID","SETTLE_DT=" &amp; $U$13,"PX_BID=" &amp; $D23, "MTG_PREPAY_SPEED=" &amp; AF23, "MTG_PREPAY_TYP=CPR")</f>
        <v>7.0410000000000004</v>
      </c>
      <c r="BO23" s="122">
        <f>_xll.BDP($B23 &amp; " mtge","YLD_CNV_BID","SETTLE_DT=" &amp; $U$13,"PX_BID=" &amp; $D23, "MTG_PREPAY_SPEED=" &amp; AG23, "MTG_PREPAY_TYP=CPR")</f>
        <v>6.008</v>
      </c>
      <c r="BP23" s="122">
        <f>_xll.BDP($B23 &amp; " mtge","YLD_CNV_BID","SETTLE_DT=" &amp; $U$13,"PX_BID=" &amp; $D23, "MTG_PREPAY_SPEED=" &amp; AH23, "MTG_PREPAY_TYP=CPR")</f>
        <v>6.42</v>
      </c>
      <c r="BQ23" s="122">
        <f>_xll.BDP($B23 &amp; " mtge","YLD_CNV_BID","SETTLE_DT=" &amp; $U$13,"PX_BID=" &amp; $D23, "MTG_PREPAY_SPEED=" &amp; AI23, "MTG_PREPAY_TYP=CPR")</f>
        <v>6.2729999999999997</v>
      </c>
      <c r="BR23" s="122"/>
    </row>
    <row r="24" spans="1:70" x14ac:dyDescent="0.25">
      <c r="A24" s="149"/>
      <c r="B24" s="137" t="s">
        <v>149</v>
      </c>
      <c r="C24" s="137">
        <v>2900000</v>
      </c>
      <c r="D24" s="137">
        <v>99.089771270751953</v>
      </c>
      <c r="E24" s="53"/>
      <c r="T24" s="6" t="str">
        <f t="shared" si="2"/>
        <v/>
      </c>
      <c r="U24" s="144" t="str" cm="1">
        <f t="array" ref="U24">_xll.BDP(B24 &amp; " id cusip","id cusip")</f>
        <v>3138YFVZ4</v>
      </c>
      <c r="V24" s="144" t="str" cm="1">
        <f t="array" ref="V24">_xll.BDP($B24 &amp; " id cusip",$V$14)</f>
        <v>FN AY2431</v>
      </c>
      <c r="W24" s="144" t="str" cm="1">
        <f t="array" ref="W24">_xll.BDP($B24 &amp; " id cusip",W$14)</f>
        <v>MBS ARM</v>
      </c>
      <c r="X24" s="144" cm="1">
        <f t="array" ref="X24">_xll.BDP($B24 &amp; " id cusip",X$14)</f>
        <v>5.9950000000000001</v>
      </c>
      <c r="Y24" s="144" cm="1">
        <f t="array" ref="Y24">_xll.BDP($B24 &amp; " id cusip",Y$14)</f>
        <v>6.6959999999999997</v>
      </c>
      <c r="Z24" s="144" cm="1">
        <f t="array" ref="Z24">_xll.BDP($B24 &amp; " id cusip",Z$14)</f>
        <v>251</v>
      </c>
      <c r="AA24" s="144" cm="1">
        <f t="array" ref="AA24">_xll.BDP($B24 &amp; " id cusip",AA$14)</f>
        <v>109</v>
      </c>
      <c r="AB24" s="144" t="str" cm="1">
        <f t="array" ref="AB24">_xll.BDP($B24 &amp; " id cusip",AB$14)</f>
        <v>2/1/2045</v>
      </c>
      <c r="AC24" s="144" cm="1">
        <f t="array" ref="AC24">_xll.BDP($B24 &amp; " id cusip",AC$14,"settle_dt=" &amp; $U$13)</f>
        <v>2</v>
      </c>
      <c r="AD24" s="144" cm="1">
        <f t="array" ref="AD24">_xll.BDP($B24 &amp; " id cusip",AD$14,"settle_dt=" &amp; $U$13)</f>
        <v>23.73</v>
      </c>
      <c r="AE24" s="144" cm="1">
        <f t="array" ref="AE24">_xll.BDP($B24 &amp; " id cusip",AE$14,"settle_dt=" &amp; $U$13)</f>
        <v>19.162170316699999</v>
      </c>
      <c r="AF24" s="144" cm="1">
        <f t="array" ref="AF24">_xll.BDP($B24 &amp; " id cusip",AF$14,"settle_dt=" &amp; $U$13)</f>
        <v>3.7494701127762209</v>
      </c>
      <c r="AG24" s="144" cm="1">
        <f t="array" ref="AG24">_xll.BDP($B24 &amp; " id cusip",AG$14,"settle_dt=" &amp; $U$13)</f>
        <v>5.2839471726425664</v>
      </c>
      <c r="AH24" s="144" cm="1">
        <f t="array" ref="AH24">_xll.BDP($B24 &amp; " id cusip",AH$14,"settle_dt=" &amp; $U$13)</f>
        <v>4.5336954086615648</v>
      </c>
      <c r="AI24" s="144" cm="1">
        <f t="array" ref="AI24">_xll.BDP($B24 &amp; " id cusip",AI$14,"settle_dt=" &amp; $U$13)</f>
        <v>4.0636901848874363</v>
      </c>
      <c r="AJ24" s="144" cm="1">
        <f t="array" ref="AJ24">_xll.BDP($B24 &amp; " id cusip",AJ$14,"settle_dt=" &amp; $U$13)</f>
        <v>6.5979549999999998E-2</v>
      </c>
      <c r="AK24" s="144" t="str" cm="1">
        <f t="array" ref="AK24">_xll.BDP($B24 &amp; " id cusip",AK$14,"settle_dt=" &amp; $U$13)</f>
        <v>3/1/2024</v>
      </c>
      <c r="AL24" s="144" cm="1">
        <f t="array" ref="AL24">_xll.BDP($B24 &amp; " id cusip",AL$14,"settle_dt=" &amp; $U$13)</f>
        <v>6.6310770000000005E-2</v>
      </c>
      <c r="AM24" s="144" cm="1">
        <f t="array" ref="AM24">_xll.BDP($B24 &amp; " id cusip",AM$14,"settle_dt=" &amp; $U$13)</f>
        <v>361</v>
      </c>
      <c r="AN24" s="144" t="str" cm="1">
        <f t="array" ref="AN24">_xll.BDP($B24 &amp; " id cusip",AN$14,"settle_dt=" &amp; $U$13)</f>
        <v>LB</v>
      </c>
      <c r="AO24" s="144" cm="1">
        <f t="array" ref="AO24">_xll.BDP($B24 &amp; " id cusip",AO$14,"settle_dt=" &amp; $U$13)</f>
        <v>109</v>
      </c>
      <c r="AP24" s="144" cm="1">
        <f t="array" ref="AP24">_xll.BDP($B24 &amp; " id cusip",AP$14,"settle_dt=" &amp; $U$13)</f>
        <v>430224</v>
      </c>
      <c r="AQ24" s="144" cm="1">
        <f t="array" ref="AQ24">_xll.BDP($B24 &amp; " id cusip",AQ$14,"settle_dt=" &amp; $U$13)</f>
        <v>450000</v>
      </c>
      <c r="AR24" s="144" cm="1">
        <f t="array" ref="AR24">_xll.BDP($B24 &amp; " id cusip",AR$14,"settle_dt=" &amp; $U$13)</f>
        <v>51</v>
      </c>
      <c r="AS24" s="144" cm="1">
        <f t="array" ref="AS24">_xll.BDP($B24 &amp; " id cusip",AS$14,"settle_dt=" &amp; $U$13)</f>
        <v>722</v>
      </c>
      <c r="AT24" s="144" t="str" cm="1">
        <f t="array" ref="AT24">_xll.BDP($B24 &amp; " id cusip",AT$14,"settle_dt=" &amp; $U$13)</f>
        <v>CHICAGO MORTGAGE SOLUTIONS DBA</v>
      </c>
      <c r="AU24" s="144" t="str" cm="1">
        <f t="array" ref="AU24">_xll.BDP($B24 &amp; " id cusip",AU$14,"settle_dt=" &amp; $U$13)</f>
        <v>CA 100%</v>
      </c>
      <c r="AV24" s="144" t="str" cm="1">
        <f t="array" ref="AV24">_xll.BDP($B24 &amp; " id cusip",AV$14,"settle_dt=" &amp; $U$13)</f>
        <v>TX 13%</v>
      </c>
      <c r="AW24" s="144" t="str" cm="1">
        <f t="array" ref="AW24">_xll.BDP($B24 &amp; " id cusip",AW$14,"settle_dt=" &amp; $U$13)</f>
        <v>TX 6%</v>
      </c>
      <c r="AX24" s="144" cm="1">
        <f t="array" ref="AX24">_xll.BDP($B24 &amp; " id cusip",AX$14,"settle_dt=" &amp; $U$13)</f>
        <v>100</v>
      </c>
      <c r="AY24" s="144" cm="1">
        <f t="array" ref="AY24">_xll.BDP($B24 &amp; " id cusip",AY$14,"settle_dt=" &amp; $U$13)</f>
        <v>0</v>
      </c>
      <c r="AZ24" s="144" cm="1">
        <f t="array" ref="AZ24">_xll.BDP($B24 &amp; " id cusip",AZ$14,"settle_dt=" &amp; $U$13)</f>
        <v>0</v>
      </c>
      <c r="BA24" s="144" cm="1">
        <f t="array" ref="BA24">_xll.BDP($B24 &amp; " id cusip",BA$14,"settle_dt=" &amp; $U$13)</f>
        <v>0</v>
      </c>
      <c r="BB24" s="144" t="str" cm="1">
        <f t="array" ref="BB24">_xll.BDP($B24 &amp; " id cusip",BB$14,"settle_dt=" &amp; $U$13)</f>
        <v>CA 100.0</v>
      </c>
      <c r="BC24" s="144" t="str" cm="1">
        <f t="array" ref="BC24">_xll.BDP($B24 &amp; " id cusip",BC$14,"settle_dt=" &amp; $U$13)</f>
        <v>IL 9.4</v>
      </c>
      <c r="BD24" s="144" t="str" cm="1">
        <f t="array" ref="BD24">_xll.BDP($B24 &amp; " id cusip",BD$14,"settle_dt=" &amp; $U$13)</f>
        <v>TX 5.0</v>
      </c>
      <c r="BE24" s="144" cm="1">
        <f t="array" ref="BE24">_xll.BDP($B24 &amp; " id cusip",BE$14,"settle_dt=" &amp; $U$13)</f>
        <v>51</v>
      </c>
      <c r="BF24" s="144" t="str" cm="1">
        <f t="array" ref="BF24">_xll.BDP($B24 &amp; " id cusip",BF$14,"settle_dt=" &amp; $U$13)</f>
        <v>#N/A Field Not Applicable</v>
      </c>
      <c r="BG24" s="144" cm="1">
        <f t="array" ref="BG24">_xll.BDP($B24 &amp; " id cusip",BG$14,"settle_dt=" &amp; $U$13)</f>
        <v>450000</v>
      </c>
      <c r="BH24" s="144" cm="1">
        <f t="array" ref="BH24">_xll.BDP($B24 &amp; " id cusip",BH$14,"settle_dt=" &amp; $U$13)</f>
        <v>360</v>
      </c>
      <c r="BI24" s="144" t="str" cm="1">
        <f t="array" ref="BI24">_xll.BDP($B24 &amp; " id cusip",BI$14,"settle_dt=" &amp; $U$13)</f>
        <v>Mtge</v>
      </c>
      <c r="BJ24" s="144" cm="1">
        <f t="array" ref="BJ24">_xll.BDP($B24 &amp; " id cusip",BJ$14,"settle_dt=" &amp; $U$13)</f>
        <v>7.1909999999999998</v>
      </c>
      <c r="BK24" s="144" t="str" cm="1">
        <f t="array" ref="BK24">_xll.BDP($B24 &amp; " id cusip",BK$14,"settle_dt=" &amp; $U$13)</f>
        <v>FNARM</v>
      </c>
      <c r="BL24" s="122">
        <f>_xll.BDP($B24 &amp; " mtge","YLD_CNV_BID","SETTLE_DT=" &amp; $U$13,"PX_BID=" &amp; $D24, "MTG_PREPAY_SPEED=" &amp; AD24, "MTG_PREPAY_TYP=CPR")</f>
        <v>7.1059999999999999</v>
      </c>
      <c r="BM24" s="122">
        <f>_xll.BDP($B24 &amp; " mtge","YLD_CNV_BID","SETTLE_DT=" &amp; $U$13,"PX_BID=" &amp; $D24, "MTG_PREPAY_SPEED=" &amp; AE24, "MTG_PREPAY_TYP=CPR")</f>
        <v>7.1230000000000002</v>
      </c>
      <c r="BN24" s="122">
        <f>_xll.BDP($B24 &amp; " mtge","YLD_CNV_BID","SETTLE_DT=" &amp; $U$13,"PX_BID=" &amp; $D24, "MTG_PREPAY_SPEED=" &amp; AF24, "MTG_PREPAY_TYP=CPR")</f>
        <v>7.181</v>
      </c>
      <c r="BO24" s="122">
        <f>_xll.BDP($B24 &amp; " mtge","YLD_CNV_BID","SETTLE_DT=" &amp; $U$13,"PX_BID=" &amp; $D24, "MTG_PREPAY_SPEED=" &amp; AG24, "MTG_PREPAY_TYP=CPR")</f>
        <v>7.1749999999999998</v>
      </c>
      <c r="BP24" s="122">
        <f>_xll.BDP($B24 &amp; " mtge","YLD_CNV_BID","SETTLE_DT=" &amp; $U$13,"PX_BID=" &amp; $D24, "MTG_PREPAY_SPEED=" &amp; AH24, "MTG_PREPAY_TYP=CPR")</f>
        <v>7.1779999999999999</v>
      </c>
      <c r="BQ24" s="122">
        <f>_xll.BDP($B24 &amp; " mtge","YLD_CNV_BID","SETTLE_DT=" &amp; $U$13,"PX_BID=" &amp; $D24, "MTG_PREPAY_SPEED=" &amp; AI24, "MTG_PREPAY_TYP=CPR")</f>
        <v>7.18</v>
      </c>
      <c r="BR24" s="122"/>
    </row>
    <row r="25" spans="1:70" x14ac:dyDescent="0.25">
      <c r="A25" s="148" t="s">
        <v>104</v>
      </c>
      <c r="B25" s="138" t="s">
        <v>150</v>
      </c>
      <c r="C25" s="138">
        <v>20141044</v>
      </c>
      <c r="D25" s="138">
        <v>99.250930786132813</v>
      </c>
      <c r="E25" s="139"/>
      <c r="T25" s="6" t="str">
        <f t="shared" si="2"/>
        <v/>
      </c>
      <c r="U25" s="144" t="str" cm="1">
        <f t="array" ref="U25">_xll.BDP(B25 &amp; " id cusip","id cusip")</f>
        <v>31404GPC9</v>
      </c>
      <c r="V25" s="144" t="str" cm="1">
        <f t="array" ref="V25">_xll.BDP($B25 &amp; " id cusip",$V$14)</f>
        <v>FN 768219</v>
      </c>
      <c r="W25" s="144" t="str" cm="1">
        <f t="array" ref="W25">_xll.BDP($B25 &amp; " id cusip",W$14)</f>
        <v>MBS ARM</v>
      </c>
      <c r="X25" s="144" cm="1">
        <f t="array" ref="X25">_xll.BDP($B25 &amp; " id cusip",X$14)</f>
        <v>6.13</v>
      </c>
      <c r="Y25" s="144" cm="1">
        <f t="array" ref="Y25">_xll.BDP($B25 &amp; " id cusip",Y$14)</f>
        <v>6.75</v>
      </c>
      <c r="Z25" s="144" cm="1">
        <f t="array" ref="Z25">_xll.BDP($B25 &amp; " id cusip",Z$14)</f>
        <v>119</v>
      </c>
      <c r="AA25" s="144" cm="1">
        <f t="array" ref="AA25">_xll.BDP($B25 &amp; " id cusip",AA$14)</f>
        <v>241</v>
      </c>
      <c r="AB25" s="144" t="str" cm="1">
        <f t="array" ref="AB25">_xll.BDP($B25 &amp; " id cusip",AB$14)</f>
        <v>3/1/2034</v>
      </c>
      <c r="AC25" s="144" cm="1">
        <f t="array" ref="AC25">_xll.BDP($B25 &amp; " id cusip",AC$14,"settle_dt=" &amp; $U$13)</f>
        <v>4</v>
      </c>
      <c r="AD25" s="144" cm="1">
        <f t="array" ref="AD25">_xll.BDP($B25 &amp; " id cusip",AD$14,"settle_dt=" &amp; $U$13)</f>
        <v>18.010000000000002</v>
      </c>
      <c r="AE25" s="144" cm="1">
        <f t="array" ref="AE25">_xll.BDP($B25 &amp; " id cusip",AE$14,"settle_dt=" &amp; $U$13)</f>
        <v>11.111195354099999</v>
      </c>
      <c r="AF25" s="144" cm="1">
        <f t="array" ref="AF25">_xll.BDP($B25 &amp; " id cusip",AF$14,"settle_dt=" &amp; $U$13)</f>
        <v>3.6422579432834667</v>
      </c>
      <c r="AG25" s="144" cm="1">
        <f t="array" ref="AG25">_xll.BDP($B25 &amp; " id cusip",AG$14,"settle_dt=" &amp; $U$13)</f>
        <v>3.7973093972535121</v>
      </c>
      <c r="AH25" s="144" cm="1">
        <f t="array" ref="AH25">_xll.BDP($B25 &amp; " id cusip",AH$14,"settle_dt=" &amp; $U$13)</f>
        <v>4.6953676165815477</v>
      </c>
      <c r="AI25" s="144" cm="1">
        <f t="array" ref="AI25">_xll.BDP($B25 &amp; " id cusip",AI$14,"settle_dt=" &amp; $U$13)</f>
        <v>4.3243697196438617</v>
      </c>
      <c r="AJ25" s="144" cm="1">
        <f t="array" ref="AJ25">_xll.BDP($B25 &amp; " id cusip",AJ$14,"settle_dt=" &amp; $U$13)</f>
        <v>9.0664600000000001E-3</v>
      </c>
      <c r="AK25" s="144" t="str" cm="1">
        <f t="array" ref="AK25">_xll.BDP($B25 &amp; " id cusip",AK$14,"settle_dt=" &amp; $U$13)</f>
        <v>3/1/2024</v>
      </c>
      <c r="AL25" s="144" cm="1">
        <f t="array" ref="AL25">_xll.BDP($B25 &amp; " id cusip",AL$14,"settle_dt=" &amp; $U$13)</f>
        <v>9.1481199999999992E-3</v>
      </c>
      <c r="AM25" s="144" cm="1">
        <f t="array" ref="AM25">_xll.BDP($B25 &amp; " id cusip",AM$14,"settle_dt=" &amp; $U$13)</f>
        <v>357</v>
      </c>
      <c r="AN25" s="144" t="str" cm="1">
        <f t="array" ref="AN25">_xll.BDP($B25 &amp; " id cusip",AN$14,"settle_dt=" &amp; $U$13)</f>
        <v>LB</v>
      </c>
      <c r="AO25" s="144" cm="1">
        <f t="array" ref="AO25">_xll.BDP($B25 &amp; " id cusip",AO$14,"settle_dt=" &amp; $U$13)</f>
        <v>241</v>
      </c>
      <c r="AP25" s="144" cm="1">
        <f t="array" ref="AP25">_xll.BDP($B25 &amp; " id cusip",AP$14,"settle_dt=" &amp; $U$13)</f>
        <v>188389</v>
      </c>
      <c r="AQ25" s="144" cm="1">
        <f t="array" ref="AQ25">_xll.BDP($B25 &amp; " id cusip",AQ$14,"settle_dt=" &amp; $U$13)</f>
        <v>246000</v>
      </c>
      <c r="AR25" s="144" cm="1">
        <f t="array" ref="AR25">_xll.BDP($B25 &amp; " id cusip",AR$14,"settle_dt=" &amp; $U$13)</f>
        <v>73</v>
      </c>
      <c r="AS25" s="144" cm="1">
        <f t="array" ref="AS25">_xll.BDP($B25 &amp; " id cusip",AS$14,"settle_dt=" &amp; $U$13)</f>
        <v>713</v>
      </c>
      <c r="AT25" s="144" t="str" cm="1">
        <f t="array" ref="AT25">_xll.BDP($B25 &amp; " id cusip",AT$14,"settle_dt=" &amp; $U$13)</f>
        <v>INDYMAC BANK, FSB</v>
      </c>
      <c r="AU25" s="144" t="str" cm="1">
        <f t="array" ref="AU25">_xll.BDP($B25 &amp; " id cusip",AU$14,"settle_dt=" &amp; $U$13)</f>
        <v>MI 100%</v>
      </c>
      <c r="AV25" s="144" t="str" cm="1">
        <f t="array" ref="AV25">_xll.BDP($B25 &amp; " id cusip",AV$14,"settle_dt=" &amp; $U$13)</f>
        <v>FL 17%</v>
      </c>
      <c r="AW25" s="144" t="str" cm="1">
        <f t="array" ref="AW25">_xll.BDP($B25 &amp; " id cusip",AW$14,"settle_dt=" &amp; $U$13)</f>
        <v>CT 7%</v>
      </c>
      <c r="AX25" s="144" t="str" cm="1">
        <f t="array" ref="AX25">_xll.BDP($B25 &amp; " id cusip",AX$14,"settle_dt=" &amp; $U$13)</f>
        <v>#N/A Field Not Applicable</v>
      </c>
      <c r="AY25" s="144" cm="1">
        <f t="array" ref="AY25">_xll.BDP($B25 &amp; " id cusip",AY$14,"settle_dt=" &amp; $U$13)</f>
        <v>0</v>
      </c>
      <c r="AZ25" s="144" cm="1">
        <f t="array" ref="AZ25">_xll.BDP($B25 &amp; " id cusip",AZ$14,"settle_dt=" &amp; $U$13)</f>
        <v>0</v>
      </c>
      <c r="BA25" s="144" cm="1">
        <f t="array" ref="BA25">_xll.BDP($B25 &amp; " id cusip",BA$14,"settle_dt=" &amp; $U$13)</f>
        <v>0</v>
      </c>
      <c r="BB25" s="144" t="str" cm="1">
        <f t="array" ref="BB25">_xll.BDP($B25 &amp; " id cusip",BB$14,"settle_dt=" &amp; $U$13)</f>
        <v>MI 100.0</v>
      </c>
      <c r="BC25" s="144" t="str" cm="1">
        <f t="array" ref="BC25">_xll.BDP($B25 &amp; " id cusip",BC$14,"settle_dt=" &amp; $U$13)</f>
        <v>#N/A Field Not Applicable</v>
      </c>
      <c r="BD25" s="144" t="str" cm="1">
        <f t="array" ref="BD25">_xll.BDP($B25 &amp; " id cusip",BD$14,"settle_dt=" &amp; $U$13)</f>
        <v>#N/A Field Not Applicable</v>
      </c>
      <c r="BE25" s="144" cm="1">
        <f t="array" ref="BE25">_xll.BDP($B25 &amp; " id cusip",BE$14,"settle_dt=" &amp; $U$13)</f>
        <v>73</v>
      </c>
      <c r="BF25" s="144" t="str" cm="1">
        <f t="array" ref="BF25">_xll.BDP($B25 &amp; " id cusip",BF$14,"settle_dt=" &amp; $U$13)</f>
        <v>#N/A Field Not Applicable</v>
      </c>
      <c r="BG25" s="144" cm="1">
        <f t="array" ref="BG25">_xll.BDP($B25 &amp; " id cusip",BG$14,"settle_dt=" &amp; $U$13)</f>
        <v>246000</v>
      </c>
      <c r="BH25" s="144" cm="1">
        <f t="array" ref="BH25">_xll.BDP($B25 &amp; " id cusip",BH$14,"settle_dt=" &amp; $U$13)</f>
        <v>360</v>
      </c>
      <c r="BI25" s="144" t="str" cm="1">
        <f t="array" ref="BI25">_xll.BDP($B25 &amp; " id cusip",BI$14,"settle_dt=" &amp; $U$13)</f>
        <v>Mtge</v>
      </c>
      <c r="BJ25" s="144" cm="1">
        <f t="array" ref="BJ25">_xll.BDP($B25 &amp; " id cusip",BJ$14,"settle_dt=" &amp; $U$13)</f>
        <v>7.2510000000000003</v>
      </c>
      <c r="BK25" s="144" t="str" cm="1">
        <f t="array" ref="BK25">_xll.BDP($B25 &amp; " id cusip",BK$14,"settle_dt=" &amp; $U$13)</f>
        <v>FNARM</v>
      </c>
      <c r="BL25" s="122">
        <f>_xll.BDP($B25 &amp; " mtge","YLD_CNV_BID","SETTLE_DT=" &amp; $U$13,"PX_BID=" &amp; $D25, "MTG_PREPAY_SPEED=" &amp; AD25, "MTG_PREPAY_TYP=CPR")</f>
        <v>7.1749999999999998</v>
      </c>
      <c r="BM25" s="122">
        <f>_xll.BDP($B25 &amp; " mtge","YLD_CNV_BID","SETTLE_DT=" &amp; $U$13,"PX_BID=" &amp; $D25, "MTG_PREPAY_SPEED=" &amp; AE25, "MTG_PREPAY_TYP=CPR")</f>
        <v>7.2080000000000002</v>
      </c>
      <c r="BN25" s="122">
        <f>_xll.BDP($B25 &amp; " mtge","YLD_CNV_BID","SETTLE_DT=" &amp; $U$13,"PX_BID=" &amp; $D25, "MTG_PREPAY_SPEED=" &amp; AF25, "MTG_PREPAY_TYP=CPR")</f>
        <v>7.2409999999999997</v>
      </c>
      <c r="BO25" s="122">
        <f>_xll.BDP($B25 &amp; " mtge","YLD_CNV_BID","SETTLE_DT=" &amp; $U$13,"PX_BID=" &amp; $D25, "MTG_PREPAY_SPEED=" &amp; AG25, "MTG_PREPAY_TYP=CPR")</f>
        <v>7.24</v>
      </c>
      <c r="BP25" s="122">
        <f>_xll.BDP($B25 &amp; " mtge","YLD_CNV_BID","SETTLE_DT=" &amp; $U$13,"PX_BID=" &amp; $D25, "MTG_PREPAY_SPEED=" &amp; AH25, "MTG_PREPAY_TYP=CPR")</f>
        <v>7.2359999999999998</v>
      </c>
      <c r="BQ25" s="122">
        <f>_xll.BDP($B25 &amp; " mtge","YLD_CNV_BID","SETTLE_DT=" &amp; $U$13,"PX_BID=" &amp; $D25, "MTG_PREPAY_SPEED=" &amp; AI25, "MTG_PREPAY_TYP=CPR")</f>
        <v>7.2380000000000004</v>
      </c>
      <c r="BR25" s="122"/>
    </row>
    <row r="26" spans="1:70" x14ac:dyDescent="0.25">
      <c r="A26" s="149"/>
      <c r="B26" s="137" t="s">
        <v>151</v>
      </c>
      <c r="C26" s="137">
        <v>19042676</v>
      </c>
      <c r="D26" s="137">
        <v>100.58757019042969</v>
      </c>
      <c r="E26" s="53"/>
      <c r="T26" s="6" t="str">
        <f t="shared" si="2"/>
        <v/>
      </c>
      <c r="U26" s="144" t="str" cm="1">
        <f t="array" ref="U26">_xll.BDP(B26 &amp; " id cusip","id cusip")</f>
        <v>31414FXE6</v>
      </c>
      <c r="V26" s="144" t="str" cm="1">
        <f t="array" ref="V26">_xll.BDP($B26 &amp; " id cusip",$V$14)</f>
        <v>FN 965177</v>
      </c>
      <c r="W26" s="144" t="str" cm="1">
        <f t="array" ref="W26">_xll.BDP($B26 &amp; " id cusip",W$14)</f>
        <v>MBS ARM</v>
      </c>
      <c r="X26" s="144" cm="1">
        <f t="array" ref="X26">_xll.BDP($B26 &amp; " id cusip",X$14)</f>
        <v>6.0780000000000003</v>
      </c>
      <c r="Y26" s="144" cm="1">
        <f t="array" ref="Y26">_xll.BDP($B26 &amp; " id cusip",Y$14)</f>
        <v>6.5</v>
      </c>
      <c r="Z26" s="144" cm="1">
        <f t="array" ref="Z26">_xll.BDP($B26 &amp; " id cusip",Z$14)</f>
        <v>174</v>
      </c>
      <c r="AA26" s="144" cm="1">
        <f t="array" ref="AA26">_xll.BDP($B26 &amp; " id cusip",AA$14)</f>
        <v>186</v>
      </c>
      <c r="AB26" s="144" t="str" cm="1">
        <f t="array" ref="AB26">_xll.BDP($B26 &amp; " id cusip",AB$14)</f>
        <v>9/1/2038</v>
      </c>
      <c r="AC26" s="144" cm="1">
        <f t="array" ref="AC26">_xll.BDP($B26 &amp; " id cusip",AC$14,"settle_dt=" &amp; $U$13)</f>
        <v>2</v>
      </c>
      <c r="AD26" s="144" cm="1">
        <f t="array" ref="AD26">_xll.BDP($B26 &amp; " id cusip",AD$14,"settle_dt=" &amp; $U$13)</f>
        <v>24.16</v>
      </c>
      <c r="AE26" s="144" cm="1">
        <f t="array" ref="AE26">_xll.BDP($B26 &amp; " id cusip",AE$14,"settle_dt=" &amp; $U$13)</f>
        <v>11.762373414500001</v>
      </c>
      <c r="AF26" s="144" cm="1">
        <f t="array" ref="AF26">_xll.BDP($B26 &amp; " id cusip",AF$14,"settle_dt=" &amp; $U$13)</f>
        <v>5.3850030596214182E-3</v>
      </c>
      <c r="AG26" s="144" cm="1">
        <f t="array" ref="AG26">_xll.BDP($B26 &amp; " id cusip",AG$14,"settle_dt=" &amp; $U$13)</f>
        <v>5.2363127814203381E-3</v>
      </c>
      <c r="AH26" s="144" cm="1">
        <f t="array" ref="AH26">_xll.BDP($B26 &amp; " id cusip",AH$14,"settle_dt=" &amp; $U$13)</f>
        <v>5.4105769857315522E-3</v>
      </c>
      <c r="AI26" s="144" cm="1">
        <f t="array" ref="AI26">_xll.BDP($B26 &amp; " id cusip",AI$14,"settle_dt=" &amp; $U$13)</f>
        <v>5.7007907736772445E-3</v>
      </c>
      <c r="AJ26" s="144" cm="1">
        <f t="array" ref="AJ26">_xll.BDP($B26 &amp; " id cusip",AJ$14,"settle_dt=" &amp; $U$13)</f>
        <v>8.5706700000000007E-3</v>
      </c>
      <c r="AK26" s="144" t="str" cm="1">
        <f t="array" ref="AK26">_xll.BDP($B26 &amp; " id cusip",AK$14,"settle_dt=" &amp; $U$13)</f>
        <v>3/1/2024</v>
      </c>
      <c r="AL26" s="144" cm="1">
        <f t="array" ref="AL26">_xll.BDP($B26 &amp; " id cusip",AL$14,"settle_dt=" &amp; $U$13)</f>
        <v>8.6003099999999999E-3</v>
      </c>
      <c r="AM26" s="144" cm="1">
        <f t="array" ref="AM26">_xll.BDP($B26 &amp; " id cusip",AM$14,"settle_dt=" &amp; $U$13)</f>
        <v>361</v>
      </c>
      <c r="AN26" s="144" t="str" cm="1">
        <f t="array" ref="AN26">_xll.BDP($B26 &amp; " id cusip",AN$14,"settle_dt=" &amp; $U$13)</f>
        <v>LB</v>
      </c>
      <c r="AO26" s="144" cm="1">
        <f t="array" ref="AO26">_xll.BDP($B26 &amp; " id cusip",AO$14,"settle_dt=" &amp; $U$13)</f>
        <v>186</v>
      </c>
      <c r="AP26" s="144" cm="1">
        <f t="array" ref="AP26">_xll.BDP($B26 &amp; " id cusip",AP$14,"settle_dt=" &amp; $U$13)</f>
        <v>190814</v>
      </c>
      <c r="AQ26" s="144" cm="1">
        <f t="array" ref="AQ26">_xll.BDP($B26 &amp; " id cusip",AQ$14,"settle_dt=" &amp; $U$13)</f>
        <v>218000</v>
      </c>
      <c r="AR26" s="144" cm="1">
        <f t="array" ref="AR26">_xll.BDP($B26 &amp; " id cusip",AR$14,"settle_dt=" &amp; $U$13)</f>
        <v>77</v>
      </c>
      <c r="AS26" s="144" cm="1">
        <f t="array" ref="AS26">_xll.BDP($B26 &amp; " id cusip",AS$14,"settle_dt=" &amp; $U$13)</f>
        <v>740</v>
      </c>
      <c r="AT26" s="144" t="str" cm="1">
        <f t="array" ref="AT26">_xll.BDP($B26 &amp; " id cusip",AT$14,"settle_dt=" &amp; $U$13)</f>
        <v>COUNTRYWIDE BANK, FSB</v>
      </c>
      <c r="AU26" s="144" t="str" cm="1">
        <f t="array" ref="AU26">_xll.BDP($B26 &amp; " id cusip",AU$14,"settle_dt=" &amp; $U$13)</f>
        <v>AK 85%</v>
      </c>
      <c r="AV26" s="144" t="str" cm="1">
        <f t="array" ref="AV26">_xll.BDP($B26 &amp; " id cusip",AV$14,"settle_dt=" &amp; $U$13)</f>
        <v>OH 15%</v>
      </c>
      <c r="AW26" s="144" t="str" cm="1">
        <f t="array" ref="AW26">_xll.BDP($B26 &amp; " id cusip",AW$14,"settle_dt=" &amp; $U$13)</f>
        <v>OH 6%</v>
      </c>
      <c r="AX26" s="144" cm="1">
        <f t="array" ref="AX26">_xll.BDP($B26 &amp; " id cusip",AX$14,"settle_dt=" &amp; $U$13)</f>
        <v>0</v>
      </c>
      <c r="AY26" s="144" cm="1">
        <f t="array" ref="AY26">_xll.BDP($B26 &amp; " id cusip",AY$14,"settle_dt=" &amp; $U$13)</f>
        <v>0</v>
      </c>
      <c r="AZ26" s="144" cm="1">
        <f t="array" ref="AZ26">_xll.BDP($B26 &amp; " id cusip",AZ$14,"settle_dt=" &amp; $U$13)</f>
        <v>0</v>
      </c>
      <c r="BA26" s="144" cm="1">
        <f t="array" ref="BA26">_xll.BDP($B26 &amp; " id cusip",BA$14,"settle_dt=" &amp; $U$13)</f>
        <v>0</v>
      </c>
      <c r="BB26" s="144" t="str" cm="1">
        <f t="array" ref="BB26">_xll.BDP($B26 &amp; " id cusip",BB$14,"settle_dt=" &amp; $U$13)</f>
        <v>AK 84.9</v>
      </c>
      <c r="BC26" s="144" t="str" cm="1">
        <f t="array" ref="BC26">_xll.BDP($B26 &amp; " id cusip",BC$14,"settle_dt=" &amp; $U$13)</f>
        <v>OH 15.1</v>
      </c>
      <c r="BD26" s="144" t="str" cm="1">
        <f t="array" ref="BD26">_xll.BDP($B26 &amp; " id cusip",BD$14,"settle_dt=" &amp; $U$13)</f>
        <v>CA 7.4</v>
      </c>
      <c r="BE26" s="144" cm="1">
        <f t="array" ref="BE26">_xll.BDP($B26 &amp; " id cusip",BE$14,"settle_dt=" &amp; $U$13)</f>
        <v>77</v>
      </c>
      <c r="BF26" s="144" t="str" cm="1">
        <f t="array" ref="BF26">_xll.BDP($B26 &amp; " id cusip",BF$14,"settle_dt=" &amp; $U$13)</f>
        <v>#N/A Field Not Applicable</v>
      </c>
      <c r="BG26" s="144" cm="1">
        <f t="array" ref="BG26">_xll.BDP($B26 &amp; " id cusip",BG$14,"settle_dt=" &amp; $U$13)</f>
        <v>218000</v>
      </c>
      <c r="BH26" s="144" cm="1">
        <f t="array" ref="BH26">_xll.BDP($B26 &amp; " id cusip",BH$14,"settle_dt=" &amp; $U$13)</f>
        <v>360</v>
      </c>
      <c r="BI26" s="144" t="str" cm="1">
        <f t="array" ref="BI26">_xll.BDP($B26 &amp; " id cusip",BI$14,"settle_dt=" &amp; $U$13)</f>
        <v>Mtge</v>
      </c>
      <c r="BJ26" s="144" cm="1">
        <f t="array" ref="BJ26">_xll.BDP($B26 &amp; " id cusip",BJ$14,"settle_dt=" &amp; $U$13)</f>
        <v>7.3449999999999998</v>
      </c>
      <c r="BK26" s="144" t="str" cm="1">
        <f t="array" ref="BK26">_xll.BDP($B26 &amp; " id cusip",BK$14,"settle_dt=" &amp; $U$13)</f>
        <v>FNARM</v>
      </c>
      <c r="BL26" s="122">
        <f>_xll.BDP($B26 &amp; " mtge","YLD_CNV_BID","SETTLE_DT=" &amp; $U$13,"PX_BID=" &amp; $D26, "MTG_PREPAY_SPEED=" &amp; AD26, "MTG_PREPAY_TYP=CPR")</f>
        <v>6.9470000000000001</v>
      </c>
      <c r="BM26" s="122">
        <f>_xll.BDP($B26 &amp; " mtge","YLD_CNV_BID","SETTLE_DT=" &amp; $U$13,"PX_BID=" &amp; $D26, "MTG_PREPAY_SPEED=" &amp; AE26, "MTG_PREPAY_TYP=CPR")</f>
        <v>7.1669999999999998</v>
      </c>
      <c r="BN26" s="122">
        <f>_xll.BDP($B26 &amp; " mtge","YLD_CNV_BID","SETTLE_DT=" &amp; $U$13,"PX_BID=" &amp; $D26, "MTG_PREPAY_SPEED=" &amp; AF26, "MTG_PREPAY_TYP=CPR")</f>
        <v>7.3339999999999996</v>
      </c>
      <c r="BO26" s="122">
        <f>_xll.BDP($B26 &amp; " mtge","YLD_CNV_BID","SETTLE_DT=" &amp; $U$13,"PX_BID=" &amp; $D26, "MTG_PREPAY_SPEED=" &amp; AG26, "MTG_PREPAY_TYP=CPR")</f>
        <v>7.3339999999999996</v>
      </c>
      <c r="BP26" s="122">
        <f>_xll.BDP($B26 &amp; " mtge","YLD_CNV_BID","SETTLE_DT=" &amp; $U$13,"PX_BID=" &amp; $D26, "MTG_PREPAY_SPEED=" &amp; AH26, "MTG_PREPAY_TYP=CPR")</f>
        <v>7.3339999999999996</v>
      </c>
      <c r="BQ26" s="122">
        <f>_xll.BDP($B26 &amp; " mtge","YLD_CNV_BID","SETTLE_DT=" &amp; $U$13,"PX_BID=" &amp; $D26, "MTG_PREPAY_SPEED=" &amp; AI26, "MTG_PREPAY_TYP=CPR")</f>
        <v>7.3339999999999996</v>
      </c>
      <c r="BR26" s="122"/>
    </row>
    <row r="27" spans="1:70" x14ac:dyDescent="0.25">
      <c r="A27" s="149"/>
      <c r="B27" s="137" t="s">
        <v>152</v>
      </c>
      <c r="C27" s="137">
        <v>21606070</v>
      </c>
      <c r="D27" s="137">
        <v>100.81143188476563</v>
      </c>
      <c r="E27" s="53"/>
      <c r="T27" s="6" t="str">
        <f t="shared" si="2"/>
        <v/>
      </c>
      <c r="U27" s="144" t="str" cm="1">
        <f t="array" ref="U27">_xll.BDP(B27 &amp; " id cusip","id cusip")</f>
        <v>31415SHB1</v>
      </c>
      <c r="V27" s="144" t="str" cm="1">
        <f t="array" ref="V27">_xll.BDP($B27 &amp; " id cusip",$V$14)</f>
        <v>FN 987726</v>
      </c>
      <c r="W27" s="144" t="str" cm="1">
        <f t="array" ref="W27">_xll.BDP($B27 &amp; " id cusip",W$14)</f>
        <v>MBS ARM</v>
      </c>
      <c r="X27" s="144" cm="1">
        <f t="array" ref="X27">_xll.BDP($B27 &amp; " id cusip",X$14)</f>
        <v>6.05</v>
      </c>
      <c r="Y27" s="144" cm="1">
        <f t="array" ref="Y27">_xll.BDP($B27 &amp; " id cusip",Y$14)</f>
        <v>6.5</v>
      </c>
      <c r="Z27" s="144" cm="1">
        <f t="array" ref="Z27">_xll.BDP($B27 &amp; " id cusip",Z$14)</f>
        <v>172</v>
      </c>
      <c r="AA27" s="144" cm="1">
        <f t="array" ref="AA27">_xll.BDP($B27 &amp; " id cusip",AA$14)</f>
        <v>188</v>
      </c>
      <c r="AB27" s="144" t="str" cm="1">
        <f t="array" ref="AB27">_xll.BDP($B27 &amp; " id cusip",AB$14)</f>
        <v>8/1/2038</v>
      </c>
      <c r="AC27" s="144" cm="1">
        <f t="array" ref="AC27">_xll.BDP($B27 &amp; " id cusip",AC$14,"settle_dt=" &amp; $U$13)</f>
        <v>1</v>
      </c>
      <c r="AD27" s="144" cm="1">
        <f t="array" ref="AD27">_xll.BDP($B27 &amp; " id cusip",AD$14,"settle_dt=" &amp; $U$13)</f>
        <v>24.81</v>
      </c>
      <c r="AE27" s="144" cm="1">
        <f t="array" ref="AE27">_xll.BDP($B27 &amp; " id cusip",AE$14,"settle_dt=" &amp; $U$13)</f>
        <v>12.957252673100001</v>
      </c>
      <c r="AF27" s="144" cm="1">
        <f t="array" ref="AF27">_xll.BDP($B27 &amp; " id cusip",AF$14,"settle_dt=" &amp; $U$13)</f>
        <v>8.9376601712931603E-4</v>
      </c>
      <c r="AG27" s="144" cm="1">
        <f t="array" ref="AG27">_xll.BDP($B27 &amp; " id cusip",AG$14,"settle_dt=" &amp; $U$13)</f>
        <v>-1.1399785371235538E-4</v>
      </c>
      <c r="AH27" s="144" cm="1">
        <f t="array" ref="AH27">_xll.BDP($B27 &amp; " id cusip",AH$14,"settle_dt=" &amp; $U$13)</f>
        <v>-8.525921169066919E-6</v>
      </c>
      <c r="AI27" s="144" cm="1">
        <f t="array" ref="AI27">_xll.BDP($B27 &amp; " id cusip",AI$14,"settle_dt=" &amp; $U$13)</f>
        <v>34.602972943419907</v>
      </c>
      <c r="AJ27" s="144" cm="1">
        <f t="array" ref="AJ27">_xll.BDP($B27 &amp; " id cusip",AJ$14,"settle_dt=" &amp; $U$13)</f>
        <v>7.2571099999999998E-3</v>
      </c>
      <c r="AK27" s="144" t="str" cm="1">
        <f t="array" ref="AK27">_xll.BDP($B27 &amp; " id cusip",AK$14,"settle_dt=" &amp; $U$13)</f>
        <v>3/1/2024</v>
      </c>
      <c r="AL27" s="144" cm="1">
        <f t="array" ref="AL27">_xll.BDP($B27 &amp; " id cusip",AL$14,"settle_dt=" &amp; $U$13)</f>
        <v>7.28263E-3</v>
      </c>
      <c r="AM27" s="144" cm="1">
        <f t="array" ref="AM27">_xll.BDP($B27 &amp; " id cusip",AM$14,"settle_dt=" &amp; $U$13)</f>
        <v>359</v>
      </c>
      <c r="AN27" s="144" t="str" cm="1">
        <f t="array" ref="AN27">_xll.BDP($B27 &amp; " id cusip",AN$14,"settle_dt=" &amp; $U$13)</f>
        <v>LB</v>
      </c>
      <c r="AO27" s="144" cm="1">
        <f t="array" ref="AO27">_xll.BDP($B27 &amp; " id cusip",AO$14,"settle_dt=" &amp; $U$13)</f>
        <v>188</v>
      </c>
      <c r="AP27" s="144" cm="1">
        <f t="array" ref="AP27">_xll.BDP($B27 &amp; " id cusip",AP$14,"settle_dt=" &amp; $U$13)</f>
        <v>250000</v>
      </c>
      <c r="AQ27" s="144" cm="1">
        <f t="array" ref="AQ27">_xll.BDP($B27 &amp; " id cusip",AQ$14,"settle_dt=" &amp; $U$13)</f>
        <v>250000</v>
      </c>
      <c r="AR27" s="144" cm="1">
        <f t="array" ref="AR27">_xll.BDP($B27 &amp; " id cusip",AR$14,"settle_dt=" &amp; $U$13)</f>
        <v>36</v>
      </c>
      <c r="AS27" s="144" cm="1">
        <f t="array" ref="AS27">_xll.BDP($B27 &amp; " id cusip",AS$14,"settle_dt=" &amp; $U$13)</f>
        <v>762</v>
      </c>
      <c r="AT27" s="144" t="str" cm="1">
        <f t="array" ref="AT27">_xll.BDP($B27 &amp; " id cusip",AT$14,"settle_dt=" &amp; $U$13)</f>
        <v>NATIONAL CITY MORTGAGE COMPANY</v>
      </c>
      <c r="AU27" s="144" t="str" cm="1">
        <f t="array" ref="AU27">_xll.BDP($B27 &amp; " id cusip",AU$14,"settle_dt=" &amp; $U$13)</f>
        <v>IL 100%</v>
      </c>
      <c r="AV27" s="144" t="str" cm="1">
        <f t="array" ref="AV27">_xll.BDP($B27 &amp; " id cusip",AV$14,"settle_dt=" &amp; $U$13)</f>
        <v>OH 35%</v>
      </c>
      <c r="AW27" s="144" t="str" cm="1">
        <f t="array" ref="AW27">_xll.BDP($B27 &amp; " id cusip",AW$14,"settle_dt=" &amp; $U$13)</f>
        <v>OH 22%</v>
      </c>
      <c r="AX27" s="144" cm="1">
        <f t="array" ref="AX27">_xll.BDP($B27 &amp; " id cusip",AX$14,"settle_dt=" &amp; $U$13)</f>
        <v>0</v>
      </c>
      <c r="AY27" s="144" cm="1">
        <f t="array" ref="AY27">_xll.BDP($B27 &amp; " id cusip",AY$14,"settle_dt=" &amp; $U$13)</f>
        <v>0</v>
      </c>
      <c r="AZ27" s="144" cm="1">
        <f t="array" ref="AZ27">_xll.BDP($B27 &amp; " id cusip",AZ$14,"settle_dt=" &amp; $U$13)</f>
        <v>0</v>
      </c>
      <c r="BA27" s="144" cm="1">
        <f t="array" ref="BA27">_xll.BDP($B27 &amp; " id cusip",BA$14,"settle_dt=" &amp; $U$13)</f>
        <v>0</v>
      </c>
      <c r="BB27" s="144" t="str" cm="1">
        <f t="array" ref="BB27">_xll.BDP($B27 &amp; " id cusip",BB$14,"settle_dt=" &amp; $U$13)</f>
        <v>IL 100.0</v>
      </c>
      <c r="BC27" s="144" t="str" cm="1">
        <f t="array" ref="BC27">_xll.BDP($B27 &amp; " id cusip",BC$14,"settle_dt=" &amp; $U$13)</f>
        <v>MD 13.8</v>
      </c>
      <c r="BD27" s="144" t="str" cm="1">
        <f t="array" ref="BD27">_xll.BDP($B27 &amp; " id cusip",BD$14,"settle_dt=" &amp; $U$13)</f>
        <v>CA 8.2</v>
      </c>
      <c r="BE27" s="144" cm="1">
        <f t="array" ref="BE27">_xll.BDP($B27 &amp; " id cusip",BE$14,"settle_dt=" &amp; $U$13)</f>
        <v>36</v>
      </c>
      <c r="BF27" s="144" t="str" cm="1">
        <f t="array" ref="BF27">_xll.BDP($B27 &amp; " id cusip",BF$14,"settle_dt=" &amp; $U$13)</f>
        <v>#N/A Field Not Applicable</v>
      </c>
      <c r="BG27" s="144" cm="1">
        <f t="array" ref="BG27">_xll.BDP($B27 &amp; " id cusip",BG$14,"settle_dt=" &amp; $U$13)</f>
        <v>250000</v>
      </c>
      <c r="BH27" s="144" cm="1">
        <f t="array" ref="BH27">_xll.BDP($B27 &amp; " id cusip",BH$14,"settle_dt=" &amp; $U$13)</f>
        <v>360</v>
      </c>
      <c r="BI27" s="144" t="str" cm="1">
        <f t="array" ref="BI27">_xll.BDP($B27 &amp; " id cusip",BI$14,"settle_dt=" &amp; $U$13)</f>
        <v>Mtge</v>
      </c>
      <c r="BJ27" s="144" cm="1">
        <f t="array" ref="BJ27">_xll.BDP($B27 &amp; " id cusip",BJ$14,"settle_dt=" &amp; $U$13)</f>
        <v>7.3129999999999997</v>
      </c>
      <c r="BK27" s="144" t="str" cm="1">
        <f t="array" ref="BK27">_xll.BDP($B27 &amp; " id cusip",BK$14,"settle_dt=" &amp; $U$13)</f>
        <v>FNARM</v>
      </c>
      <c r="BL27" s="122">
        <f>_xll.BDP($B27 &amp; " mtge","YLD_CNV_BID","SETTLE_DT=" &amp; $U$13,"PX_BID=" &amp; $D27, "MTG_PREPAY_SPEED=" &amp; AD27, "MTG_PREPAY_TYP=CPR")</f>
        <v>6.891</v>
      </c>
      <c r="BM27" s="122">
        <f>_xll.BDP($B27 &amp; " mtge","YLD_CNV_BID","SETTLE_DT=" &amp; $U$13,"PX_BID=" &amp; $D27, "MTG_PREPAY_SPEED=" &amp; AE27, "MTG_PREPAY_TYP=CPR")</f>
        <v>7.1109999999999998</v>
      </c>
      <c r="BN27" s="122">
        <f>_xll.BDP($B27 &amp; " mtge","YLD_CNV_BID","SETTLE_DT=" &amp; $U$13,"PX_BID=" &amp; $D27, "MTG_PREPAY_SPEED=" &amp; AF27, "MTG_PREPAY_TYP=CPR")</f>
        <v>7.3010000000000002</v>
      </c>
      <c r="BO27" s="122" t="str">
        <f>_xll.BDP($B27 &amp; " mtge","YLD_CNV_BID","SETTLE_DT=" &amp; $U$13,"PX_BID=" &amp; $D27, "MTG_PREPAY_SPEED=" &amp; AG27, "MTG_PREPAY_TYP=CPR")</f>
        <v>#N/A N/A</v>
      </c>
      <c r="BP27" s="122" t="str">
        <f>_xll.BDP($B27 &amp; " mtge","YLD_CNV_BID","SETTLE_DT=" &amp; $U$13,"PX_BID=" &amp; $D27, "MTG_PREPAY_SPEED=" &amp; AH27, "MTG_PREPAY_TYP=CPR")</f>
        <v>#N/A N/A</v>
      </c>
      <c r="BQ27" s="122">
        <f>_xll.BDP($B27 &amp; " mtge","YLD_CNV_BID","SETTLE_DT=" &amp; $U$13,"PX_BID=" &amp; $D27, "MTG_PREPAY_SPEED=" &amp; AI27, "MTG_PREPAY_TYP=CPR")</f>
        <v>6.6769999999999996</v>
      </c>
      <c r="BR27" s="122"/>
    </row>
    <row r="28" spans="1:70" x14ac:dyDescent="0.25">
      <c r="A28" s="149"/>
      <c r="B28" s="137" t="s">
        <v>153</v>
      </c>
      <c r="C28" s="137">
        <v>23450883</v>
      </c>
      <c r="D28" s="137">
        <v>100.57170867919922</v>
      </c>
      <c r="E28" s="53"/>
      <c r="T28" s="6" t="str">
        <f t="shared" si="2"/>
        <v/>
      </c>
      <c r="U28" s="144" t="str" cm="1">
        <f t="array" ref="U28">_xll.BDP(B28 &amp; " id cusip","id cusip")</f>
        <v>31412SUU7</v>
      </c>
      <c r="V28" s="144" t="str" cm="1">
        <f t="array" ref="V28">_xll.BDP($B28 &amp; " id cusip",$V$14)</f>
        <v>FN 933595</v>
      </c>
      <c r="W28" s="144" t="str" cm="1">
        <f t="array" ref="W28">_xll.BDP($B28 &amp; " id cusip",W$14)</f>
        <v>MBS ARM</v>
      </c>
      <c r="X28" s="144" cm="1">
        <f t="array" ref="X28">_xll.BDP($B28 &amp; " id cusip",X$14)</f>
        <v>5.1070000000000002</v>
      </c>
      <c r="Y28" s="144" cm="1">
        <f t="array" ref="Y28">_xll.BDP($B28 &amp; " id cusip",Y$14)</f>
        <v>5.7469999999999999</v>
      </c>
      <c r="Z28" s="144" cm="1">
        <f t="array" ref="Z28">_xll.BDP($B28 &amp; " id cusip",Z$14)</f>
        <v>169</v>
      </c>
      <c r="AA28" s="144" cm="1">
        <f t="array" ref="AA28">_xll.BDP($B28 &amp; " id cusip",AA$14)</f>
        <v>191</v>
      </c>
      <c r="AB28" s="144" t="str" cm="1">
        <f t="array" ref="AB28">_xll.BDP($B28 &amp; " id cusip",AB$14)</f>
        <v>5/1/2038</v>
      </c>
      <c r="AC28" s="144" cm="1">
        <f t="array" ref="AC28">_xll.BDP($B28 &amp; " id cusip",AC$14,"settle_dt=" &amp; $U$13)</f>
        <v>3</v>
      </c>
      <c r="AD28" s="144" cm="1">
        <f t="array" ref="AD28">_xll.BDP($B28 &amp; " id cusip",AD$14,"settle_dt=" &amp; $U$13)</f>
        <v>25.01</v>
      </c>
      <c r="AE28" s="144" cm="1">
        <f t="array" ref="AE28">_xll.BDP($B28 &amp; " id cusip",AE$14,"settle_dt=" &amp; $U$13)</f>
        <v>15.010369826</v>
      </c>
      <c r="AF28" s="144" cm="1">
        <f t="array" ref="AF28">_xll.BDP($B28 &amp; " id cusip",AF$14,"settle_dt=" &amp; $U$13)</f>
        <v>7.6922005012536321E-2</v>
      </c>
      <c r="AG28" s="144" cm="1">
        <f t="array" ref="AG28">_xll.BDP($B28 &amp; " id cusip",AG$14,"settle_dt=" &amp; $U$13)</f>
        <v>7.6857006253583382E-2</v>
      </c>
      <c r="AH28" s="144" cm="1">
        <f t="array" ref="AH28">_xll.BDP($B28 &amp; " id cusip",AH$14,"settle_dt=" &amp; $U$13)</f>
        <v>0.89387571572920876</v>
      </c>
      <c r="AI28" s="144" cm="1">
        <f t="array" ref="AI28">_xll.BDP($B28 &amp; " id cusip",AI$14,"settle_dt=" &amp; $U$13)</f>
        <v>1.0306833270953164</v>
      </c>
      <c r="AJ28" s="144" cm="1">
        <f t="array" ref="AJ28">_xll.BDP($B28 &amp; " id cusip",AJ$14,"settle_dt=" &amp; $U$13)</f>
        <v>6.5461499999999997E-3</v>
      </c>
      <c r="AK28" s="144" t="str" cm="1">
        <f t="array" ref="AK28">_xll.BDP($B28 &amp; " id cusip",AK$14,"settle_dt=" &amp; $U$13)</f>
        <v>3/1/2024</v>
      </c>
      <c r="AL28" s="144" cm="1">
        <f t="array" ref="AL28">_xll.BDP($B28 &amp; " id cusip",AL$14,"settle_dt=" &amp; $U$13)</f>
        <v>6.5716899999999998E-3</v>
      </c>
      <c r="AM28" s="144" cm="1">
        <f t="array" ref="AM28">_xll.BDP($B28 &amp; " id cusip",AM$14,"settle_dt=" &amp; $U$13)</f>
        <v>359</v>
      </c>
      <c r="AN28" s="144" t="str" cm="1">
        <f t="array" ref="AN28">_xll.BDP($B28 &amp; " id cusip",AN$14,"settle_dt=" &amp; $U$13)</f>
        <v>LB</v>
      </c>
      <c r="AO28" s="144" cm="1">
        <f t="array" ref="AO28">_xll.BDP($B28 &amp; " id cusip",AO$14,"settle_dt=" &amp; $U$13)</f>
        <v>191</v>
      </c>
      <c r="AP28" s="144" cm="1">
        <f t="array" ref="AP28">_xll.BDP($B28 &amp; " id cusip",AP$14,"settle_dt=" &amp; $U$13)</f>
        <v>92932</v>
      </c>
      <c r="AQ28" s="144" cm="1">
        <f t="array" ref="AQ28">_xll.BDP($B28 &amp; " id cusip",AQ$14,"settle_dt=" &amp; $U$13)</f>
        <v>105000</v>
      </c>
      <c r="AR28" s="144" cm="1">
        <f t="array" ref="AR28">_xll.BDP($B28 &amp; " id cusip",AR$14,"settle_dt=" &amp; $U$13)</f>
        <v>70</v>
      </c>
      <c r="AS28" s="144" cm="1">
        <f t="array" ref="AS28">_xll.BDP($B28 &amp; " id cusip",AS$14,"settle_dt=" &amp; $U$13)</f>
        <v>739</v>
      </c>
      <c r="AT28" s="144" t="str" cm="1">
        <f t="array" ref="AT28">_xll.BDP($B28 &amp; " id cusip",AT$14,"settle_dt=" &amp; $U$13)</f>
        <v>CITIMORTGAGE, INC.</v>
      </c>
      <c r="AU28" s="144" t="str" cm="1">
        <f t="array" ref="AU28">_xll.BDP($B28 &amp; " id cusip",AU$14,"settle_dt=" &amp; $U$13)</f>
        <v>CO 36%</v>
      </c>
      <c r="AV28" s="144" t="str" cm="1">
        <f t="array" ref="AV28">_xll.BDP($B28 &amp; " id cusip",AV$14,"settle_dt=" &amp; $U$13)</f>
        <v>FL 32%</v>
      </c>
      <c r="AW28" s="144" t="str" cm="1">
        <f t="array" ref="AW28">_xll.BDP($B28 &amp; " id cusip",AW$14,"settle_dt=" &amp; $U$13)</f>
        <v>CA 31%</v>
      </c>
      <c r="AX28" s="144" cm="1">
        <f t="array" ref="AX28">_xll.BDP($B28 &amp; " id cusip",AX$14,"settle_dt=" &amp; $U$13)</f>
        <v>32.42</v>
      </c>
      <c r="AY28" s="144" cm="1">
        <f t="array" ref="AY28">_xll.BDP($B28 &amp; " id cusip",AY$14,"settle_dt=" &amp; $U$13)</f>
        <v>0</v>
      </c>
      <c r="AZ28" s="144" cm="1">
        <f t="array" ref="AZ28">_xll.BDP($B28 &amp; " id cusip",AZ$14,"settle_dt=" &amp; $U$13)</f>
        <v>0</v>
      </c>
      <c r="BA28" s="144" cm="1">
        <f t="array" ref="BA28">_xll.BDP($B28 &amp; " id cusip",BA$14,"settle_dt=" &amp; $U$13)</f>
        <v>0</v>
      </c>
      <c r="BB28" s="144" t="str" cm="1">
        <f t="array" ref="BB28">_xll.BDP($B28 &amp; " id cusip",BB$14,"settle_dt=" &amp; $U$13)</f>
        <v>CO 36.2</v>
      </c>
      <c r="BC28" s="144" t="str" cm="1">
        <f t="array" ref="BC28">_xll.BDP($B28 &amp; " id cusip",BC$14,"settle_dt=" &amp; $U$13)</f>
        <v>FL 32.4</v>
      </c>
      <c r="BD28" s="144" t="str" cm="1">
        <f t="array" ref="BD28">_xll.BDP($B28 &amp; " id cusip",BD$14,"settle_dt=" &amp; $U$13)</f>
        <v>CA 31.4</v>
      </c>
      <c r="BE28" s="144" cm="1">
        <f t="array" ref="BE28">_xll.BDP($B28 &amp; " id cusip",BE$14,"settle_dt=" &amp; $U$13)</f>
        <v>70</v>
      </c>
      <c r="BF28" s="144" t="str" cm="1">
        <f t="array" ref="BF28">_xll.BDP($B28 &amp; " id cusip",BF$14,"settle_dt=" &amp; $U$13)</f>
        <v>#N/A Field Not Applicable</v>
      </c>
      <c r="BG28" s="144" cm="1">
        <f t="array" ref="BG28">_xll.BDP($B28 &amp; " id cusip",BG$14,"settle_dt=" &amp; $U$13)</f>
        <v>105000</v>
      </c>
      <c r="BH28" s="144" cm="1">
        <f t="array" ref="BH28">_xll.BDP($B28 &amp; " id cusip",BH$14,"settle_dt=" &amp; $U$13)</f>
        <v>360</v>
      </c>
      <c r="BI28" s="144" t="str" cm="1">
        <f t="array" ref="BI28">_xll.BDP($B28 &amp; " id cusip",BI$14,"settle_dt=" &amp; $U$13)</f>
        <v>Mtge</v>
      </c>
      <c r="BJ28" s="144" cm="1">
        <f t="array" ref="BJ28">_xll.BDP($B28 &amp; " id cusip",BJ$14,"settle_dt=" &amp; $U$13)</f>
        <v>7.1619999999999999</v>
      </c>
      <c r="BK28" s="144" t="str" cm="1">
        <f t="array" ref="BK28">_xll.BDP($B28 &amp; " id cusip",BK$14,"settle_dt=" &amp; $U$13)</f>
        <v>FNARM</v>
      </c>
      <c r="BL28" s="122">
        <f>_xll.BDP($B28 &amp; " mtge","YLD_CNV_BID","SETTLE_DT=" &amp; $U$13,"PX_BID=" &amp; $D28, "MTG_PREPAY_SPEED=" &amp; AD28, "MTG_PREPAY_TYP=CPR")</f>
        <v>6.8289999999999997</v>
      </c>
      <c r="BM28" s="122">
        <f>_xll.BDP($B28 &amp; " mtge","YLD_CNV_BID","SETTLE_DT=" &amp; $U$13,"PX_BID=" &amp; $D28, "MTG_PREPAY_SPEED=" &amp; AE28, "MTG_PREPAY_TYP=CPR")</f>
        <v>6.98</v>
      </c>
      <c r="BN28" s="122">
        <f>_xll.BDP($B28 &amp; " mtge","YLD_CNV_BID","SETTLE_DT=" &amp; $U$13,"PX_BID=" &amp; $D28, "MTG_PREPAY_SPEED=" &amp; AF28, "MTG_PREPAY_TYP=CPR")</f>
        <v>7.1589999999999998</v>
      </c>
      <c r="BO28" s="122">
        <f>_xll.BDP($B28 &amp; " mtge","YLD_CNV_BID","SETTLE_DT=" &amp; $U$13,"PX_BID=" &amp; $D28, "MTG_PREPAY_SPEED=" &amp; AG28, "MTG_PREPAY_TYP=CPR")</f>
        <v>7.1589999999999998</v>
      </c>
      <c r="BP28" s="122">
        <f>_xll.BDP($B28 &amp; " mtge","YLD_CNV_BID","SETTLE_DT=" &amp; $U$13,"PX_BID=" &amp; $D28, "MTG_PREPAY_SPEED=" &amp; AH28, "MTG_PREPAY_TYP=CPR")</f>
        <v>7.1509999999999998</v>
      </c>
      <c r="BQ28" s="122">
        <f>_xll.BDP($B28 &amp; " mtge","YLD_CNV_BID","SETTLE_DT=" &amp; $U$13,"PX_BID=" &amp; $D28, "MTG_PREPAY_SPEED=" &amp; AI28, "MTG_PREPAY_TYP=CPR")</f>
        <v>7.149</v>
      </c>
      <c r="BR28" s="122"/>
    </row>
    <row r="29" spans="1:70" x14ac:dyDescent="0.25">
      <c r="A29" s="149"/>
      <c r="B29" s="137" t="s">
        <v>154</v>
      </c>
      <c r="C29" s="137">
        <v>27753362</v>
      </c>
      <c r="D29" s="137">
        <v>100.65879058837891</v>
      </c>
      <c r="E29" s="53"/>
      <c r="T29" s="6" t="str">
        <f t="shared" si="2"/>
        <v/>
      </c>
      <c r="U29" s="144" t="str" cm="1">
        <f t="array" ref="U29">_xll.BDP(B29 &amp; " id cusip","id cusip")</f>
        <v>31410KWK6</v>
      </c>
      <c r="V29" s="144" t="str" cm="1">
        <f t="array" ref="V29">_xll.BDP($B29 &amp; " id cusip",$V$14)</f>
        <v>FN 889950</v>
      </c>
      <c r="W29" s="144" t="str" cm="1">
        <f t="array" ref="W29">_xll.BDP($B29 &amp; " id cusip",W$14)</f>
        <v>MBS ARM</v>
      </c>
      <c r="X29" s="144" cm="1">
        <f t="array" ref="X29">_xll.BDP($B29 &amp; " id cusip",X$14)</f>
        <v>6.0759999999999996</v>
      </c>
      <c r="Y29" s="144" cm="1">
        <f t="array" ref="Y29">_xll.BDP($B29 &amp; " id cusip",Y$14)</f>
        <v>6.5</v>
      </c>
      <c r="Z29" s="144" cm="1">
        <f t="array" ref="Z29">_xll.BDP($B29 &amp; " id cusip",Z$14)</f>
        <v>174</v>
      </c>
      <c r="AA29" s="144" cm="1">
        <f t="array" ref="AA29">_xll.BDP($B29 &amp; " id cusip",AA$14)</f>
        <v>186</v>
      </c>
      <c r="AB29" s="144" t="str" cm="1">
        <f t="array" ref="AB29">_xll.BDP($B29 &amp; " id cusip",AB$14)</f>
        <v>10/1/2038</v>
      </c>
      <c r="AC29" s="144" cm="1">
        <f t="array" ref="AC29">_xll.BDP($B29 &amp; " id cusip",AC$14,"settle_dt=" &amp; $U$13)</f>
        <v>2</v>
      </c>
      <c r="AD29" s="144" cm="1">
        <f t="array" ref="AD29">_xll.BDP($B29 &amp; " id cusip",AD$14,"settle_dt=" &amp; $U$13)</f>
        <v>26.73</v>
      </c>
      <c r="AE29" s="144" cm="1">
        <f t="array" ref="AE29">_xll.BDP($B29 &amp; " id cusip",AE$14,"settle_dt=" &amp; $U$13)</f>
        <v>11.762373414500001</v>
      </c>
      <c r="AF29" s="144" cm="1">
        <f t="array" ref="AF29">_xll.BDP($B29 &amp; " id cusip",AF$14,"settle_dt=" &amp; $U$13)</f>
        <v>0.81084079117438312</v>
      </c>
      <c r="AG29" s="144" cm="1">
        <f t="array" ref="AG29">_xll.BDP($B29 &amp; " id cusip",AG$14,"settle_dt=" &amp; $U$13)</f>
        <v>1.0858308614625112</v>
      </c>
      <c r="AH29" s="144" cm="1">
        <f t="array" ref="AH29">_xll.BDP($B29 &amp; " id cusip",AH$14,"settle_dt=" &amp; $U$13)</f>
        <v>13.65555559674455</v>
      </c>
      <c r="AI29" s="144" cm="1">
        <f t="array" ref="AI29">_xll.BDP($B29 &amp; " id cusip",AI$14,"settle_dt=" &amp; $U$13)</f>
        <v>7.5833516388316706</v>
      </c>
      <c r="AJ29" s="144" cm="1">
        <f t="array" ref="AJ29">_xll.BDP($B29 &amp; " id cusip",AJ$14,"settle_dt=" &amp; $U$13)</f>
        <v>5.1320100000000002E-3</v>
      </c>
      <c r="AK29" s="144" t="str" cm="1">
        <f t="array" ref="AK29">_xll.BDP($B29 &amp; " id cusip",AK$14,"settle_dt=" &amp; $U$13)</f>
        <v>3/1/2024</v>
      </c>
      <c r="AL29" s="144" cm="1">
        <f t="array" ref="AL29">_xll.BDP($B29 &amp; " id cusip",AL$14,"settle_dt=" &amp; $U$13)</f>
        <v>5.15323E-3</v>
      </c>
      <c r="AM29" s="144" cm="1">
        <f t="array" ref="AM29">_xll.BDP($B29 &amp; " id cusip",AM$14,"settle_dt=" &amp; $U$13)</f>
        <v>359</v>
      </c>
      <c r="AN29" s="144" t="str" cm="1">
        <f t="array" ref="AN29">_xll.BDP($B29 &amp; " id cusip",AN$14,"settle_dt=" &amp; $U$13)</f>
        <v>LB</v>
      </c>
      <c r="AO29" s="144" cm="1">
        <f t="array" ref="AO29">_xll.BDP($B29 &amp; " id cusip",AO$14,"settle_dt=" &amp; $U$13)</f>
        <v>186</v>
      </c>
      <c r="AP29" s="144" cm="1">
        <f t="array" ref="AP29">_xll.BDP($B29 &amp; " id cusip",AP$14,"settle_dt=" &amp; $U$13)</f>
        <v>224528</v>
      </c>
      <c r="AQ29" s="144" cm="1">
        <f t="array" ref="AQ29">_xll.BDP($B29 &amp; " id cusip",AQ$14,"settle_dt=" &amp; $U$13)</f>
        <v>235000</v>
      </c>
      <c r="AR29" s="144" cm="1">
        <f t="array" ref="AR29">_xll.BDP($B29 &amp; " id cusip",AR$14,"settle_dt=" &amp; $U$13)</f>
        <v>70</v>
      </c>
      <c r="AS29" s="144" cm="1">
        <f t="array" ref="AS29">_xll.BDP($B29 &amp; " id cusip",AS$14,"settle_dt=" &amp; $U$13)</f>
        <v>743</v>
      </c>
      <c r="AT29" s="144" t="str" cm="1">
        <f t="array" ref="AT29">_xll.BDP($B29 &amp; " id cusip",AT$14,"settle_dt=" &amp; $U$13)</f>
        <v>FANNIE MAE MEGA</v>
      </c>
      <c r="AU29" s="144" t="str" cm="1">
        <f t="array" ref="AU29">_xll.BDP($B29 &amp; " id cusip",AU$14,"settle_dt=" &amp; $U$13)</f>
        <v>WA 91%</v>
      </c>
      <c r="AV29" s="144" t="str" cm="1">
        <f t="array" ref="AV29">_xll.BDP($B29 &amp; " id cusip",AV$14,"settle_dt=" &amp; $U$13)</f>
        <v>IN 9%</v>
      </c>
      <c r="AW29" s="144" t="str" cm="1">
        <f t="array" ref="AW29">_xll.BDP($B29 &amp; " id cusip",AW$14,"settle_dt=" &amp; $U$13)</f>
        <v>IN 4%</v>
      </c>
      <c r="AX29" s="144" cm="1">
        <f t="array" ref="AX29">_xll.BDP($B29 &amp; " id cusip",AX$14,"settle_dt=" &amp; $U$13)</f>
        <v>90.89</v>
      </c>
      <c r="AY29" s="144" cm="1">
        <f t="array" ref="AY29">_xll.BDP($B29 &amp; " id cusip",AY$14,"settle_dt=" &amp; $U$13)</f>
        <v>0</v>
      </c>
      <c r="AZ29" s="144" cm="1">
        <f t="array" ref="AZ29">_xll.BDP($B29 &amp; " id cusip",AZ$14,"settle_dt=" &amp; $U$13)</f>
        <v>0</v>
      </c>
      <c r="BA29" s="144" cm="1">
        <f t="array" ref="BA29">_xll.BDP($B29 &amp; " id cusip",BA$14,"settle_dt=" &amp; $U$13)</f>
        <v>0</v>
      </c>
      <c r="BB29" s="144" t="str" cm="1">
        <f t="array" ref="BB29">_xll.BDP($B29 &amp; " id cusip",BB$14,"settle_dt=" &amp; $U$13)</f>
        <v>WA 90.9</v>
      </c>
      <c r="BC29" s="144" t="str" cm="1">
        <f t="array" ref="BC29">_xll.BDP($B29 &amp; " id cusip",BC$14,"settle_dt=" &amp; $U$13)</f>
        <v>IN 9.1</v>
      </c>
      <c r="BD29" s="144" t="str" cm="1">
        <f t="array" ref="BD29">_xll.BDP($B29 &amp; " id cusip",BD$14,"settle_dt=" &amp; $U$13)</f>
        <v>IL 8.0</v>
      </c>
      <c r="BE29" s="144" cm="1">
        <f t="array" ref="BE29">_xll.BDP($B29 &amp; " id cusip",BE$14,"settle_dt=" &amp; $U$13)</f>
        <v>70</v>
      </c>
      <c r="BF29" s="144" t="str" cm="1">
        <f t="array" ref="BF29">_xll.BDP($B29 &amp; " id cusip",BF$14,"settle_dt=" &amp; $U$13)</f>
        <v>#N/A Field Not Applicable</v>
      </c>
      <c r="BG29" s="144" cm="1">
        <f t="array" ref="BG29">_xll.BDP($B29 &amp; " id cusip",BG$14,"settle_dt=" &amp; $U$13)</f>
        <v>235000</v>
      </c>
      <c r="BH29" s="144" cm="1">
        <f t="array" ref="BH29">_xll.BDP($B29 &amp; " id cusip",BH$14,"settle_dt=" &amp; $U$13)</f>
        <v>360</v>
      </c>
      <c r="BI29" s="144" t="str" cm="1">
        <f t="array" ref="BI29">_xll.BDP($B29 &amp; " id cusip",BI$14,"settle_dt=" &amp; $U$13)</f>
        <v>Mtge</v>
      </c>
      <c r="BJ29" s="144" cm="1">
        <f t="array" ref="BJ29">_xll.BDP($B29 &amp; " id cusip",BJ$14,"settle_dt=" &amp; $U$13)</f>
        <v>7.1319999999999997</v>
      </c>
      <c r="BK29" s="144" t="str" cm="1">
        <f t="array" ref="BK29">_xll.BDP($B29 &amp; " id cusip",BK$14,"settle_dt=" &amp; $U$13)</f>
        <v>FNARM</v>
      </c>
      <c r="BL29" s="122">
        <f>_xll.BDP($B29 &amp; " mtge","YLD_CNV_BID","SETTLE_DT=" &amp; $U$13,"PX_BID=" &amp; $D29, "MTG_PREPAY_SPEED=" &amp; AD29, "MTG_PREPAY_TYP=CPR")</f>
        <v>6.8609999999999998</v>
      </c>
      <c r="BM29" s="122">
        <f>_xll.BDP($B29 &amp; " mtge","YLD_CNV_BID","SETTLE_DT=" &amp; $U$13,"PX_BID=" &amp; $D29, "MTG_PREPAY_SPEED=" &amp; AE29, "MTG_PREPAY_TYP=CPR")</f>
        <v>7.1449999999999996</v>
      </c>
      <c r="BN29" s="122">
        <f>_xll.BDP($B29 &amp; " mtge","YLD_CNV_BID","SETTLE_DT=" &amp; $U$13,"PX_BID=" &amp; $D29, "MTG_PREPAY_SPEED=" &amp; AF29, "MTG_PREPAY_TYP=CPR")</f>
        <v>7.3090000000000002</v>
      </c>
      <c r="BO29" s="122">
        <f>_xll.BDP($B29 &amp; " mtge","YLD_CNV_BID","SETTLE_DT=" &amp; $U$13,"PX_BID=" &amp; $D29, "MTG_PREPAY_SPEED=" &amp; AG29, "MTG_PREPAY_TYP=CPR")</f>
        <v>7.3049999999999997</v>
      </c>
      <c r="BP29" s="122">
        <f>_xll.BDP($B29 &amp; " mtge","YLD_CNV_BID","SETTLE_DT=" &amp; $U$13,"PX_BID=" &amp; $D29, "MTG_PREPAY_SPEED=" &amp; AH29, "MTG_PREPAY_TYP=CPR")</f>
        <v>7.1130000000000004</v>
      </c>
      <c r="BQ29" s="122">
        <f>_xll.BDP($B29 &amp; " mtge","YLD_CNV_BID","SETTLE_DT=" &amp; $U$13,"PX_BID=" &amp; $D29, "MTG_PREPAY_SPEED=" &amp; AI29, "MTG_PREPAY_TYP=CPR")</f>
        <v>7.2119999999999997</v>
      </c>
      <c r="BR29" s="122"/>
    </row>
    <row r="30" spans="1:70" x14ac:dyDescent="0.25">
      <c r="A30" s="149"/>
      <c r="B30" s="137" t="s">
        <v>155</v>
      </c>
      <c r="C30" s="137">
        <v>2172275</v>
      </c>
      <c r="D30" s="137">
        <v>101.39543914794922</v>
      </c>
      <c r="E30" s="53"/>
      <c r="T30" s="6" t="str">
        <f t="shared" si="2"/>
        <v/>
      </c>
      <c r="U30" s="144" t="str" cm="1">
        <f t="array" ref="U30">_xll.BDP(B30 &amp; " id cusip","id cusip")</f>
        <v>3138ETCH7</v>
      </c>
      <c r="V30" s="144" t="str" cm="1">
        <f t="array" ref="V30">_xll.BDP($B30 &amp; " id cusip",$V$14)</f>
        <v>FN AL8171</v>
      </c>
      <c r="W30" s="144" t="str" cm="1">
        <f t="array" ref="W30">_xll.BDP($B30 &amp; " id cusip",W$14)</f>
        <v>MBS ARM</v>
      </c>
      <c r="X30" s="144" cm="1">
        <f t="array" ref="X30">_xll.BDP($B30 &amp; " id cusip",X$14)</f>
        <v>5.8979999999999997</v>
      </c>
      <c r="Y30" s="144" cm="1">
        <f t="array" ref="Y30">_xll.BDP($B30 &amp; " id cusip",Y$14)</f>
        <v>6.5309999999999997</v>
      </c>
      <c r="Z30" s="144" cm="1">
        <f t="array" ref="Z30">_xll.BDP($B30 &amp; " id cusip",Z$14)</f>
        <v>213</v>
      </c>
      <c r="AA30" s="144" cm="1">
        <f t="array" ref="AA30">_xll.BDP($B30 &amp; " id cusip",AA$14)</f>
        <v>147</v>
      </c>
      <c r="AB30" s="144" t="str" cm="1">
        <f t="array" ref="AB30">_xll.BDP($B30 &amp; " id cusip",AB$14)</f>
        <v>4/1/2044</v>
      </c>
      <c r="AC30" s="144" cm="1">
        <f t="array" ref="AC30">_xll.BDP($B30 &amp; " id cusip",AC$14,"settle_dt=" &amp; $U$13)</f>
        <v>243</v>
      </c>
      <c r="AD30" s="144" cm="1">
        <f t="array" ref="AD30">_xll.BDP($B30 &amp; " id cusip",AD$14,"settle_dt=" &amp; $U$13)</f>
        <v>26.87</v>
      </c>
      <c r="AE30" s="144" cm="1">
        <f t="array" ref="AE30">_xll.BDP($B30 &amp; " id cusip",AE$14,"settle_dt=" &amp; $U$13)</f>
        <v>19.162170316699999</v>
      </c>
      <c r="AF30" s="144" cm="1">
        <f t="array" ref="AF30">_xll.BDP($B30 &amp; " id cusip",AF$14,"settle_dt=" &amp; $U$13)</f>
        <v>5.5095754119349749</v>
      </c>
      <c r="AG30" s="144" cm="1">
        <f t="array" ref="AG30">_xll.BDP($B30 &amp; " id cusip",AG$14,"settle_dt=" &amp; $U$13)</f>
        <v>3.7736931240436422</v>
      </c>
      <c r="AH30" s="144" cm="1">
        <f t="array" ref="AH30">_xll.BDP($B30 &amp; " id cusip",AH$14,"settle_dt=" &amp; $U$13)</f>
        <v>3.9218328006496717</v>
      </c>
      <c r="AI30" s="144" cm="1">
        <f t="array" ref="AI30">_xll.BDP($B30 &amp; " id cusip",AI$14,"settle_dt=" &amp; $U$13)</f>
        <v>11.728384972269923</v>
      </c>
      <c r="AJ30" s="144" cm="1">
        <f t="array" ref="AJ30">_xll.BDP($B30 &amp; " id cusip",AJ$14,"settle_dt=" &amp; $U$13)</f>
        <v>6.2615649999999995E-2</v>
      </c>
      <c r="AK30" s="144" t="str" cm="1">
        <f t="array" ref="AK30">_xll.BDP($B30 &amp; " id cusip",AK$14,"settle_dt=" &amp; $U$13)</f>
        <v>3/1/2024</v>
      </c>
      <c r="AL30" s="144" cm="1">
        <f t="array" ref="AL30">_xll.BDP($B30 &amp; " id cusip",AL$14,"settle_dt=" &amp; $U$13)</f>
        <v>6.3071219999999997E-2</v>
      </c>
      <c r="AM30" s="144" cm="1">
        <f t="array" ref="AM30">_xll.BDP($B30 &amp; " id cusip",AM$14,"settle_dt=" &amp; $U$13)</f>
        <v>311</v>
      </c>
      <c r="AN30" s="144" t="str" cm="1">
        <f t="array" ref="AN30">_xll.BDP($B30 &amp; " id cusip",AN$14,"settle_dt=" &amp; $U$13)</f>
        <v>LB</v>
      </c>
      <c r="AO30" s="144" cm="1">
        <f t="array" ref="AO30">_xll.BDP($B30 &amp; " id cusip",AO$14,"settle_dt=" &amp; $U$13)</f>
        <v>147</v>
      </c>
      <c r="AP30" s="144" cm="1">
        <f t="array" ref="AP30">_xll.BDP($B30 &amp; " id cusip",AP$14,"settle_dt=" &amp; $U$13)</f>
        <v>325051</v>
      </c>
      <c r="AQ30" s="144" cm="1">
        <f t="array" ref="AQ30">_xll.BDP($B30 &amp; " id cusip",AQ$14,"settle_dt=" &amp; $U$13)</f>
        <v>624000</v>
      </c>
      <c r="AR30" s="144" cm="1">
        <f t="array" ref="AR30">_xll.BDP($B30 &amp; " id cusip",AR$14,"settle_dt=" &amp; $U$13)</f>
        <v>73</v>
      </c>
      <c r="AS30" s="144" cm="1">
        <f t="array" ref="AS30">_xll.BDP($B30 &amp; " id cusip",AS$14,"settle_dt=" &amp; $U$13)</f>
        <v>761</v>
      </c>
      <c r="AT30" s="144" t="str" cm="1">
        <f t="array" ref="AT30">_xll.BDP($B30 &amp; " id cusip",AT$14,"settle_dt=" &amp; $U$13)</f>
        <v>FANNIE MAE MEGA</v>
      </c>
      <c r="AU30" s="144" t="str" cm="1">
        <f t="array" ref="AU30">_xll.BDP($B30 &amp; " id cusip",AU$14,"settle_dt=" &amp; $U$13)</f>
        <v>MA 40%</v>
      </c>
      <c r="AV30" s="144" t="str" cm="1">
        <f t="array" ref="AV30">_xll.BDP($B30 &amp; " id cusip",AV$14,"settle_dt=" &amp; $U$13)</f>
        <v>NH 19%</v>
      </c>
      <c r="AW30" s="144" t="str" cm="1">
        <f t="array" ref="AW30">_xll.BDP($B30 &amp; " id cusip",AW$14,"settle_dt=" &amp; $U$13)</f>
        <v>CA 11%</v>
      </c>
      <c r="AX30" s="144" cm="1">
        <f t="array" ref="AX30">_xll.BDP($B30 &amp; " id cusip",AX$14,"settle_dt=" &amp; $U$13)</f>
        <v>17.37</v>
      </c>
      <c r="AY30" s="144" cm="1">
        <f t="array" ref="AY30">_xll.BDP($B30 &amp; " id cusip",AY$14,"settle_dt=" &amp; $U$13)</f>
        <v>1.57</v>
      </c>
      <c r="AZ30" s="144" cm="1">
        <f t="array" ref="AZ30">_xll.BDP($B30 &amp; " id cusip",AZ$14,"settle_dt=" &amp; $U$13)</f>
        <v>0</v>
      </c>
      <c r="BA30" s="144" cm="1">
        <f t="array" ref="BA30">_xll.BDP($B30 &amp; " id cusip",BA$14,"settle_dt=" &amp; $U$13)</f>
        <v>0</v>
      </c>
      <c r="BB30" s="144" t="str" cm="1">
        <f t="array" ref="BB30">_xll.BDP($B30 &amp; " id cusip",BB$14,"settle_dt=" &amp; $U$13)</f>
        <v>MA 40.3</v>
      </c>
      <c r="BC30" s="144" t="str" cm="1">
        <f t="array" ref="BC30">_xll.BDP($B30 &amp; " id cusip",BC$14,"settle_dt=" &amp; $U$13)</f>
        <v>NH 19.1</v>
      </c>
      <c r="BD30" s="144" t="str" cm="1">
        <f t="array" ref="BD30">_xll.BDP($B30 &amp; " id cusip",BD$14,"settle_dt=" &amp; $U$13)</f>
        <v>CA 11.0</v>
      </c>
      <c r="BE30" s="144" cm="1">
        <f t="array" ref="BE30">_xll.BDP($B30 &amp; " id cusip",BE$14,"settle_dt=" &amp; $U$13)</f>
        <v>73</v>
      </c>
      <c r="BF30" s="144" t="str" cm="1">
        <f t="array" ref="BF30">_xll.BDP($B30 &amp; " id cusip",BF$14,"settle_dt=" &amp; $U$13)</f>
        <v>#N/A Field Not Applicable</v>
      </c>
      <c r="BG30" s="144" cm="1">
        <f t="array" ref="BG30">_xll.BDP($B30 &amp; " id cusip",BG$14,"settle_dt=" &amp; $U$13)</f>
        <v>624000</v>
      </c>
      <c r="BH30" s="144" cm="1">
        <f t="array" ref="BH30">_xll.BDP($B30 &amp; " id cusip",BH$14,"settle_dt=" &amp; $U$13)</f>
        <v>360</v>
      </c>
      <c r="BI30" s="144" t="str" cm="1">
        <f t="array" ref="BI30">_xll.BDP($B30 &amp; " id cusip",BI$14,"settle_dt=" &amp; $U$13)</f>
        <v>Mtge</v>
      </c>
      <c r="BJ30" s="144" cm="1">
        <f t="array" ref="BJ30">_xll.BDP($B30 &amp; " id cusip",BJ$14,"settle_dt=" &amp; $U$13)</f>
        <v>7.069</v>
      </c>
      <c r="BK30" s="144" t="str" cm="1">
        <f t="array" ref="BK30">_xll.BDP($B30 &amp; " id cusip",BK$14,"settle_dt=" &amp; $U$13)</f>
        <v>FNARM</v>
      </c>
      <c r="BL30" s="122">
        <f>_xll.BDP($B30 &amp; " mtge","YLD_CNV_BID","SETTLE_DT=" &amp; $U$13,"PX_BID=" &amp; $D30, "MTG_PREPAY_SPEED=" &amp; AD30, "MTG_PREPAY_TYP=CPR")</f>
        <v>6.431</v>
      </c>
      <c r="BM30" s="122">
        <f>_xll.BDP($B30 &amp; " mtge","YLD_CNV_BID","SETTLE_DT=" &amp; $U$13,"PX_BID=" &amp; $D30, "MTG_PREPAY_SPEED=" &amp; AE30, "MTG_PREPAY_TYP=CPR")</f>
        <v>6.6660000000000004</v>
      </c>
      <c r="BN30" s="122">
        <f>_xll.BDP($B30 &amp; " mtge","YLD_CNV_BID","SETTLE_DT=" &amp; $U$13,"PX_BID=" &amp; $D30, "MTG_PREPAY_SPEED=" &amp; AF30, "MTG_PREPAY_TYP=CPR")</f>
        <v>7.0209999999999999</v>
      </c>
      <c r="BO30" s="122">
        <f>_xll.BDP($B30 &amp; " mtge","YLD_CNV_BID","SETTLE_DT=" &amp; $U$13,"PX_BID=" &amp; $D30, "MTG_PREPAY_SPEED=" &amp; AG30, "MTG_PREPAY_TYP=CPR")</f>
        <v>7.0590000000000002</v>
      </c>
      <c r="BP30" s="122">
        <f>_xll.BDP($B30 &amp; " mtge","YLD_CNV_BID","SETTLE_DT=" &amp; $U$13,"PX_BID=" &amp; $D30, "MTG_PREPAY_SPEED=" &amp; AH30, "MTG_PREPAY_TYP=CPR")</f>
        <v>7.056</v>
      </c>
      <c r="BQ30" s="122">
        <f>_xll.BDP($B30 &amp; " mtge","YLD_CNV_BID","SETTLE_DT=" &amp; $U$13,"PX_BID=" &amp; $D30, "MTG_PREPAY_SPEED=" &amp; AI30, "MTG_PREPAY_TYP=CPR")</f>
        <v>6.8689999999999998</v>
      </c>
      <c r="BR30" s="122"/>
    </row>
    <row r="31" spans="1:70" x14ac:dyDescent="0.25">
      <c r="A31" s="149"/>
      <c r="B31" s="137" t="s">
        <v>156</v>
      </c>
      <c r="C31" s="137">
        <v>25002074</v>
      </c>
      <c r="D31" s="137">
        <v>100.43116760253906</v>
      </c>
      <c r="E31" s="53"/>
      <c r="T31" s="6" t="str">
        <f t="shared" si="2"/>
        <v/>
      </c>
      <c r="U31" s="144" t="str" cm="1">
        <f t="array" ref="U31">_xll.BDP(B31 &amp; " id cusip","id cusip")</f>
        <v>31414MZE9</v>
      </c>
      <c r="V31" s="144" t="str" cm="1">
        <f t="array" ref="V31">_xll.BDP($B31 &amp; " id cusip",$V$14)</f>
        <v>FN 970641</v>
      </c>
      <c r="W31" s="144" t="str" cm="1">
        <f t="array" ref="W31">_xll.BDP($B31 &amp; " id cusip",W$14)</f>
        <v>MBS ARM</v>
      </c>
      <c r="X31" s="144" cm="1">
        <f t="array" ref="X31">_xll.BDP($B31 &amp; " id cusip",X$14)</f>
        <v>6.0759999999999996</v>
      </c>
      <c r="Y31" s="144" cm="1">
        <f t="array" ref="Y31">_xll.BDP($B31 &amp; " id cusip",Y$14)</f>
        <v>6.5</v>
      </c>
      <c r="Z31" s="144" cm="1">
        <f t="array" ref="Z31">_xll.BDP($B31 &amp; " id cusip",Z$14)</f>
        <v>175</v>
      </c>
      <c r="AA31" s="144" cm="1">
        <f t="array" ref="AA31">_xll.BDP($B31 &amp; " id cusip",AA$14)</f>
        <v>185</v>
      </c>
      <c r="AB31" s="144" t="str" cm="1">
        <f t="array" ref="AB31">_xll.BDP($B31 &amp; " id cusip",AB$14)</f>
        <v>10/1/2038</v>
      </c>
      <c r="AC31" s="144" cm="1">
        <f t="array" ref="AC31">_xll.BDP($B31 &amp; " id cusip",AC$14,"settle_dt=" &amp; $U$13)</f>
        <v>1</v>
      </c>
      <c r="AD31" s="144" cm="1">
        <f t="array" ref="AD31">_xll.BDP($B31 &amp; " id cusip",AD$14,"settle_dt=" &amp; $U$13)</f>
        <v>26.67</v>
      </c>
      <c r="AE31" s="144" cm="1">
        <f t="array" ref="AE31">_xll.BDP($B31 &amp; " id cusip",AE$14,"settle_dt=" &amp; $U$13)</f>
        <v>12.957252673100001</v>
      </c>
      <c r="AF31" s="144" cm="1">
        <f t="array" ref="AF31">_xll.BDP($B31 &amp; " id cusip",AF$14,"settle_dt=" &amp; $U$13)</f>
        <v>0.25393701472555819</v>
      </c>
      <c r="AG31" s="144" cm="1">
        <f t="array" ref="AG31">_xll.BDP($B31 &amp; " id cusip",AG$14,"settle_dt=" &amp; $U$13)</f>
        <v>0.24961686694698892</v>
      </c>
      <c r="AH31" s="144" cm="1">
        <f t="array" ref="AH31">_xll.BDP($B31 &amp; " id cusip",AH$14,"settle_dt=" &amp; $U$13)</f>
        <v>0.3533907719400986</v>
      </c>
      <c r="AI31" s="144" cm="1">
        <f t="array" ref="AI31">_xll.BDP($B31 &amp; " id cusip",AI$14,"settle_dt=" &amp; $U$13)</f>
        <v>0.59195308073455299</v>
      </c>
      <c r="AJ31" s="144" cm="1">
        <f t="array" ref="AJ31">_xll.BDP($B31 &amp; " id cusip",AJ$14,"settle_dt=" &amp; $U$13)</f>
        <v>5.3465300000000004E-3</v>
      </c>
      <c r="AK31" s="144" t="str" cm="1">
        <f t="array" ref="AK31">_xll.BDP($B31 &amp; " id cusip",AK$14,"settle_dt=" &amp; $U$13)</f>
        <v>3/1/2024</v>
      </c>
      <c r="AL31" s="144" cm="1">
        <f t="array" ref="AL31">_xll.BDP($B31 &amp; " id cusip",AL$14,"settle_dt=" &amp; $U$13)</f>
        <v>5.3659700000000003E-3</v>
      </c>
      <c r="AM31" s="144" cm="1">
        <f t="array" ref="AM31">_xll.BDP($B31 &amp; " id cusip",AM$14,"settle_dt=" &amp; $U$13)</f>
        <v>360</v>
      </c>
      <c r="AN31" s="144" t="str" cm="1">
        <f t="array" ref="AN31">_xll.BDP($B31 &amp; " id cusip",AN$14,"settle_dt=" &amp; $U$13)</f>
        <v>LB</v>
      </c>
      <c r="AO31" s="144" cm="1">
        <f t="array" ref="AO31">_xll.BDP($B31 &amp; " id cusip",AO$14,"settle_dt=" &amp; $U$13)</f>
        <v>185</v>
      </c>
      <c r="AP31" s="144" cm="1">
        <f t="array" ref="AP31">_xll.BDP($B31 &amp; " id cusip",AP$14,"settle_dt=" &amp; $U$13)</f>
        <v>241000</v>
      </c>
      <c r="AQ31" s="144" cm="1">
        <f t="array" ref="AQ31">_xll.BDP($B31 &amp; " id cusip",AQ$14,"settle_dt=" &amp; $U$13)</f>
        <v>241000</v>
      </c>
      <c r="AR31" s="144" cm="1">
        <f t="array" ref="AR31">_xll.BDP($B31 &amp; " id cusip",AR$14,"settle_dt=" &amp; $U$13)</f>
        <v>85</v>
      </c>
      <c r="AS31" s="144" cm="1">
        <f t="array" ref="AS31">_xll.BDP($B31 &amp; " id cusip",AS$14,"settle_dt=" &amp; $U$13)</f>
        <v>791</v>
      </c>
      <c r="AT31" s="144" t="str" cm="1">
        <f t="array" ref="AT31">_xll.BDP($B31 &amp; " id cusip",AT$14,"settle_dt=" &amp; $U$13)</f>
        <v>COUNTRYWIDE BANK, FSB</v>
      </c>
      <c r="AU31" s="144" t="str" cm="1">
        <f t="array" ref="AU31">_xll.BDP($B31 &amp; " id cusip",AU$14,"settle_dt=" &amp; $U$13)</f>
        <v>CO 100%</v>
      </c>
      <c r="AV31" s="144" t="str" cm="1">
        <f t="array" ref="AV31">_xll.BDP($B31 &amp; " id cusip",AV$14,"settle_dt=" &amp; $U$13)</f>
        <v>ID 27%</v>
      </c>
      <c r="AW31" s="144" t="str" cm="1">
        <f t="array" ref="AW31">_xll.BDP($B31 &amp; " id cusip",AW$14,"settle_dt=" &amp; $U$13)</f>
        <v>ID 16%</v>
      </c>
      <c r="AX31" s="144" cm="1">
        <f t="array" ref="AX31">_xll.BDP($B31 &amp; " id cusip",AX$14,"settle_dt=" &amp; $U$13)</f>
        <v>0</v>
      </c>
      <c r="AY31" s="144" cm="1">
        <f t="array" ref="AY31">_xll.BDP($B31 &amp; " id cusip",AY$14,"settle_dt=" &amp; $U$13)</f>
        <v>0</v>
      </c>
      <c r="AZ31" s="144" cm="1">
        <f t="array" ref="AZ31">_xll.BDP($B31 &amp; " id cusip",AZ$14,"settle_dt=" &amp; $U$13)</f>
        <v>0</v>
      </c>
      <c r="BA31" s="144" cm="1">
        <f t="array" ref="BA31">_xll.BDP($B31 &amp; " id cusip",BA$14,"settle_dt=" &amp; $U$13)</f>
        <v>0</v>
      </c>
      <c r="BB31" s="144" t="str" cm="1">
        <f t="array" ref="BB31">_xll.BDP($B31 &amp; " id cusip",BB$14,"settle_dt=" &amp; $U$13)</f>
        <v>CO 100.0</v>
      </c>
      <c r="BC31" s="144" t="str" cm="1">
        <f t="array" ref="BC31">_xll.BDP($B31 &amp; " id cusip",BC$14,"settle_dt=" &amp; $U$13)</f>
        <v>WA 9.4</v>
      </c>
      <c r="BD31" s="144" t="str" cm="1">
        <f t="array" ref="BD31">_xll.BDP($B31 &amp; " id cusip",BD$14,"settle_dt=" &amp; $U$13)</f>
        <v>IL 6.4</v>
      </c>
      <c r="BE31" s="144" cm="1">
        <f t="array" ref="BE31">_xll.BDP($B31 &amp; " id cusip",BE$14,"settle_dt=" &amp; $U$13)</f>
        <v>85</v>
      </c>
      <c r="BF31" s="144" t="str" cm="1">
        <f t="array" ref="BF31">_xll.BDP($B31 &amp; " id cusip",BF$14,"settle_dt=" &amp; $U$13)</f>
        <v>#N/A Field Not Applicable</v>
      </c>
      <c r="BG31" s="144" cm="1">
        <f t="array" ref="BG31">_xll.BDP($B31 &amp; " id cusip",BG$14,"settle_dt=" &amp; $U$13)</f>
        <v>241000</v>
      </c>
      <c r="BH31" s="144" cm="1">
        <f t="array" ref="BH31">_xll.BDP($B31 &amp; " id cusip",BH$14,"settle_dt=" &amp; $U$13)</f>
        <v>360</v>
      </c>
      <c r="BI31" s="144" t="str" cm="1">
        <f t="array" ref="BI31">_xll.BDP($B31 &amp; " id cusip",BI$14,"settle_dt=" &amp; $U$13)</f>
        <v>Mtge</v>
      </c>
      <c r="BJ31" s="144" cm="1">
        <f t="array" ref="BJ31">_xll.BDP($B31 &amp; " id cusip",BJ$14,"settle_dt=" &amp; $U$13)</f>
        <v>7.3449999999999998</v>
      </c>
      <c r="BK31" s="144" t="str" cm="1">
        <f t="array" ref="BK31">_xll.BDP($B31 &amp; " id cusip",BK$14,"settle_dt=" &amp; $U$13)</f>
        <v>FNARM</v>
      </c>
      <c r="BL31" s="122">
        <f>_xll.BDP($B31 &amp; " mtge","YLD_CNV_BID","SETTLE_DT=" &amp; $U$13,"PX_BID=" &amp; $D31, "MTG_PREPAY_SPEED=" &amp; AD31, "MTG_PREPAY_TYP=CPR")</f>
        <v>6.9160000000000004</v>
      </c>
      <c r="BM31" s="122">
        <f>_xll.BDP($B31 &amp; " mtge","YLD_CNV_BID","SETTLE_DT=" &amp; $U$13,"PX_BID=" &amp; $D31, "MTG_PREPAY_SPEED=" &amp; AE31, "MTG_PREPAY_TYP=CPR")</f>
        <v>7.157</v>
      </c>
      <c r="BN31" s="122">
        <f>_xll.BDP($B31 &amp; " mtge","YLD_CNV_BID","SETTLE_DT=" &amp; $U$13,"PX_BID=" &amp; $D31, "MTG_PREPAY_SPEED=" &amp; AF31, "MTG_PREPAY_TYP=CPR")</f>
        <v>7.335</v>
      </c>
      <c r="BO31" s="122">
        <f>_xll.BDP($B31 &amp; " mtge","YLD_CNV_BID","SETTLE_DT=" &amp; $U$13,"PX_BID=" &amp; $D31, "MTG_PREPAY_SPEED=" &amp; AG31, "MTG_PREPAY_TYP=CPR")</f>
        <v>7.335</v>
      </c>
      <c r="BP31" s="122">
        <f>_xll.BDP($B31 &amp; " mtge","YLD_CNV_BID","SETTLE_DT=" &amp; $U$13,"PX_BID=" &amp; $D31, "MTG_PREPAY_SPEED=" &amp; AH31, "MTG_PREPAY_TYP=CPR")</f>
        <v>7.3339999999999996</v>
      </c>
      <c r="BQ31" s="122">
        <f>_xll.BDP($B31 &amp; " mtge","YLD_CNV_BID","SETTLE_DT=" &amp; $U$13,"PX_BID=" &amp; $D31, "MTG_PREPAY_SPEED=" &amp; AI31, "MTG_PREPAY_TYP=CPR")</f>
        <v>7.3310000000000004</v>
      </c>
      <c r="BR31" s="122"/>
    </row>
    <row r="32" spans="1:70" x14ac:dyDescent="0.25">
      <c r="A32" s="149"/>
      <c r="B32" s="137" t="s">
        <v>157</v>
      </c>
      <c r="C32" s="137">
        <v>21273936</v>
      </c>
      <c r="D32" s="137">
        <v>100.35628509521484</v>
      </c>
      <c r="E32" s="53"/>
      <c r="T32" s="6" t="str">
        <f t="shared" si="2"/>
        <v/>
      </c>
      <c r="U32" s="144" t="str" cm="1">
        <f t="array" ref="U32">_xll.BDP(B32 &amp; " id cusip","id cusip")</f>
        <v>31415WC76</v>
      </c>
      <c r="V32" s="144" t="str" cm="1">
        <f t="array" ref="V32">_xll.BDP($B32 &amp; " id cusip",$V$14)</f>
        <v>FN 991194</v>
      </c>
      <c r="W32" s="144" t="str" cm="1">
        <f t="array" ref="W32">_xll.BDP($B32 &amp; " id cusip",W$14)</f>
        <v>MBS ARM</v>
      </c>
      <c r="X32" s="144" cm="1">
        <f t="array" ref="X32">_xll.BDP($B32 &amp; " id cusip",X$14)</f>
        <v>5.9450000000000003</v>
      </c>
      <c r="Y32" s="144" cm="1">
        <f t="array" ref="Y32">_xll.BDP($B32 &amp; " id cusip",Y$14)</f>
        <v>6.5</v>
      </c>
      <c r="Z32" s="144" cm="1">
        <f t="array" ref="Z32">_xll.BDP($B32 &amp; " id cusip",Z$14)</f>
        <v>174</v>
      </c>
      <c r="AA32" s="144" cm="1">
        <f t="array" ref="AA32">_xll.BDP($B32 &amp; " id cusip",AA$14)</f>
        <v>186</v>
      </c>
      <c r="AB32" s="144" t="str" cm="1">
        <f t="array" ref="AB32">_xll.BDP($B32 &amp; " id cusip",AB$14)</f>
        <v>9/1/2038</v>
      </c>
      <c r="AC32" s="144" cm="1">
        <f t="array" ref="AC32">_xll.BDP($B32 &amp; " id cusip",AC$14,"settle_dt=" &amp; $U$13)</f>
        <v>1</v>
      </c>
      <c r="AD32" s="144" cm="1">
        <f t="array" ref="AD32">_xll.BDP($B32 &amp; " id cusip",AD$14,"settle_dt=" &amp; $U$13)</f>
        <v>26.61</v>
      </c>
      <c r="AE32" s="144" cm="1">
        <f t="array" ref="AE32">_xll.BDP($B32 &amp; " id cusip",AE$14,"settle_dt=" &amp; $U$13)</f>
        <v>15.010369826</v>
      </c>
      <c r="AF32" s="144" cm="1">
        <f t="array" ref="AF32">_xll.BDP($B32 &amp; " id cusip",AF$14,"settle_dt=" &amp; $U$13)</f>
        <v>3.368848347066189E-2</v>
      </c>
      <c r="AG32" s="144" cm="1">
        <f t="array" ref="AG32">_xll.BDP($B32 &amp; " id cusip",AG$14,"settle_dt=" &amp; $U$13)</f>
        <v>5.0249872071062018E-2</v>
      </c>
      <c r="AH32" s="144" cm="1">
        <f t="array" ref="AH32">_xll.BDP($B32 &amp; " id cusip",AH$14,"settle_dt=" &amp; $U$13)</f>
        <v>1.5905042544273162</v>
      </c>
      <c r="AI32" s="144" cm="1">
        <f t="array" ref="AI32">_xll.BDP($B32 &amp; " id cusip",AI$14,"settle_dt=" &amp; $U$13)</f>
        <v>0.79856205143341574</v>
      </c>
      <c r="AJ32" s="144" cm="1">
        <f t="array" ref="AJ32">_xll.BDP($B32 &amp; " id cusip",AJ$14,"settle_dt=" &amp; $U$13)</f>
        <v>5.2671200000000001E-3</v>
      </c>
      <c r="AK32" s="144" t="str" cm="1">
        <f t="array" ref="AK32">_xll.BDP($B32 &amp; " id cusip",AK$14,"settle_dt=" &amp; $U$13)</f>
        <v>3/1/2024</v>
      </c>
      <c r="AL32" s="144" cm="1">
        <f t="array" ref="AL32">_xll.BDP($B32 &amp; " id cusip",AL$14,"settle_dt=" &amp; $U$13)</f>
        <v>5.2854599999999996E-3</v>
      </c>
      <c r="AM32" s="144" cm="1">
        <f t="array" ref="AM32">_xll.BDP($B32 &amp; " id cusip",AM$14,"settle_dt=" &amp; $U$13)</f>
        <v>360</v>
      </c>
      <c r="AN32" s="144" t="str" cm="1">
        <f t="array" ref="AN32">_xll.BDP($B32 &amp; " id cusip",AN$14,"settle_dt=" &amp; $U$13)</f>
        <v>LB</v>
      </c>
      <c r="AO32" s="144" cm="1">
        <f t="array" ref="AO32">_xll.BDP($B32 &amp; " id cusip",AO$14,"settle_dt=" &amp; $U$13)</f>
        <v>186</v>
      </c>
      <c r="AP32" s="144" cm="1">
        <f t="array" ref="AP32">_xll.BDP($B32 &amp; " id cusip",AP$14,"settle_dt=" &amp; $U$13)</f>
        <v>417000</v>
      </c>
      <c r="AQ32" s="144" cm="1">
        <f t="array" ref="AQ32">_xll.BDP($B32 &amp; " id cusip",AQ$14,"settle_dt=" &amp; $U$13)</f>
        <v>417000</v>
      </c>
      <c r="AR32" s="144" cm="1">
        <f t="array" ref="AR32">_xll.BDP($B32 &amp; " id cusip",AR$14,"settle_dt=" &amp; $U$13)</f>
        <v>69</v>
      </c>
      <c r="AS32" s="144" cm="1">
        <f t="array" ref="AS32">_xll.BDP($B32 &amp; " id cusip",AS$14,"settle_dt=" &amp; $U$13)</f>
        <v>741</v>
      </c>
      <c r="AT32" s="144" t="str" cm="1">
        <f t="array" ref="AT32">_xll.BDP($B32 &amp; " id cusip",AT$14,"settle_dt=" &amp; $U$13)</f>
        <v>WELLS FARGO BANK, N.A.</v>
      </c>
      <c r="AU32" s="144" t="str" cm="1">
        <f t="array" ref="AU32">_xll.BDP($B32 &amp; " id cusip",AU$14,"settle_dt=" &amp; $U$13)</f>
        <v>NY 100%</v>
      </c>
      <c r="AV32" s="144" t="str" cm="1">
        <f t="array" ref="AV32">_xll.BDP($B32 &amp; " id cusip",AV$14,"settle_dt=" &amp; $U$13)</f>
        <v>NJ 35%</v>
      </c>
      <c r="AW32" s="144" t="str" cm="1">
        <f t="array" ref="AW32">_xll.BDP($B32 &amp; " id cusip",AW$14,"settle_dt=" &amp; $U$13)</f>
        <v>NJ 22%</v>
      </c>
      <c r="AX32" s="144" cm="1">
        <f t="array" ref="AX32">_xll.BDP($B32 &amp; " id cusip",AX$14,"settle_dt=" &amp; $U$13)</f>
        <v>0</v>
      </c>
      <c r="AY32" s="144" cm="1">
        <f t="array" ref="AY32">_xll.BDP($B32 &amp; " id cusip",AY$14,"settle_dt=" &amp; $U$13)</f>
        <v>0</v>
      </c>
      <c r="AZ32" s="144" cm="1">
        <f t="array" ref="AZ32">_xll.BDP($B32 &amp; " id cusip",AZ$14,"settle_dt=" &amp; $U$13)</f>
        <v>0</v>
      </c>
      <c r="BA32" s="144" cm="1">
        <f t="array" ref="BA32">_xll.BDP($B32 &amp; " id cusip",BA$14,"settle_dt=" &amp; $U$13)</f>
        <v>0</v>
      </c>
      <c r="BB32" s="144" t="str" cm="1">
        <f t="array" ref="BB32">_xll.BDP($B32 &amp; " id cusip",BB$14,"settle_dt=" &amp; $U$13)</f>
        <v>NY 100.0</v>
      </c>
      <c r="BC32" s="144" t="str" cm="1">
        <f t="array" ref="BC32">_xll.BDP($B32 &amp; " id cusip",BC$14,"settle_dt=" &amp; $U$13)</f>
        <v>TX 7.6</v>
      </c>
      <c r="BD32" s="144" t="str" cm="1">
        <f t="array" ref="BD32">_xll.BDP($B32 &amp; " id cusip",BD$14,"settle_dt=" &amp; $U$13)</f>
        <v>IL 7.6</v>
      </c>
      <c r="BE32" s="144" cm="1">
        <f t="array" ref="BE32">_xll.BDP($B32 &amp; " id cusip",BE$14,"settle_dt=" &amp; $U$13)</f>
        <v>69</v>
      </c>
      <c r="BF32" s="144" t="str" cm="1">
        <f t="array" ref="BF32">_xll.BDP($B32 &amp; " id cusip",BF$14,"settle_dt=" &amp; $U$13)</f>
        <v>#N/A Field Not Applicable</v>
      </c>
      <c r="BG32" s="144" cm="1">
        <f t="array" ref="BG32">_xll.BDP($B32 &amp; " id cusip",BG$14,"settle_dt=" &amp; $U$13)</f>
        <v>417000</v>
      </c>
      <c r="BH32" s="144" cm="1">
        <f t="array" ref="BH32">_xll.BDP($B32 &amp; " id cusip",BH$14,"settle_dt=" &amp; $U$13)</f>
        <v>360</v>
      </c>
      <c r="BI32" s="144" t="str" cm="1">
        <f t="array" ref="BI32">_xll.BDP($B32 &amp; " id cusip",BI$14,"settle_dt=" &amp; $U$13)</f>
        <v>Mtge</v>
      </c>
      <c r="BJ32" s="144" cm="1">
        <f t="array" ref="BJ32">_xll.BDP($B32 &amp; " id cusip",BJ$14,"settle_dt=" &amp; $U$13)</f>
        <v>7.2309999999999999</v>
      </c>
      <c r="BK32" s="144" t="str" cm="1">
        <f t="array" ref="BK32">_xll.BDP($B32 &amp; " id cusip",BK$14,"settle_dt=" &amp; $U$13)</f>
        <v>FNARM</v>
      </c>
      <c r="BL32" s="122">
        <f>_xll.BDP($B32 &amp; " mtge","YLD_CNV_BID","SETTLE_DT=" &amp; $U$13,"PX_BID=" &amp; $D32, "MTG_PREPAY_SPEED=" &amp; AD32, "MTG_PREPAY_TYP=CPR")</f>
        <v>6.859</v>
      </c>
      <c r="BM32" s="122">
        <f>_xll.BDP($B32 &amp; " mtge","YLD_CNV_BID","SETTLE_DT=" &amp; $U$13,"PX_BID=" &amp; $D32, "MTG_PREPAY_SPEED=" &amp; AE32, "MTG_PREPAY_TYP=CPR")</f>
        <v>7.0449999999999999</v>
      </c>
      <c r="BN32" s="122">
        <f>_xll.BDP($B32 &amp; " mtge","YLD_CNV_BID","SETTLE_DT=" &amp; $U$13,"PX_BID=" &amp; $D32, "MTG_PREPAY_SPEED=" &amp; AF32, "MTG_PREPAY_TYP=CPR")</f>
        <v>7.2359999999999998</v>
      </c>
      <c r="BO32" s="122">
        <f>_xll.BDP($B32 &amp; " mtge","YLD_CNV_BID","SETTLE_DT=" &amp; $U$13,"PX_BID=" &amp; $D32, "MTG_PREPAY_SPEED=" &amp; AG32, "MTG_PREPAY_TYP=CPR")</f>
        <v>7.2359999999999998</v>
      </c>
      <c r="BP32" s="122">
        <f>_xll.BDP($B32 &amp; " mtge","YLD_CNV_BID","SETTLE_DT=" &amp; $U$13,"PX_BID=" &amp; $D32, "MTG_PREPAY_SPEED=" &amp; AH32, "MTG_PREPAY_TYP=CPR")</f>
        <v>7.2190000000000003</v>
      </c>
      <c r="BQ32" s="122">
        <f>_xll.BDP($B32 &amp; " mtge","YLD_CNV_BID","SETTLE_DT=" &amp; $U$13,"PX_BID=" &amp; $D32, "MTG_PREPAY_SPEED=" &amp; AI32, "MTG_PREPAY_TYP=CPR")</f>
        <v>7.2270000000000003</v>
      </c>
      <c r="BR32" s="122"/>
    </row>
    <row r="33" spans="1:70" x14ac:dyDescent="0.25">
      <c r="A33" s="149"/>
      <c r="B33" s="137" t="s">
        <v>158</v>
      </c>
      <c r="C33" s="137">
        <v>1020000</v>
      </c>
      <c r="D33" s="137">
        <v>101.41926956176758</v>
      </c>
      <c r="E33" s="53"/>
      <c r="T33" s="6" t="str">
        <f t="shared" si="2"/>
        <v/>
      </c>
      <c r="U33" s="144" t="str" cm="1">
        <f t="array" ref="U33">_xll.BDP(B33 &amp; " id cusip","id cusip")</f>
        <v>3138ERGN4</v>
      </c>
      <c r="V33" s="144" t="str" cm="1">
        <f t="array" ref="V33">_xll.BDP($B33 &amp; " id cusip",$V$14)</f>
        <v>FN AL9204</v>
      </c>
      <c r="W33" s="144" t="str" cm="1">
        <f t="array" ref="W33">_xll.BDP($B33 &amp; " id cusip",W$14)</f>
        <v>MBS ARM</v>
      </c>
      <c r="X33" s="144" cm="1">
        <f t="array" ref="X33">_xll.BDP($B33 &amp; " id cusip",X$14)</f>
        <v>4.7649999999999997</v>
      </c>
      <c r="Y33" s="144" cm="1">
        <f t="array" ref="Y33">_xll.BDP($B33 &amp; " id cusip",Y$14)</f>
        <v>6.5389999999999997</v>
      </c>
      <c r="Z33" s="144" cm="1">
        <f t="array" ref="Z33">_xll.BDP($B33 &amp; " id cusip",Z$14)</f>
        <v>262</v>
      </c>
      <c r="AA33" s="144" cm="1">
        <f t="array" ref="AA33">_xll.BDP($B33 &amp; " id cusip",AA$14)</f>
        <v>98</v>
      </c>
      <c r="AB33" s="144" t="str" cm="1">
        <f t="array" ref="AB33">_xll.BDP($B33 &amp; " id cusip",AB$14)</f>
        <v>7/1/2046</v>
      </c>
      <c r="AC33" s="144" cm="1">
        <f t="array" ref="AC33">_xll.BDP($B33 &amp; " id cusip",AC$14,"settle_dt=" &amp; $U$13)</f>
        <v>89</v>
      </c>
      <c r="AD33" s="144" cm="1">
        <f t="array" ref="AD33">_xll.BDP($B33 &amp; " id cusip",AD$14,"settle_dt=" &amp; $U$13)</f>
        <v>24.67</v>
      </c>
      <c r="AE33" s="144" cm="1">
        <f t="array" ref="AE33">_xll.BDP($B33 &amp; " id cusip",AE$14,"settle_dt=" &amp; $U$13)</f>
        <v>19.162170316699999</v>
      </c>
      <c r="AF33" s="144" cm="1">
        <f t="array" ref="AF33">_xll.BDP($B33 &amp; " id cusip",AF$14,"settle_dt=" &amp; $U$13)</f>
        <v>4.9913673432591228</v>
      </c>
      <c r="AG33" s="144" cm="1">
        <f t="array" ref="AG33">_xll.BDP($B33 &amp; " id cusip",AG$14,"settle_dt=" &amp; $U$13)</f>
        <v>3.1588125433718028</v>
      </c>
      <c r="AH33" s="144" cm="1">
        <f t="array" ref="AH33">_xll.BDP($B33 &amp; " id cusip",AH$14,"settle_dt=" &amp; $U$13)</f>
        <v>2.5251086627862573</v>
      </c>
      <c r="AI33" s="144" cm="1">
        <f t="array" ref="AI33">_xll.BDP($B33 &amp; " id cusip",AI$14,"settle_dt=" &amp; $U$13)</f>
        <v>3.5630904986783229</v>
      </c>
      <c r="AJ33" s="144" cm="1">
        <f t="array" ref="AJ33">_xll.BDP($B33 &amp; " id cusip",AJ$14,"settle_dt=" &amp; $U$13)</f>
        <v>9.9129839999999997E-2</v>
      </c>
      <c r="AK33" s="144" t="str" cm="1">
        <f t="array" ref="AK33">_xll.BDP($B33 &amp; " id cusip",AK$14,"settle_dt=" &amp; $U$13)</f>
        <v>3/1/2024</v>
      </c>
      <c r="AL33" s="144" cm="1">
        <f t="array" ref="AL33">_xll.BDP($B33 &amp; " id cusip",AL$14,"settle_dt=" &amp; $U$13)</f>
        <v>9.9752179999999996E-2</v>
      </c>
      <c r="AM33" s="144" cm="1">
        <f t="array" ref="AM33">_xll.BDP($B33 &amp; " id cusip",AM$14,"settle_dt=" &amp; $U$13)</f>
        <v>349</v>
      </c>
      <c r="AN33" s="144" t="str" cm="1">
        <f t="array" ref="AN33">_xll.BDP($B33 &amp; " id cusip",AN$14,"settle_dt=" &amp; $U$13)</f>
        <v>LB</v>
      </c>
      <c r="AO33" s="144" cm="1">
        <f t="array" ref="AO33">_xll.BDP($B33 &amp; " id cusip",AO$14,"settle_dt=" &amp; $U$13)</f>
        <v>98</v>
      </c>
      <c r="AP33" s="144" cm="1">
        <f t="array" ref="AP33">_xll.BDP($B33 &amp; " id cusip",AP$14,"settle_dt=" &amp; $U$13)</f>
        <v>369890</v>
      </c>
      <c r="AQ33" s="144" cm="1">
        <f t="array" ref="AQ33">_xll.BDP($B33 &amp; " id cusip",AQ$14,"settle_dt=" &amp; $U$13)</f>
        <v>626000</v>
      </c>
      <c r="AR33" s="144" cm="1">
        <f t="array" ref="AR33">_xll.BDP($B33 &amp; " id cusip",AR$14,"settle_dt=" &amp; $U$13)</f>
        <v>66</v>
      </c>
      <c r="AS33" s="144" cm="1">
        <f t="array" ref="AS33">_xll.BDP($B33 &amp; " id cusip",AS$14,"settle_dt=" &amp; $U$13)</f>
        <v>731</v>
      </c>
      <c r="AT33" s="144" t="str" cm="1">
        <f t="array" ref="AT33">_xll.BDP($B33 &amp; " id cusip",AT$14,"settle_dt=" &amp; $U$13)</f>
        <v>FANNIE MAE MEGA</v>
      </c>
      <c r="AU33" s="144" t="str" cm="1">
        <f t="array" ref="AU33">_xll.BDP($B33 &amp; " id cusip",AU$14,"settle_dt=" &amp; $U$13)</f>
        <v>UT 32%</v>
      </c>
      <c r="AV33" s="144" t="str" cm="1">
        <f t="array" ref="AV33">_xll.BDP($B33 &amp; " id cusip",AV$14,"settle_dt=" &amp; $U$13)</f>
        <v>NY 19%</v>
      </c>
      <c r="AW33" s="144" t="str" cm="1">
        <f t="array" ref="AW33">_xll.BDP($B33 &amp; " id cusip",AW$14,"settle_dt=" &amp; $U$13)</f>
        <v>VA 13%</v>
      </c>
      <c r="AX33" s="144" cm="1">
        <f t="array" ref="AX33">_xll.BDP($B33 &amp; " id cusip",AX$14,"settle_dt=" &amp; $U$13)</f>
        <v>37.760000000000005</v>
      </c>
      <c r="AY33" s="144" cm="1">
        <f t="array" ref="AY33">_xll.BDP($B33 &amp; " id cusip",AY$14,"settle_dt=" &amp; $U$13)</f>
        <v>0.04</v>
      </c>
      <c r="AZ33" s="144" cm="1">
        <f t="array" ref="AZ33">_xll.BDP($B33 &amp; " id cusip",AZ$14,"settle_dt=" &amp; $U$13)</f>
        <v>0.04</v>
      </c>
      <c r="BA33" s="144" cm="1">
        <f t="array" ref="BA33">_xll.BDP($B33 &amp; " id cusip",BA$14,"settle_dt=" &amp; $U$13)</f>
        <v>0</v>
      </c>
      <c r="BB33" s="144" t="str" cm="1">
        <f t="array" ref="BB33">_xll.BDP($B33 &amp; " id cusip",BB$14,"settle_dt=" &amp; $U$13)</f>
        <v>UT 32.5</v>
      </c>
      <c r="BC33" s="144" t="str" cm="1">
        <f t="array" ref="BC33">_xll.BDP($B33 &amp; " id cusip",BC$14,"settle_dt=" &amp; $U$13)</f>
        <v>NY 18.8</v>
      </c>
      <c r="BD33" s="144" t="str" cm="1">
        <f t="array" ref="BD33">_xll.BDP($B33 &amp; " id cusip",BD$14,"settle_dt=" &amp; $U$13)</f>
        <v>VA 13.3</v>
      </c>
      <c r="BE33" s="144" cm="1">
        <f t="array" ref="BE33">_xll.BDP($B33 &amp; " id cusip",BE$14,"settle_dt=" &amp; $U$13)</f>
        <v>66</v>
      </c>
      <c r="BF33" s="144" t="str" cm="1">
        <f t="array" ref="BF33">_xll.BDP($B33 &amp; " id cusip",BF$14,"settle_dt=" &amp; $U$13)</f>
        <v>#N/A Field Not Applicable</v>
      </c>
      <c r="BG33" s="144" cm="1">
        <f t="array" ref="BG33">_xll.BDP($B33 &amp; " id cusip",BG$14,"settle_dt=" &amp; $U$13)</f>
        <v>626000</v>
      </c>
      <c r="BH33" s="144" cm="1">
        <f t="array" ref="BH33">_xll.BDP($B33 &amp; " id cusip",BH$14,"settle_dt=" &amp; $U$13)</f>
        <v>360</v>
      </c>
      <c r="BI33" s="144" t="str" cm="1">
        <f t="array" ref="BI33">_xll.BDP($B33 &amp; " id cusip",BI$14,"settle_dt=" &amp; $U$13)</f>
        <v>Mtge</v>
      </c>
      <c r="BJ33" s="144" cm="1">
        <f t="array" ref="BJ33">_xll.BDP($B33 &amp; " id cusip",BJ$14,"settle_dt=" &amp; $U$13)</f>
        <v>7.0330000000000004</v>
      </c>
      <c r="BK33" s="144" t="str" cm="1">
        <f t="array" ref="BK33">_xll.BDP($B33 &amp; " id cusip",BK$14,"settle_dt=" &amp; $U$13)</f>
        <v>FNARM</v>
      </c>
      <c r="BL33" s="122">
        <f>_xll.BDP($B33 &amp; " mtge","YLD_CNV_BID","SETTLE_DT=" &amp; $U$13,"PX_BID=" &amp; $D33, "MTG_PREPAY_SPEED=" &amp; AD33, "MTG_PREPAY_TYP=CPR")</f>
        <v>6.4509999999999996</v>
      </c>
      <c r="BM33" s="122">
        <f>_xll.BDP($B33 &amp; " mtge","YLD_CNV_BID","SETTLE_DT=" &amp; $U$13,"PX_BID=" &amp; $D33, "MTG_PREPAY_SPEED=" &amp; AE33, "MTG_PREPAY_TYP=CPR")</f>
        <v>6.6109999999999998</v>
      </c>
      <c r="BN33" s="122">
        <f>_xll.BDP($B33 &amp; " mtge","YLD_CNV_BID","SETTLE_DT=" &amp; $U$13,"PX_BID=" &amp; $D33, "MTG_PREPAY_SPEED=" &amp; AF33, "MTG_PREPAY_TYP=CPR")</f>
        <v>6.9690000000000003</v>
      </c>
      <c r="BO33" s="122">
        <f>_xll.BDP($B33 &amp; " mtge","YLD_CNV_BID","SETTLE_DT=" &amp; $U$13,"PX_BID=" &amp; $D33, "MTG_PREPAY_SPEED=" &amp; AG33, "MTG_PREPAY_TYP=CPR")</f>
        <v>7.0090000000000003</v>
      </c>
      <c r="BP33" s="122">
        <f>_xll.BDP($B33 &amp; " mtge","YLD_CNV_BID","SETTLE_DT=" &amp; $U$13,"PX_BID=" &amp; $D33, "MTG_PREPAY_SPEED=" &amp; AH33, "MTG_PREPAY_TYP=CPR")</f>
        <v>7.0220000000000002</v>
      </c>
      <c r="BQ33" s="122">
        <f>_xll.BDP($B33 &amp; " mtge","YLD_CNV_BID","SETTLE_DT=" &amp; $U$13,"PX_BID=" &amp; $D33, "MTG_PREPAY_SPEED=" &amp; AI33, "MTG_PREPAY_TYP=CPR")</f>
        <v>7.0010000000000003</v>
      </c>
      <c r="BR33" s="122"/>
    </row>
    <row r="34" spans="1:70" x14ac:dyDescent="0.25">
      <c r="A34" s="149"/>
      <c r="B34" s="137" t="s">
        <v>159</v>
      </c>
      <c r="C34" s="137">
        <v>1600000</v>
      </c>
      <c r="D34" s="137">
        <v>101.72985458374023</v>
      </c>
      <c r="E34" s="53"/>
      <c r="T34" s="6" t="str">
        <f t="shared" si="2"/>
        <v/>
      </c>
      <c r="U34" s="144" t="str" cm="1">
        <f t="array" ref="U34">_xll.BDP(B34 &amp; " id cusip","id cusip")</f>
        <v>3138ENFH7</v>
      </c>
      <c r="V34" s="144" t="str" cm="1">
        <f t="array" ref="V34">_xll.BDP($B34 &amp; " id cusip",$V$14)</f>
        <v>FN AL5567</v>
      </c>
      <c r="W34" s="144" t="str" cm="1">
        <f t="array" ref="W34">_xll.BDP($B34 &amp; " id cusip",W$14)</f>
        <v>MBS ARM</v>
      </c>
      <c r="X34" s="144" cm="1">
        <f t="array" ref="X34">_xll.BDP($B34 &amp; " id cusip",X$14)</f>
        <v>5.9349999999999996</v>
      </c>
      <c r="Y34" s="144" cm="1">
        <f t="array" ref="Y34">_xll.BDP($B34 &amp; " id cusip",Y$14)</f>
        <v>6.4909999999999997</v>
      </c>
      <c r="Z34" s="144" cm="1">
        <f t="array" ref="Z34">_xll.BDP($B34 &amp; " id cusip",Z$14)</f>
        <v>191</v>
      </c>
      <c r="AA34" s="144" cm="1">
        <f t="array" ref="AA34">_xll.BDP($B34 &amp; " id cusip",AA$14)</f>
        <v>169</v>
      </c>
      <c r="AB34" s="144" t="str" cm="1">
        <f t="array" ref="AB34">_xll.BDP($B34 &amp; " id cusip",AB$14)</f>
        <v>7/1/2041</v>
      </c>
      <c r="AC34" s="144" cm="1">
        <f t="array" ref="AC34">_xll.BDP($B34 &amp; " id cusip",AC$14,"settle_dt=" &amp; $U$13)</f>
        <v>437</v>
      </c>
      <c r="AD34" s="144" cm="1">
        <f t="array" ref="AD34">_xll.BDP($B34 &amp; " id cusip",AD$14,"settle_dt=" &amp; $U$13)</f>
        <v>23.21</v>
      </c>
      <c r="AE34" s="144" cm="1">
        <f t="array" ref="AE34">_xll.BDP($B34 &amp; " id cusip",AE$14,"settle_dt=" &amp; $U$13)</f>
        <v>14.501335167500001</v>
      </c>
      <c r="AF34" s="144" cm="1">
        <f t="array" ref="AF34">_xll.BDP($B34 &amp; " id cusip",AF$14,"settle_dt=" &amp; $U$13)</f>
        <v>3.476134253563079</v>
      </c>
      <c r="AG34" s="144" cm="1">
        <f t="array" ref="AG34">_xll.BDP($B34 &amp; " id cusip",AG$14,"settle_dt=" &amp; $U$13)</f>
        <v>7.7740386242646125</v>
      </c>
      <c r="AH34" s="144" cm="1">
        <f t="array" ref="AH34">_xll.BDP($B34 &amp; " id cusip",AH$14,"settle_dt=" &amp; $U$13)</f>
        <v>7.9361783980096305</v>
      </c>
      <c r="AI34" s="144" cm="1">
        <f t="array" ref="AI34">_xll.BDP($B34 &amp; " id cusip",AI$14,"settle_dt=" &amp; $U$13)</f>
        <v>9.1991948900194238</v>
      </c>
      <c r="AJ34" s="144" cm="1">
        <f t="array" ref="AJ34">_xll.BDP($B34 &amp; " id cusip",AJ$14,"settle_dt=" &amp; $U$13)</f>
        <v>5.682185E-2</v>
      </c>
      <c r="AK34" s="144" t="str" cm="1">
        <f t="array" ref="AK34">_xll.BDP($B34 &amp; " id cusip",AK$14,"settle_dt=" &amp; $U$13)</f>
        <v>3/1/2024</v>
      </c>
      <c r="AL34" s="144" cm="1">
        <f t="array" ref="AL34">_xll.BDP($B34 &amp; " id cusip",AL$14,"settle_dt=" &amp; $U$13)</f>
        <v>5.716164E-2</v>
      </c>
      <c r="AM34" s="144" cm="1">
        <f t="array" ref="AM34">_xll.BDP($B34 &amp; " id cusip",AM$14,"settle_dt=" &amp; $U$13)</f>
        <v>307</v>
      </c>
      <c r="AN34" s="144" t="str" cm="1">
        <f t="array" ref="AN34">_xll.BDP($B34 &amp; " id cusip",AN$14,"settle_dt=" &amp; $U$13)</f>
        <v>LB</v>
      </c>
      <c r="AO34" s="144" cm="1">
        <f t="array" ref="AO34">_xll.BDP($B34 &amp; " id cusip",AO$14,"settle_dt=" &amp; $U$13)</f>
        <v>169</v>
      </c>
      <c r="AP34" s="144" cm="1">
        <f t="array" ref="AP34">_xll.BDP($B34 &amp; " id cusip",AP$14,"settle_dt=" &amp; $U$13)</f>
        <v>269984</v>
      </c>
      <c r="AQ34" s="144" cm="1">
        <f t="array" ref="AQ34">_xll.BDP($B34 &amp; " id cusip",AQ$14,"settle_dt=" &amp; $U$13)</f>
        <v>637000</v>
      </c>
      <c r="AR34" s="144" cm="1">
        <f t="array" ref="AR34">_xll.BDP($B34 &amp; " id cusip",AR$14,"settle_dt=" &amp; $U$13)</f>
        <v>71</v>
      </c>
      <c r="AS34" s="144" cm="1">
        <f t="array" ref="AS34">_xll.BDP($B34 &amp; " id cusip",AS$14,"settle_dt=" &amp; $U$13)</f>
        <v>759</v>
      </c>
      <c r="AT34" s="144" t="str" cm="1">
        <f t="array" ref="AT34">_xll.BDP($B34 &amp; " id cusip",AT$14,"settle_dt=" &amp; $U$13)</f>
        <v>FANNIE MAE MEGA</v>
      </c>
      <c r="AU34" s="144" t="str" cm="1">
        <f t="array" ref="AU34">_xll.BDP($B34 &amp; " id cusip",AU$14,"settle_dt=" &amp; $U$13)</f>
        <v>CA 24%</v>
      </c>
      <c r="AV34" s="144" t="str" cm="1">
        <f t="array" ref="AV34">_xll.BDP($B34 &amp; " id cusip",AV$14,"settle_dt=" &amp; $U$13)</f>
        <v>IL 10%</v>
      </c>
      <c r="AW34" s="144" t="str" cm="1">
        <f t="array" ref="AW34">_xll.BDP($B34 &amp; " id cusip",AW$14,"settle_dt=" &amp; $U$13)</f>
        <v>NY 8%</v>
      </c>
      <c r="AX34" s="144" cm="1">
        <f t="array" ref="AX34">_xll.BDP($B34 &amp; " id cusip",AX$14,"settle_dt=" &amp; $U$13)</f>
        <v>60.739999999999995</v>
      </c>
      <c r="AY34" s="144" cm="1">
        <f t="array" ref="AY34">_xll.BDP($B34 &amp; " id cusip",AY$14,"settle_dt=" &amp; $U$13)</f>
        <v>1.6</v>
      </c>
      <c r="AZ34" s="144" cm="1">
        <f t="array" ref="AZ34">_xll.BDP($B34 &amp; " id cusip",AZ$14,"settle_dt=" &amp; $U$13)</f>
        <v>0</v>
      </c>
      <c r="BA34" s="144" cm="1">
        <f t="array" ref="BA34">_xll.BDP($B34 &amp; " id cusip",BA$14,"settle_dt=" &amp; $U$13)</f>
        <v>0</v>
      </c>
      <c r="BB34" s="144" t="str" cm="1">
        <f t="array" ref="BB34">_xll.BDP($B34 &amp; " id cusip",BB$14,"settle_dt=" &amp; $U$13)</f>
        <v>CA 24.1</v>
      </c>
      <c r="BC34" s="144" t="str" cm="1">
        <f t="array" ref="BC34">_xll.BDP($B34 &amp; " id cusip",BC$14,"settle_dt=" &amp; $U$13)</f>
        <v>IL 10.3</v>
      </c>
      <c r="BD34" s="144" t="str" cm="1">
        <f t="array" ref="BD34">_xll.BDP($B34 &amp; " id cusip",BD$14,"settle_dt=" &amp; $U$13)</f>
        <v>NY 7.9</v>
      </c>
      <c r="BE34" s="144" cm="1">
        <f t="array" ref="BE34">_xll.BDP($B34 &amp; " id cusip",BE$14,"settle_dt=" &amp; $U$13)</f>
        <v>71</v>
      </c>
      <c r="BF34" s="144" t="str" cm="1">
        <f t="array" ref="BF34">_xll.BDP($B34 &amp; " id cusip",BF$14,"settle_dt=" &amp; $U$13)</f>
        <v>#N/A Field Not Applicable</v>
      </c>
      <c r="BG34" s="144" cm="1">
        <f t="array" ref="BG34">_xll.BDP($B34 &amp; " id cusip",BG$14,"settle_dt=" &amp; $U$13)</f>
        <v>637000</v>
      </c>
      <c r="BH34" s="144" cm="1">
        <f t="array" ref="BH34">_xll.BDP($B34 &amp; " id cusip",BH$14,"settle_dt=" &amp; $U$13)</f>
        <v>360</v>
      </c>
      <c r="BI34" s="144" t="str" cm="1">
        <f t="array" ref="BI34">_xll.BDP($B34 &amp; " id cusip",BI$14,"settle_dt=" &amp; $U$13)</f>
        <v>Mtge</v>
      </c>
      <c r="BJ34" s="144" cm="1">
        <f t="array" ref="BJ34">_xll.BDP($B34 &amp; " id cusip",BJ$14,"settle_dt=" &amp; $U$13)</f>
        <v>6.952</v>
      </c>
      <c r="BK34" s="144" t="str" cm="1">
        <f t="array" ref="BK34">_xll.BDP($B34 &amp; " id cusip",BK$14,"settle_dt=" &amp; $U$13)</f>
        <v>FNARM</v>
      </c>
      <c r="BL34" s="122">
        <f>_xll.BDP($B34 &amp; " mtge","YLD_CNV_BID","SETTLE_DT=" &amp; $U$13,"PX_BID=" &amp; $D34, "MTG_PREPAY_SPEED=" &amp; AD34, "MTG_PREPAY_TYP=CPR")</f>
        <v>6.4729999999999999</v>
      </c>
      <c r="BM34" s="122">
        <f>_xll.BDP($B34 &amp; " mtge","YLD_CNV_BID","SETTLE_DT=" &amp; $U$13,"PX_BID=" &amp; $D34, "MTG_PREPAY_SPEED=" &amp; AE34, "MTG_PREPAY_TYP=CPR")</f>
        <v>6.7510000000000003</v>
      </c>
      <c r="BN34" s="122">
        <f>_xll.BDP($B34 &amp; " mtge","YLD_CNV_BID","SETTLE_DT=" &amp; $U$13,"PX_BID=" &amp; $D34, "MTG_PREPAY_SPEED=" &amp; AF34, "MTG_PREPAY_TYP=CPR")</f>
        <v>7.0490000000000004</v>
      </c>
      <c r="BO34" s="122">
        <f>_xll.BDP($B34 &amp; " mtge","YLD_CNV_BID","SETTLE_DT=" &amp; $U$13,"PX_BID=" &amp; $D34, "MTG_PREPAY_SPEED=" &amp; AG34, "MTG_PREPAY_TYP=CPR")</f>
        <v>6.9409999999999998</v>
      </c>
      <c r="BP34" s="122">
        <f>_xll.BDP($B34 &amp; " mtge","YLD_CNV_BID","SETTLE_DT=" &amp; $U$13,"PX_BID=" &amp; $D34, "MTG_PREPAY_SPEED=" &amp; AH34, "MTG_PREPAY_TYP=CPR")</f>
        <v>6.9370000000000003</v>
      </c>
      <c r="BQ34" s="122">
        <f>_xll.BDP($B34 &amp; " mtge","YLD_CNV_BID","SETTLE_DT=" &amp; $U$13,"PX_BID=" &amp; $D34, "MTG_PREPAY_SPEED=" &amp; AI34, "MTG_PREPAY_TYP=CPR")</f>
        <v>6.9029999999999996</v>
      </c>
      <c r="BR34" s="122"/>
    </row>
    <row r="35" spans="1:70" x14ac:dyDescent="0.25">
      <c r="A35" s="149"/>
      <c r="B35" s="137" t="s">
        <v>160</v>
      </c>
      <c r="C35" s="137">
        <v>3000000</v>
      </c>
      <c r="D35" s="137">
        <v>100.44960021972656</v>
      </c>
      <c r="E35" s="53"/>
      <c r="T35" s="6" t="str">
        <f t="shared" si="2"/>
        <v/>
      </c>
      <c r="U35" s="144" t="str" cm="1">
        <f t="array" ref="U35">_xll.BDP(B35 &amp; " id cusip","id cusip")</f>
        <v>3138LVCK7</v>
      </c>
      <c r="V35" s="144" t="str" cm="1">
        <f t="array" ref="V35">_xll.BDP($B35 &amp; " id cusip",$V$14)</f>
        <v>FN AO4573</v>
      </c>
      <c r="W35" s="144" t="str" cm="1">
        <f t="array" ref="W35">_xll.BDP($B35 &amp; " id cusip",W$14)</f>
        <v>MBS ARM</v>
      </c>
      <c r="X35" s="144" cm="1">
        <f t="array" ref="X35">_xll.BDP($B35 &amp; " id cusip",X$14)</f>
        <v>5.3150000000000004</v>
      </c>
      <c r="Y35" s="144" cm="1">
        <f t="array" ref="Y35">_xll.BDP($B35 &amp; " id cusip",Y$14)</f>
        <v>5.88</v>
      </c>
      <c r="Z35" s="144" cm="1">
        <f t="array" ref="Z35">_xll.BDP($B35 &amp; " id cusip",Z$14)</f>
        <v>218</v>
      </c>
      <c r="AA35" s="144" cm="1">
        <f t="array" ref="AA35">_xll.BDP($B35 &amp; " id cusip",AA$14)</f>
        <v>142</v>
      </c>
      <c r="AB35" s="144" t="str" cm="1">
        <f t="array" ref="AB35">_xll.BDP($B35 &amp; " id cusip",AB$14)</f>
        <v>6/1/2042</v>
      </c>
      <c r="AC35" s="144" cm="1">
        <f t="array" ref="AC35">_xll.BDP($B35 &amp; " id cusip",AC$14,"settle_dt=" &amp; $U$13)</f>
        <v>8</v>
      </c>
      <c r="AD35" s="144" cm="1">
        <f t="array" ref="AD35">_xll.BDP($B35 &amp; " id cusip",AD$14,"settle_dt=" &amp; $U$13)</f>
        <v>23.85</v>
      </c>
      <c r="AE35" s="144" cm="1">
        <f t="array" ref="AE35">_xll.BDP($B35 &amp; " id cusip",AE$14,"settle_dt=" &amp; $U$13)</f>
        <v>21.5015529149</v>
      </c>
      <c r="AF35" s="144" cm="1">
        <f t="array" ref="AF35">_xll.BDP($B35 &amp; " id cusip",AF$14,"settle_dt=" &amp; $U$13)</f>
        <v>0.15072522496246687</v>
      </c>
      <c r="AG35" s="144" cm="1">
        <f t="array" ref="AG35">_xll.BDP($B35 &amp; " id cusip",AG$14,"settle_dt=" &amp; $U$13)</f>
        <v>0.42071384633753928</v>
      </c>
      <c r="AH35" s="144" cm="1">
        <f t="array" ref="AH35">_xll.BDP($B35 &amp; " id cusip",AH$14,"settle_dt=" &amp; $U$13)</f>
        <v>0.54877897325648073</v>
      </c>
      <c r="AI35" s="144" cm="1">
        <f t="array" ref="AI35">_xll.BDP($B35 &amp; " id cusip",AI$14,"settle_dt=" &amp; $U$13)</f>
        <v>0.70845152801343181</v>
      </c>
      <c r="AJ35" s="144" cm="1">
        <f t="array" ref="AJ35">_xll.BDP($B35 &amp; " id cusip",AJ$14,"settle_dt=" &amp; $U$13)</f>
        <v>2.885136E-2</v>
      </c>
      <c r="AK35" s="144" t="str" cm="1">
        <f t="array" ref="AK35">_xll.BDP($B35 &amp; " id cusip",AK$14,"settle_dt=" &amp; $U$13)</f>
        <v>3/1/2024</v>
      </c>
      <c r="AL35" s="144" cm="1">
        <f t="array" ref="AL35">_xll.BDP($B35 &amp; " id cusip",AL$14,"settle_dt=" &amp; $U$13)</f>
        <v>2.892894E-2</v>
      </c>
      <c r="AM35" s="144" cm="1">
        <f t="array" ref="AM35">_xll.BDP($B35 &amp; " id cusip",AM$14,"settle_dt=" &amp; $U$13)</f>
        <v>360</v>
      </c>
      <c r="AN35" s="144" t="str" cm="1">
        <f t="array" ref="AN35">_xll.BDP($B35 &amp; " id cusip",AN$14,"settle_dt=" &amp; $U$13)</f>
        <v>LB</v>
      </c>
      <c r="AO35" s="144" cm="1">
        <f t="array" ref="AO35">_xll.BDP($B35 &amp; " id cusip",AO$14,"settle_dt=" &amp; $U$13)</f>
        <v>142</v>
      </c>
      <c r="AP35" s="144" cm="1">
        <f t="array" ref="AP35">_xll.BDP($B35 &amp; " id cusip",AP$14,"settle_dt=" &amp; $U$13)</f>
        <v>324584</v>
      </c>
      <c r="AQ35" s="144" cm="1">
        <f t="array" ref="AQ35">_xll.BDP($B35 &amp; " id cusip",AQ$14,"settle_dt=" &amp; $U$13)</f>
        <v>468000</v>
      </c>
      <c r="AR35" s="144" cm="1">
        <f t="array" ref="AR35">_xll.BDP($B35 &amp; " id cusip",AR$14,"settle_dt=" &amp; $U$13)</f>
        <v>69</v>
      </c>
      <c r="AS35" s="144" cm="1">
        <f t="array" ref="AS35">_xll.BDP($B35 &amp; " id cusip",AS$14,"settle_dt=" &amp; $U$13)</f>
        <v>781</v>
      </c>
      <c r="AT35" s="144" t="str" cm="1">
        <f t="array" ref="AT35">_xll.BDP($B35 &amp; " id cusip",AT$14,"settle_dt=" &amp; $U$13)</f>
        <v>JPMORGAN CHASE BANK, NATIONAL</v>
      </c>
      <c r="AU35" s="144" t="str" cm="1">
        <f t="array" ref="AU35">_xll.BDP($B35 &amp; " id cusip",AU$14,"settle_dt=" &amp; $U$13)</f>
        <v>CA 27%</v>
      </c>
      <c r="AV35" s="144" t="str" cm="1">
        <f t="array" ref="AV35">_xll.BDP($B35 &amp; " id cusip",AV$14,"settle_dt=" &amp; $U$13)</f>
        <v>NY 23%</v>
      </c>
      <c r="AW35" s="144" t="str" cm="1">
        <f t="array" ref="AW35">_xll.BDP($B35 &amp; " id cusip",AW$14,"settle_dt=" &amp; $U$13)</f>
        <v>NJ 18%</v>
      </c>
      <c r="AX35" s="144" cm="1">
        <f t="array" ref="AX35">_xll.BDP($B35 &amp; " id cusip",AX$14,"settle_dt=" &amp; $U$13)</f>
        <v>39.409999999999997</v>
      </c>
      <c r="AY35" s="144" cm="1">
        <f t="array" ref="AY35">_xll.BDP($B35 &amp; " id cusip",AY$14,"settle_dt=" &amp; $U$13)</f>
        <v>0</v>
      </c>
      <c r="AZ35" s="144" cm="1">
        <f t="array" ref="AZ35">_xll.BDP($B35 &amp; " id cusip",AZ$14,"settle_dt=" &amp; $U$13)</f>
        <v>0</v>
      </c>
      <c r="BA35" s="144" cm="1">
        <f t="array" ref="BA35">_xll.BDP($B35 &amp; " id cusip",BA$14,"settle_dt=" &amp; $U$13)</f>
        <v>0</v>
      </c>
      <c r="BB35" s="144" t="str" cm="1">
        <f t="array" ref="BB35">_xll.BDP($B35 &amp; " id cusip",BB$14,"settle_dt=" &amp; $U$13)</f>
        <v>CA 27.1</v>
      </c>
      <c r="BC35" s="144" t="str" cm="1">
        <f t="array" ref="BC35">_xll.BDP($B35 &amp; " id cusip",BC$14,"settle_dt=" &amp; $U$13)</f>
        <v>NY 22.8</v>
      </c>
      <c r="BD35" s="144" t="str" cm="1">
        <f t="array" ref="BD35">_xll.BDP($B35 &amp; " id cusip",BD$14,"settle_dt=" &amp; $U$13)</f>
        <v>NJ 17.9</v>
      </c>
      <c r="BE35" s="144" cm="1">
        <f t="array" ref="BE35">_xll.BDP($B35 &amp; " id cusip",BE$14,"settle_dt=" &amp; $U$13)</f>
        <v>69</v>
      </c>
      <c r="BF35" s="144" t="str" cm="1">
        <f t="array" ref="BF35">_xll.BDP($B35 &amp; " id cusip",BF$14,"settle_dt=" &amp; $U$13)</f>
        <v>#N/A Field Not Applicable</v>
      </c>
      <c r="BG35" s="144" cm="1">
        <f t="array" ref="BG35">_xll.BDP($B35 &amp; " id cusip",BG$14,"settle_dt=" &amp; $U$13)</f>
        <v>468000</v>
      </c>
      <c r="BH35" s="144" cm="1">
        <f t="array" ref="BH35">_xll.BDP($B35 &amp; " id cusip",BH$14,"settle_dt=" &amp; $U$13)</f>
        <v>360</v>
      </c>
      <c r="BI35" s="144" t="str" cm="1">
        <f t="array" ref="BI35">_xll.BDP($B35 &amp; " id cusip",BI$14,"settle_dt=" &amp; $U$13)</f>
        <v>Mtge</v>
      </c>
      <c r="BJ35" s="144" cm="1">
        <f t="array" ref="BJ35">_xll.BDP($B35 &amp; " id cusip",BJ$14,"settle_dt=" &amp; $U$13)</f>
        <v>6.8760000000000003</v>
      </c>
      <c r="BK35" s="144" t="str" cm="1">
        <f t="array" ref="BK35">_xll.BDP($B35 &amp; " id cusip",BK$14,"settle_dt=" &amp; $U$13)</f>
        <v>FNARM</v>
      </c>
      <c r="BL35" s="122">
        <f>_xll.BDP($B35 &amp; " mtge","YLD_CNV_BID","SETTLE_DT=" &amp; $U$13,"PX_BID=" &amp; $D35, "MTG_PREPAY_SPEED=" &amp; AD35, "MTG_PREPAY_TYP=CPR")</f>
        <v>6.6040000000000001</v>
      </c>
      <c r="BM35" s="122">
        <f>_xll.BDP($B35 &amp; " mtge","YLD_CNV_BID","SETTLE_DT=" &amp; $U$13,"PX_BID=" &amp; $D35, "MTG_PREPAY_SPEED=" &amp; AE35, "MTG_PREPAY_TYP=CPR")</f>
        <v>6.6360000000000001</v>
      </c>
      <c r="BN35" s="122">
        <f>_xll.BDP($B35 &amp; " mtge","YLD_CNV_BID","SETTLE_DT=" &amp; $U$13,"PX_BID=" &amp; $D35, "MTG_PREPAY_SPEED=" &amp; AF35, "MTG_PREPAY_TYP=CPR")</f>
        <v>6.8680000000000003</v>
      </c>
      <c r="BO35" s="122">
        <f>_xll.BDP($B35 &amp; " mtge","YLD_CNV_BID","SETTLE_DT=" &amp; $U$13,"PX_BID=" &amp; $D35, "MTG_PREPAY_SPEED=" &amp; AG35, "MTG_PREPAY_TYP=CPR")</f>
        <v>6.8659999999999997</v>
      </c>
      <c r="BP35" s="122">
        <f>_xll.BDP($B35 &amp; " mtge","YLD_CNV_BID","SETTLE_DT=" &amp; $U$13,"PX_BID=" &amp; $D35, "MTG_PREPAY_SPEED=" &amp; AH35, "MTG_PREPAY_TYP=CPR")</f>
        <v>6.8650000000000002</v>
      </c>
      <c r="BQ35" s="122">
        <f>_xll.BDP($B35 &amp; " mtge","YLD_CNV_BID","SETTLE_DT=" &amp; $U$13,"PX_BID=" &amp; $D35, "MTG_PREPAY_SPEED=" &amp; AI35, "MTG_PREPAY_TYP=CPR")</f>
        <v>6.8639999999999999</v>
      </c>
      <c r="BR35" s="122"/>
    </row>
    <row r="36" spans="1:70" x14ac:dyDescent="0.25">
      <c r="A36" s="149"/>
      <c r="B36" s="137" t="s">
        <v>161</v>
      </c>
      <c r="C36" s="137">
        <v>1150000</v>
      </c>
      <c r="D36" s="137">
        <v>101.12393188476563</v>
      </c>
      <c r="E36" s="53"/>
      <c r="T36" s="6" t="str">
        <f>IF(U36&lt;&gt;TRIM(B36),1,"")</f>
        <v/>
      </c>
      <c r="U36" s="144" t="str" cm="1">
        <f t="array" ref="U36">_xll.BDP(B36 &amp; " id cusip","id cusip")</f>
        <v>3138EQDP4</v>
      </c>
      <c r="V36" s="144" t="str" cm="1">
        <f t="array" ref="V36">_xll.BDP($B36 &amp; " id cusip",$V$14)</f>
        <v>FN AL7309</v>
      </c>
      <c r="W36" s="144" t="str" cm="1">
        <f t="array" ref="W36">_xll.BDP($B36 &amp; " id cusip",W$14)</f>
        <v>MBS ARM</v>
      </c>
      <c r="X36" s="144" cm="1">
        <f t="array" ref="X36">_xll.BDP($B36 &amp; " id cusip",X$14)</f>
        <v>5.8310000000000004</v>
      </c>
      <c r="Y36" s="144" cm="1">
        <f t="array" ref="Y36">_xll.BDP($B36 &amp; " id cusip",Y$14)</f>
        <v>6.5</v>
      </c>
      <c r="Z36" s="144" cm="1">
        <f t="array" ref="Z36">_xll.BDP($B36 &amp; " id cusip",Z$14)</f>
        <v>257</v>
      </c>
      <c r="AA36" s="144" cm="1">
        <f t="array" ref="AA36">_xll.BDP($B36 &amp; " id cusip",AA$14)</f>
        <v>103</v>
      </c>
      <c r="AB36" s="144" t="str" cm="1">
        <f t="array" ref="AB36">_xll.BDP($B36 &amp; " id cusip",AB$14)</f>
        <v>9/1/2045</v>
      </c>
      <c r="AC36" s="144" cm="1">
        <f t="array" ref="AC36">_xll.BDP($B36 &amp; " id cusip",AC$14,"settle_dt=" &amp; $U$13)</f>
        <v>19</v>
      </c>
      <c r="AD36" s="144" cm="1">
        <f t="array" ref="AD36">_xll.BDP($B36 &amp; " id cusip",AD$14,"settle_dt=" &amp; $U$13)</f>
        <v>25.1</v>
      </c>
      <c r="AE36" s="144" cm="1">
        <f t="array" ref="AE36">_xll.BDP($B36 &amp; " id cusip",AE$14,"settle_dt=" &amp; $U$13)</f>
        <v>19.162170316699999</v>
      </c>
      <c r="AF36" s="144" cm="1">
        <f t="array" ref="AF36">_xll.BDP($B36 &amp; " id cusip",AF$14,"settle_dt=" &amp; $U$13)</f>
        <v>1.2049495100915686</v>
      </c>
      <c r="AG36" s="144" cm="1">
        <f t="array" ref="AG36">_xll.BDP($B36 &amp; " id cusip",AG$14,"settle_dt=" &amp; $U$13)</f>
        <v>30.753518219880014</v>
      </c>
      <c r="AH36" s="144" cm="1">
        <f t="array" ref="AH36">_xll.BDP($B36 &amp; " id cusip",AH$14,"settle_dt=" &amp; $U$13)</f>
        <v>26.811701022058664</v>
      </c>
      <c r="AI36" s="144" cm="1">
        <f t="array" ref="AI36">_xll.BDP($B36 &amp; " id cusip",AI$14,"settle_dt=" &amp; $U$13)</f>
        <v>17.219020571468036</v>
      </c>
      <c r="AJ36" s="144" cm="1">
        <f t="array" ref="AJ36">_xll.BDP($B36 &amp; " id cusip",AJ$14,"settle_dt=" &amp; $U$13)</f>
        <v>6.7501000000000005E-2</v>
      </c>
      <c r="AK36" s="144" t="str" cm="1">
        <f t="array" ref="AK36">_xll.BDP($B36 &amp; " id cusip",AK$14,"settle_dt=" &amp; $U$13)</f>
        <v>3/1/2024</v>
      </c>
      <c r="AL36" s="144" cm="1">
        <f t="array" ref="AL36">_xll.BDP($B36 &amp; " id cusip",AL$14,"settle_dt=" &amp; $U$13)</f>
        <v>6.7690239999999999E-2</v>
      </c>
      <c r="AM36" s="144" cm="1">
        <f t="array" ref="AM36">_xll.BDP($B36 &amp; " id cusip",AM$14,"settle_dt=" &amp; $U$13)</f>
        <v>359</v>
      </c>
      <c r="AN36" s="144" t="str" cm="1">
        <f t="array" ref="AN36">_xll.BDP($B36 &amp; " id cusip",AN$14,"settle_dt=" &amp; $U$13)</f>
        <v>LB</v>
      </c>
      <c r="AO36" s="144" cm="1">
        <f t="array" ref="AO36">_xll.BDP($B36 &amp; " id cusip",AO$14,"settle_dt=" &amp; $U$13)</f>
        <v>103</v>
      </c>
      <c r="AP36" s="144" cm="1">
        <f t="array" ref="AP36">_xll.BDP($B36 &amp; " id cusip",AP$14,"settle_dt=" &amp; $U$13)</f>
        <v>331454</v>
      </c>
      <c r="AQ36" s="144" cm="1">
        <f t="array" ref="AQ36">_xll.BDP($B36 &amp; " id cusip",AQ$14,"settle_dt=" &amp; $U$13)</f>
        <v>417000</v>
      </c>
      <c r="AR36" s="144" cm="1">
        <f t="array" ref="AR36">_xll.BDP($B36 &amp; " id cusip",AR$14,"settle_dt=" &amp; $U$13)</f>
        <v>67</v>
      </c>
      <c r="AS36" s="144" cm="1">
        <f t="array" ref="AS36">_xll.BDP($B36 &amp; " id cusip",AS$14,"settle_dt=" &amp; $U$13)</f>
        <v>763</v>
      </c>
      <c r="AT36" s="144" t="str" cm="1">
        <f t="array" ref="AT36">_xll.BDP($B36 &amp; " id cusip",AT$14,"settle_dt=" &amp; $U$13)</f>
        <v>FANNIE MAE MEGA</v>
      </c>
      <c r="AU36" s="144" t="str" cm="1">
        <f t="array" ref="AU36">_xll.BDP($B36 &amp; " id cusip",AU$14,"settle_dt=" &amp; $U$13)</f>
        <v>WA 19%</v>
      </c>
      <c r="AV36" s="144" t="str" cm="1">
        <f t="array" ref="AV36">_xll.BDP($B36 &amp; " id cusip",AV$14,"settle_dt=" &amp; $U$13)</f>
        <v>NC 14%</v>
      </c>
      <c r="AW36" s="144" t="str" cm="1">
        <f t="array" ref="AW36">_xll.BDP($B36 &amp; " id cusip",AW$14,"settle_dt=" &amp; $U$13)</f>
        <v>FL 13%</v>
      </c>
      <c r="AX36" s="144" cm="1">
        <f t="array" ref="AX36">_xll.BDP($B36 &amp; " id cusip",AX$14,"settle_dt=" &amp; $U$13)</f>
        <v>10.59</v>
      </c>
      <c r="AY36" s="144" cm="1">
        <f t="array" ref="AY36">_xll.BDP($B36 &amp; " id cusip",AY$14,"settle_dt=" &amp; $U$13)</f>
        <v>0</v>
      </c>
      <c r="AZ36" s="144" cm="1">
        <f t="array" ref="AZ36">_xll.BDP($B36 &amp; " id cusip",AZ$14,"settle_dt=" &amp; $U$13)</f>
        <v>0</v>
      </c>
      <c r="BA36" s="144" cm="1">
        <f t="array" ref="BA36">_xll.BDP($B36 &amp; " id cusip",BA$14,"settle_dt=" &amp; $U$13)</f>
        <v>0</v>
      </c>
      <c r="BB36" s="144" t="str" cm="1">
        <f t="array" ref="BB36">_xll.BDP($B36 &amp; " id cusip",BB$14,"settle_dt=" &amp; $U$13)</f>
        <v>WA 18.9</v>
      </c>
      <c r="BC36" s="144" t="str" cm="1">
        <f t="array" ref="BC36">_xll.BDP($B36 &amp; " id cusip",BC$14,"settle_dt=" &amp; $U$13)</f>
        <v>NC 13.9</v>
      </c>
      <c r="BD36" s="144" t="str" cm="1">
        <f t="array" ref="BD36">_xll.BDP($B36 &amp; " id cusip",BD$14,"settle_dt=" &amp; $U$13)</f>
        <v>FL 13.2</v>
      </c>
      <c r="BE36" s="144" cm="1">
        <f t="array" ref="BE36">_xll.BDP($B36 &amp; " id cusip",BE$14,"settle_dt=" &amp; $U$13)</f>
        <v>67</v>
      </c>
      <c r="BF36" s="144" t="str" cm="1">
        <f t="array" ref="BF36">_xll.BDP($B36 &amp; " id cusip",BF$14,"settle_dt=" &amp; $U$13)</f>
        <v>#N/A Field Not Applicable</v>
      </c>
      <c r="BG36" s="144" cm="1">
        <f t="array" ref="BG36">_xll.BDP($B36 &amp; " id cusip",BG$14,"settle_dt=" &amp; $U$13)</f>
        <v>417000</v>
      </c>
      <c r="BH36" s="144" cm="1">
        <f t="array" ref="BH36">_xll.BDP($B36 &amp; " id cusip",BH$14,"settle_dt=" &amp; $U$13)</f>
        <v>360</v>
      </c>
      <c r="BI36" s="144" t="str" cm="1">
        <f t="array" ref="BI36">_xll.BDP($B36 &amp; " id cusip",BI$14,"settle_dt=" &amp; $U$13)</f>
        <v>Mtge</v>
      </c>
      <c r="BJ36" s="144" cm="1">
        <f t="array" ref="BJ36">_xll.BDP($B36 &amp; " id cusip",BJ$14,"settle_dt=" &amp; $U$13)</f>
        <v>6.4690000000000003</v>
      </c>
      <c r="BK36" s="144" t="str" cm="1">
        <f t="array" ref="BK36">_xll.BDP($B36 &amp; " id cusip",BK$14,"settle_dt=" &amp; $U$13)</f>
        <v>FNARM</v>
      </c>
      <c r="BL36" s="122">
        <f>_xll.BDP($B36 &amp; " mtge","YLD_CNV_BID","SETTLE_DT=" &amp; $U$13,"PX_BID=" &amp; $D36, "MTG_PREPAY_SPEED=" &amp; AD36, "MTG_PREPAY_TYP=CPR")</f>
        <v>6.4809999999999999</v>
      </c>
      <c r="BM36" s="122">
        <f>_xll.BDP($B36 &amp; " mtge","YLD_CNV_BID","SETTLE_DT=" &amp; $U$13,"PX_BID=" &amp; $D36, "MTG_PREPAY_SPEED=" &amp; AE36, "MTG_PREPAY_TYP=CPR")</f>
        <v>6.6239999999999997</v>
      </c>
      <c r="BN36" s="122">
        <f>_xll.BDP($B36 &amp; " mtge","YLD_CNV_BID","SETTLE_DT=" &amp; $U$13,"PX_BID=" &amp; $D36, "MTG_PREPAY_SPEED=" &amp; AF36, "MTG_PREPAY_TYP=CPR")</f>
        <v>6.98</v>
      </c>
      <c r="BO36" s="122">
        <f>_xll.BDP($B36 &amp; " mtge","YLD_CNV_BID","SETTLE_DT=" &amp; $U$13,"PX_BID=" &amp; $D36, "MTG_PREPAY_SPEED=" &amp; AG36, "MTG_PREPAY_TYP=CPR")</f>
        <v>6.335</v>
      </c>
      <c r="BP36" s="122">
        <f>_xll.BDP($B36 &amp; " mtge","YLD_CNV_BID","SETTLE_DT=" &amp; $U$13,"PX_BID=" &amp; $D36, "MTG_PREPAY_SPEED=" &amp; AH36, "MTG_PREPAY_TYP=CPR")</f>
        <v>6.4379999999999997</v>
      </c>
      <c r="BQ36" s="122">
        <f>_xll.BDP($B36 &amp; " mtge","YLD_CNV_BID","SETTLE_DT=" &amp; $U$13,"PX_BID=" &amp; $D36, "MTG_PREPAY_SPEED=" &amp; AI36, "MTG_PREPAY_TYP=CPR")</f>
        <v>6.6680000000000001</v>
      </c>
      <c r="BR36" s="122"/>
    </row>
    <row r="37" spans="1:70" x14ac:dyDescent="0.25">
      <c r="A37" s="149"/>
      <c r="B37" s="137" t="s">
        <v>162</v>
      </c>
      <c r="C37" s="137">
        <v>1000000</v>
      </c>
      <c r="D37" s="137">
        <v>100.13597869873047</v>
      </c>
      <c r="E37" s="53"/>
      <c r="T37" s="6" t="str">
        <f t="shared" si="2"/>
        <v/>
      </c>
      <c r="U37" s="144" t="str" cm="1">
        <f t="array" ref="U37">_xll.BDP(B37 &amp; " id cusip","id cusip")</f>
        <v>3138EGAU8</v>
      </c>
      <c r="V37" s="144" t="str" cm="1">
        <f t="array" ref="V37">_xll.BDP($B37 &amp; " id cusip",$V$14)</f>
        <v>FN AL0018</v>
      </c>
      <c r="W37" s="144" t="str" cm="1">
        <f t="array" ref="W37">_xll.BDP($B37 &amp; " id cusip",W$14)</f>
        <v>MBS ARM</v>
      </c>
      <c r="X37" s="144" cm="1">
        <f t="array" ref="X37">_xll.BDP($B37 &amp; " id cusip",X$14)</f>
        <v>6.1440000000000001</v>
      </c>
      <c r="Y37" s="144" cm="1">
        <f t="array" ref="Y37">_xll.BDP($B37 &amp; " id cusip",Y$14)</f>
        <v>6.6539999999999999</v>
      </c>
      <c r="Z37" s="144" cm="1">
        <f t="array" ref="Z37">_xll.BDP($B37 &amp; " id cusip",Z$14)</f>
        <v>202</v>
      </c>
      <c r="AA37" s="144" cm="1">
        <f t="array" ref="AA37">_xll.BDP($B37 &amp; " id cusip",AA$14)</f>
        <v>158</v>
      </c>
      <c r="AB37" s="144" t="str" cm="1">
        <f t="array" ref="AB37">_xll.BDP($B37 &amp; " id cusip",AB$14)</f>
        <v>3/1/2041</v>
      </c>
      <c r="AC37" s="144" cm="1">
        <f t="array" ref="AC37">_xll.BDP($B37 &amp; " id cusip",AC$14,"settle_dt=" &amp; $U$13)</f>
        <v>4</v>
      </c>
      <c r="AD37" s="144" cm="1">
        <f t="array" ref="AD37">_xll.BDP($B37 &amp; " id cusip",AD$14,"settle_dt=" &amp; $U$13)</f>
        <v>15.45</v>
      </c>
      <c r="AE37" s="144" cm="1">
        <f t="array" ref="AE37">_xll.BDP($B37 &amp; " id cusip",AE$14,"settle_dt=" &amp; $U$13)</f>
        <v>12.0609634215</v>
      </c>
      <c r="AF37" s="144" cm="1">
        <f t="array" ref="AF37">_xll.BDP($B37 &amp; " id cusip",AF$14,"settle_dt=" &amp; $U$13)</f>
        <v>-5.7093611889769136E-3</v>
      </c>
      <c r="AG37" s="144" cm="1">
        <f t="array" ref="AG37">_xll.BDP($B37 &amp; " id cusip",AG$14,"settle_dt=" &amp; $U$13)</f>
        <v>1.0685301398138947E-4</v>
      </c>
      <c r="AH37" s="144" cm="1">
        <f t="array" ref="AH37">_xll.BDP($B37 &amp; " id cusip",AH$14,"settle_dt=" &amp; $U$13)</f>
        <v>-2.4718286727454242E-3</v>
      </c>
      <c r="AI37" s="144" cm="1">
        <f t="array" ref="AI37">_xll.BDP($B37 &amp; " id cusip",AI$14,"settle_dt=" &amp; $U$13)</f>
        <v>-3.5496605787832536E-3</v>
      </c>
      <c r="AJ37" s="144" cm="1">
        <f t="array" ref="AJ37">_xll.BDP($B37 &amp; " id cusip",AJ$14,"settle_dt=" &amp; $U$13)</f>
        <v>7.7269119999999997E-2</v>
      </c>
      <c r="AK37" s="144" t="str" cm="1">
        <f t="array" ref="AK37">_xll.BDP($B37 &amp; " id cusip",AK$14,"settle_dt=" &amp; $U$13)</f>
        <v>3/1/2024</v>
      </c>
      <c r="AL37" s="144" cm="1">
        <f t="array" ref="AL37">_xll.BDP($B37 &amp; " id cusip",AL$14,"settle_dt=" &amp; $U$13)</f>
        <v>7.7476030000000001E-2</v>
      </c>
      <c r="AM37" s="144" cm="1">
        <f t="array" ref="AM37">_xll.BDP($B37 &amp; " id cusip",AM$14,"settle_dt=" &amp; $U$13)</f>
        <v>360</v>
      </c>
      <c r="AN37" s="144" t="str" cm="1">
        <f t="array" ref="AN37">_xll.BDP($B37 &amp; " id cusip",AN$14,"settle_dt=" &amp; $U$13)</f>
        <v>LB</v>
      </c>
      <c r="AO37" s="144" cm="1">
        <f t="array" ref="AO37">_xll.BDP($B37 &amp; " id cusip",AO$14,"settle_dt=" &amp; $U$13)</f>
        <v>158</v>
      </c>
      <c r="AP37" s="144" cm="1">
        <f t="array" ref="AP37">_xll.BDP($B37 &amp; " id cusip",AP$14,"settle_dt=" &amp; $U$13)</f>
        <v>331955</v>
      </c>
      <c r="AQ37" s="144" cm="1">
        <f t="array" ref="AQ37">_xll.BDP($B37 &amp; " id cusip",AQ$14,"settle_dt=" &amp; $U$13)</f>
        <v>412000</v>
      </c>
      <c r="AR37" s="144" cm="1">
        <f t="array" ref="AR37">_xll.BDP($B37 &amp; " id cusip",AR$14,"settle_dt=" &amp; $U$13)</f>
        <v>59</v>
      </c>
      <c r="AS37" s="144" cm="1">
        <f t="array" ref="AS37">_xll.BDP($B37 &amp; " id cusip",AS$14,"settle_dt=" &amp; $U$13)</f>
        <v>775</v>
      </c>
      <c r="AT37" s="144" t="str" cm="1">
        <f t="array" ref="AT37">_xll.BDP($B37 &amp; " id cusip",AT$14,"settle_dt=" &amp; $U$13)</f>
        <v>FANNIE MAE MEGA</v>
      </c>
      <c r="AU37" s="144" t="str" cm="1">
        <f t="array" ref="AU37">_xll.BDP($B37 &amp; " id cusip",AU$14,"settle_dt=" &amp; $U$13)</f>
        <v>MD 35%</v>
      </c>
      <c r="AV37" s="144" t="str" cm="1">
        <f t="array" ref="AV37">_xll.BDP($B37 &amp; " id cusip",AV$14,"settle_dt=" &amp; $U$13)</f>
        <v>VA 28%</v>
      </c>
      <c r="AW37" s="144" t="str" cm="1">
        <f t="array" ref="AW37">_xll.BDP($B37 &amp; " id cusip",AW$14,"settle_dt=" &amp; $U$13)</f>
        <v>PA 26%</v>
      </c>
      <c r="AX37" s="144" cm="1">
        <f t="array" ref="AX37">_xll.BDP($B37 &amp; " id cusip",AX$14,"settle_dt=" &amp; $U$13)</f>
        <v>0</v>
      </c>
      <c r="AY37" s="144" cm="1">
        <f t="array" ref="AY37">_xll.BDP($B37 &amp; " id cusip",AY$14,"settle_dt=" &amp; $U$13)</f>
        <v>0</v>
      </c>
      <c r="AZ37" s="144" cm="1">
        <f t="array" ref="AZ37">_xll.BDP($B37 &amp; " id cusip",AZ$14,"settle_dt=" &amp; $U$13)</f>
        <v>0</v>
      </c>
      <c r="BA37" s="144" cm="1">
        <f t="array" ref="BA37">_xll.BDP($B37 &amp; " id cusip",BA$14,"settle_dt=" &amp; $U$13)</f>
        <v>0</v>
      </c>
      <c r="BB37" s="144" t="str" cm="1">
        <f t="array" ref="BB37">_xll.BDP($B37 &amp; " id cusip",BB$14,"settle_dt=" &amp; $U$13)</f>
        <v>MD 35.1</v>
      </c>
      <c r="BC37" s="144" t="str" cm="1">
        <f t="array" ref="BC37">_xll.BDP($B37 &amp; " id cusip",BC$14,"settle_dt=" &amp; $U$13)</f>
        <v>VA 28.2</v>
      </c>
      <c r="BD37" s="144" t="str" cm="1">
        <f t="array" ref="BD37">_xll.BDP($B37 &amp; " id cusip",BD$14,"settle_dt=" &amp; $U$13)</f>
        <v>PA 26.4</v>
      </c>
      <c r="BE37" s="144" cm="1">
        <f t="array" ref="BE37">_xll.BDP($B37 &amp; " id cusip",BE$14,"settle_dt=" &amp; $U$13)</f>
        <v>59</v>
      </c>
      <c r="BF37" s="144" t="str" cm="1">
        <f t="array" ref="BF37">_xll.BDP($B37 &amp; " id cusip",BF$14,"settle_dt=" &amp; $U$13)</f>
        <v>#N/A Field Not Applicable</v>
      </c>
      <c r="BG37" s="144" cm="1">
        <f t="array" ref="BG37">_xll.BDP($B37 &amp; " id cusip",BG$14,"settle_dt=" &amp; $U$13)</f>
        <v>412000</v>
      </c>
      <c r="BH37" s="144" cm="1">
        <f t="array" ref="BH37">_xll.BDP($B37 &amp; " id cusip",BH$14,"settle_dt=" &amp; $U$13)</f>
        <v>360</v>
      </c>
      <c r="BI37" s="144" t="str" cm="1">
        <f t="array" ref="BI37">_xll.BDP($B37 &amp; " id cusip",BI$14,"settle_dt=" &amp; $U$13)</f>
        <v>Mtge</v>
      </c>
      <c r="BJ37" s="144" cm="1">
        <f t="array" ref="BJ37">_xll.BDP($B37 &amp; " id cusip",BJ$14,"settle_dt=" &amp; $U$13)</f>
        <v>7.3019999999999996</v>
      </c>
      <c r="BK37" s="144" t="str" cm="1">
        <f t="array" ref="BK37">_xll.BDP($B37 &amp; " id cusip",BK$14,"settle_dt=" &amp; $U$13)</f>
        <v>FNARM</v>
      </c>
      <c r="BL37" s="122">
        <f>_xll.BDP($B37 &amp; " mtge","YLD_CNV_BID","SETTLE_DT=" &amp; $U$13,"PX_BID=" &amp; $D37, "MTG_PREPAY_SPEED=" &amp; AD37, "MTG_PREPAY_TYP=CPR")</f>
        <v>7.0830000000000002</v>
      </c>
      <c r="BM37" s="122">
        <f>_xll.BDP($B37 &amp; " mtge","YLD_CNV_BID","SETTLE_DT=" &amp; $U$13,"PX_BID=" &amp; $D37, "MTG_PREPAY_SPEED=" &amp; AE37, "MTG_PREPAY_TYP=CPR")</f>
        <v>7.1340000000000003</v>
      </c>
      <c r="BN37" s="122" t="str">
        <f>_xll.BDP($B37 &amp; " mtge","YLD_CNV_BID","SETTLE_DT=" &amp; $U$13,"PX_BID=" &amp; $D37, "MTG_PREPAY_SPEED=" &amp; AF37, "MTG_PREPAY_TYP=CPR")</f>
        <v>#N/A N/A</v>
      </c>
      <c r="BO37" s="122">
        <f>_xll.BDP($B37 &amp; " mtge","YLD_CNV_BID","SETTLE_DT=" &amp; $U$13,"PX_BID=" &amp; $D37, "MTG_PREPAY_SPEED=" &amp; AG37, "MTG_PREPAY_TYP=CPR")</f>
        <v>7.2919999999999998</v>
      </c>
      <c r="BP37" s="122" t="str">
        <f>_xll.BDP($B37 &amp; " mtge","YLD_CNV_BID","SETTLE_DT=" &amp; $U$13,"PX_BID=" &amp; $D37, "MTG_PREPAY_SPEED=" &amp; AH37, "MTG_PREPAY_TYP=CPR")</f>
        <v>#N/A N/A</v>
      </c>
      <c r="BQ37" s="122" t="str">
        <f>_xll.BDP($B37 &amp; " mtge","YLD_CNV_BID","SETTLE_DT=" &amp; $U$13,"PX_BID=" &amp; $D37, "MTG_PREPAY_SPEED=" &amp; AI37, "MTG_PREPAY_TYP=CPR")</f>
        <v>#N/A N/A</v>
      </c>
      <c r="BR37" s="122"/>
    </row>
    <row r="38" spans="1:70" x14ac:dyDescent="0.25">
      <c r="A38" s="149"/>
      <c r="B38" s="137" t="s">
        <v>163</v>
      </c>
      <c r="C38" s="137">
        <v>2150000</v>
      </c>
      <c r="D38" s="137">
        <v>101.63130569458008</v>
      </c>
      <c r="E38" s="53"/>
      <c r="T38" s="6" t="str">
        <f t="shared" si="2"/>
        <v/>
      </c>
      <c r="U38" s="144" t="str" cm="1">
        <f t="array" ref="U38">_xll.BDP(B38 &amp; " id cusip","id cusip")</f>
        <v>31410LMU3</v>
      </c>
      <c r="V38" s="144" t="str" cm="1">
        <f t="array" ref="V38">_xll.BDP($B38 &amp; " id cusip",$V$14)</f>
        <v>FN 890571</v>
      </c>
      <c r="W38" s="144" t="str" cm="1">
        <f t="array" ref="W38">_xll.BDP($B38 &amp; " id cusip",W$14)</f>
        <v>MBS ARM</v>
      </c>
      <c r="X38" s="144" cm="1">
        <f t="array" ref="X38">_xll.BDP($B38 &amp; " id cusip",X$14)</f>
        <v>5.7089999999999996</v>
      </c>
      <c r="Y38" s="144" cm="1">
        <f t="array" ref="Y38">_xll.BDP($B38 &amp; " id cusip",Y$14)</f>
        <v>6.4279999999999999</v>
      </c>
      <c r="Z38" s="144" cm="1">
        <f t="array" ref="Z38">_xll.BDP($B38 &amp; " id cusip",Z$14)</f>
        <v>243</v>
      </c>
      <c r="AA38" s="144" cm="1">
        <f t="array" ref="AA38">_xll.BDP($B38 &amp; " id cusip",AA$14)</f>
        <v>117</v>
      </c>
      <c r="AB38" s="144" t="str" cm="1">
        <f t="array" ref="AB38">_xll.BDP($B38 &amp; " id cusip",AB$14)</f>
        <v>12/1/2044</v>
      </c>
      <c r="AC38" s="144" cm="1">
        <f t="array" ref="AC38">_xll.BDP($B38 &amp; " id cusip",AC$14,"settle_dt=" &amp; $U$13)</f>
        <v>21</v>
      </c>
      <c r="AD38" s="144" cm="1">
        <f t="array" ref="AD38">_xll.BDP($B38 &amp; " id cusip",AD$14,"settle_dt=" &amp; $U$13)</f>
        <v>29.49</v>
      </c>
      <c r="AE38" s="144" cm="1">
        <f t="array" ref="AE38">_xll.BDP($B38 &amp; " id cusip",AE$14,"settle_dt=" &amp; $U$13)</f>
        <v>19.162170316699999</v>
      </c>
      <c r="AF38" s="144" cm="1">
        <f t="array" ref="AF38">_xll.BDP($B38 &amp; " id cusip",AF$14,"settle_dt=" &amp; $U$13)</f>
        <v>79.270332014694617</v>
      </c>
      <c r="AG38" s="144" cm="1">
        <f t="array" ref="AG38">_xll.BDP($B38 &amp; " id cusip",AG$14,"settle_dt=" &amp; $U$13)</f>
        <v>41.872359724494082</v>
      </c>
      <c r="AH38" s="144" cm="1">
        <f t="array" ref="AH38">_xll.BDP($B38 &amp; " id cusip",AH$14,"settle_dt=" &amp; $U$13)</f>
        <v>24.879929677267942</v>
      </c>
      <c r="AI38" s="144" cm="1">
        <f t="array" ref="AI38">_xll.BDP($B38 &amp; " id cusip",AI$14,"settle_dt=" &amp; $U$13)</f>
        <v>19.235069761429678</v>
      </c>
      <c r="AJ38" s="144" cm="1">
        <f t="array" ref="AJ38">_xll.BDP($B38 &amp; " id cusip",AJ$14,"settle_dt=" &amp; $U$13)</f>
        <v>3.0342359999999999E-2</v>
      </c>
      <c r="AK38" s="144" t="str" cm="1">
        <f t="array" ref="AK38">_xll.BDP($B38 &amp; " id cusip",AK$14,"settle_dt=" &amp; $U$13)</f>
        <v>3/1/2024</v>
      </c>
      <c r="AL38" s="144" cm="1">
        <f t="array" ref="AL38">_xll.BDP($B38 &amp; " id cusip",AL$14,"settle_dt=" &amp; $U$13)</f>
        <v>3.4663390000000002E-2</v>
      </c>
      <c r="AM38" s="144" cm="1">
        <f t="array" ref="AM38">_xll.BDP($B38 &amp; " id cusip",AM$14,"settle_dt=" &amp; $U$13)</f>
        <v>354</v>
      </c>
      <c r="AN38" s="144" t="str" cm="1">
        <f t="array" ref="AN38">_xll.BDP($B38 &amp; " id cusip",AN$14,"settle_dt=" &amp; $U$13)</f>
        <v>LB</v>
      </c>
      <c r="AO38" s="144" cm="1">
        <f t="array" ref="AO38">_xll.BDP($B38 &amp; " id cusip",AO$14,"settle_dt=" &amp; $U$13)</f>
        <v>117</v>
      </c>
      <c r="AP38" s="144" cm="1">
        <f t="array" ref="AP38">_xll.BDP($B38 &amp; " id cusip",AP$14,"settle_dt=" &amp; $U$13)</f>
        <v>354704</v>
      </c>
      <c r="AQ38" s="144" cm="1">
        <f t="array" ref="AQ38">_xll.BDP($B38 &amp; " id cusip",AQ$14,"settle_dt=" &amp; $U$13)</f>
        <v>626000</v>
      </c>
      <c r="AR38" s="144" cm="1">
        <f t="array" ref="AR38">_xll.BDP($B38 &amp; " id cusip",AR$14,"settle_dt=" &amp; $U$13)</f>
        <v>69</v>
      </c>
      <c r="AS38" s="144" cm="1">
        <f t="array" ref="AS38">_xll.BDP($B38 &amp; " id cusip",AS$14,"settle_dt=" &amp; $U$13)</f>
        <v>716</v>
      </c>
      <c r="AT38" s="144" t="str" cm="1">
        <f t="array" ref="AT38">_xll.BDP($B38 &amp; " id cusip",AT$14,"settle_dt=" &amp; $U$13)</f>
        <v>FANNIE MAE MEGA</v>
      </c>
      <c r="AU38" s="144" t="str" cm="1">
        <f t="array" ref="AU38">_xll.BDP($B38 &amp; " id cusip",AU$14,"settle_dt=" &amp; $U$13)</f>
        <v>CA 61%</v>
      </c>
      <c r="AV38" s="144" t="str" cm="1">
        <f t="array" ref="AV38">_xll.BDP($B38 &amp; " id cusip",AV$14,"settle_dt=" &amp; $U$13)</f>
        <v>MA 7%</v>
      </c>
      <c r="AW38" s="144" t="str" cm="1">
        <f t="array" ref="AW38">_xll.BDP($B38 &amp; " id cusip",AW$14,"settle_dt=" &amp; $U$13)</f>
        <v>VA 6%</v>
      </c>
      <c r="AX38" s="144" cm="1">
        <f t="array" ref="AX38">_xll.BDP($B38 &amp; " id cusip",AX$14,"settle_dt=" &amp; $U$13)</f>
        <v>32.380000000000003</v>
      </c>
      <c r="AY38" s="144" cm="1">
        <f t="array" ref="AY38">_xll.BDP($B38 &amp; " id cusip",AY$14,"settle_dt=" &amp; $U$13)</f>
        <v>0</v>
      </c>
      <c r="AZ38" s="144" cm="1">
        <f t="array" ref="AZ38">_xll.BDP($B38 &amp; " id cusip",AZ$14,"settle_dt=" &amp; $U$13)</f>
        <v>0</v>
      </c>
      <c r="BA38" s="144" cm="1">
        <f t="array" ref="BA38">_xll.BDP($B38 &amp; " id cusip",BA$14,"settle_dt=" &amp; $U$13)</f>
        <v>0</v>
      </c>
      <c r="BB38" s="144" t="str" cm="1">
        <f t="array" ref="BB38">_xll.BDP($B38 &amp; " id cusip",BB$14,"settle_dt=" &amp; $U$13)</f>
        <v>CA 60.8</v>
      </c>
      <c r="BC38" s="144" t="str" cm="1">
        <f t="array" ref="BC38">_xll.BDP($B38 &amp; " id cusip",BC$14,"settle_dt=" &amp; $U$13)</f>
        <v>MA 6.9</v>
      </c>
      <c r="BD38" s="144" t="str" cm="1">
        <f t="array" ref="BD38">_xll.BDP($B38 &amp; " id cusip",BD$14,"settle_dt=" &amp; $U$13)</f>
        <v>VA 6.2</v>
      </c>
      <c r="BE38" s="144" cm="1">
        <f t="array" ref="BE38">_xll.BDP($B38 &amp; " id cusip",BE$14,"settle_dt=" &amp; $U$13)</f>
        <v>69</v>
      </c>
      <c r="BF38" s="144" t="str" cm="1">
        <f t="array" ref="BF38">_xll.BDP($B38 &amp; " id cusip",BF$14,"settle_dt=" &amp; $U$13)</f>
        <v>#N/A Field Not Applicable</v>
      </c>
      <c r="BG38" s="144" cm="1">
        <f t="array" ref="BG38">_xll.BDP($B38 &amp; " id cusip",BG$14,"settle_dt=" &amp; $U$13)</f>
        <v>626000</v>
      </c>
      <c r="BH38" s="144" cm="1">
        <f t="array" ref="BH38">_xll.BDP($B38 &amp; " id cusip",BH$14,"settle_dt=" &amp; $U$13)</f>
        <v>360</v>
      </c>
      <c r="BI38" s="144" t="str" cm="1">
        <f t="array" ref="BI38">_xll.BDP($B38 &amp; " id cusip",BI$14,"settle_dt=" &amp; $U$13)</f>
        <v>Mtge</v>
      </c>
      <c r="BJ38" s="144" cm="1">
        <f t="array" ref="BJ38">_xll.BDP($B38 &amp; " id cusip",BJ$14,"settle_dt=" &amp; $U$13)</f>
        <v>6.4390000000000001</v>
      </c>
      <c r="BK38" s="144" t="str" cm="1">
        <f t="array" ref="BK38">_xll.BDP($B38 &amp; " id cusip",BK$14,"settle_dt=" &amp; $U$13)</f>
        <v>FNARM</v>
      </c>
      <c r="BL38" s="122">
        <f>_xll.BDP($B38 &amp; " mtge","YLD_CNV_BID","SETTLE_DT=" &amp; $U$13,"PX_BID=" &amp; $D38, "MTG_PREPAY_SPEED=" &amp; AD38, "MTG_PREPAY_TYP=CPR")</f>
        <v>6.2670000000000003</v>
      </c>
      <c r="BM38" s="122">
        <f>_xll.BDP($B38 &amp; " mtge","YLD_CNV_BID","SETTLE_DT=" &amp; $U$13,"PX_BID=" &amp; $D38, "MTG_PREPAY_SPEED=" &amp; AE38, "MTG_PREPAY_TYP=CPR")</f>
        <v>6.5759999999999996</v>
      </c>
      <c r="BN38" s="122">
        <f>_xll.BDP($B38 &amp; " mtge","YLD_CNV_BID","SETTLE_DT=" &amp; $U$13,"PX_BID=" &amp; $D38, "MTG_PREPAY_SPEED=" &amp; AF38, "MTG_PREPAY_TYP=CPR")</f>
        <v>3.7679999999999998</v>
      </c>
      <c r="BO38" s="122">
        <f>_xll.BDP($B38 &amp; " mtge","YLD_CNV_BID","SETTLE_DT=" &amp; $U$13,"PX_BID=" &amp; $D38, "MTG_PREPAY_SPEED=" &amp; AG38, "MTG_PREPAY_TYP=CPR")</f>
        <v>5.8360000000000003</v>
      </c>
      <c r="BP38" s="122">
        <f>_xll.BDP($B38 &amp; " mtge","YLD_CNV_BID","SETTLE_DT=" &amp; $U$13,"PX_BID=" &amp; $D38, "MTG_PREPAY_SPEED=" &amp; AH38, "MTG_PREPAY_TYP=CPR")</f>
        <v>6.41</v>
      </c>
      <c r="BQ38" s="122">
        <f>_xll.BDP($B38 &amp; " mtge","YLD_CNV_BID","SETTLE_DT=" &amp; $U$13,"PX_BID=" &amp; $D38, "MTG_PREPAY_SPEED=" &amp; AI38, "MTG_PREPAY_TYP=CPR")</f>
        <v>6.5739999999999998</v>
      </c>
      <c r="BR38" s="122"/>
    </row>
    <row r="39" spans="1:70" x14ac:dyDescent="0.25">
      <c r="A39" s="149"/>
      <c r="B39" s="137" t="s">
        <v>164</v>
      </c>
      <c r="C39" s="137">
        <v>560000</v>
      </c>
      <c r="D39" s="137">
        <v>101.5996208190918</v>
      </c>
      <c r="E39" s="53"/>
      <c r="T39" s="6" t="str">
        <f t="shared" si="2"/>
        <v/>
      </c>
      <c r="U39" s="144" t="str" cm="1">
        <f t="array" ref="U39">_xll.BDP(B39 &amp; " id cusip","id cusip")</f>
        <v>3138ETGD2</v>
      </c>
      <c r="V39" s="144" t="str" cm="1">
        <f t="array" ref="V39">_xll.BDP($B39 &amp; " id cusip",$V$14)</f>
        <v>FN AL8295</v>
      </c>
      <c r="W39" s="144" t="str" cm="1">
        <f t="array" ref="W39">_xll.BDP($B39 &amp; " id cusip",W$14)</f>
        <v>MBS ARM</v>
      </c>
      <c r="X39" s="144" cm="1">
        <f t="array" ref="X39">_xll.BDP($B39 &amp; " id cusip",X$14)</f>
        <v>5.98</v>
      </c>
      <c r="Y39" s="144" cm="1">
        <f t="array" ref="Y39">_xll.BDP($B39 &amp; " id cusip",Y$14)</f>
        <v>6.4909999999999997</v>
      </c>
      <c r="Z39" s="144" cm="1">
        <f t="array" ref="Z39">_xll.BDP($B39 &amp; " id cusip",Z$14)</f>
        <v>188</v>
      </c>
      <c r="AA39" s="144" cm="1">
        <f t="array" ref="AA39">_xll.BDP($B39 &amp; " id cusip",AA$14)</f>
        <v>172</v>
      </c>
      <c r="AB39" s="144" t="str" cm="1">
        <f t="array" ref="AB39">_xll.BDP($B39 &amp; " id cusip",AB$14)</f>
        <v>9/1/2040</v>
      </c>
      <c r="AC39" s="144" cm="1">
        <f t="array" ref="AC39">_xll.BDP($B39 &amp; " id cusip",AC$14,"settle_dt=" &amp; $U$13)</f>
        <v>135</v>
      </c>
      <c r="AD39" s="144" cm="1">
        <f t="array" ref="AD39">_xll.BDP($B39 &amp; " id cusip",AD$14,"settle_dt=" &amp; $U$13)</f>
        <v>21.2</v>
      </c>
      <c r="AE39" s="144" cm="1">
        <f t="array" ref="AE39">_xll.BDP($B39 &amp; " id cusip",AE$14,"settle_dt=" &amp; $U$13)</f>
        <v>31.706916589400002</v>
      </c>
      <c r="AF39" s="144" cm="1">
        <f t="array" ref="AF39">_xll.BDP($B39 &amp; " id cusip",AF$14,"settle_dt=" &amp; $U$13)</f>
        <v>0.56509417788369598</v>
      </c>
      <c r="AG39" s="144" cm="1">
        <f t="array" ref="AG39">_xll.BDP($B39 &amp; " id cusip",AG$14,"settle_dt=" &amp; $U$13)</f>
        <v>3.1613742221717978</v>
      </c>
      <c r="AH39" s="144" cm="1">
        <f t="array" ref="AH39">_xll.BDP($B39 &amp; " id cusip",AH$14,"settle_dt=" &amp; $U$13)</f>
        <v>6.7537892363765062</v>
      </c>
      <c r="AI39" s="144" cm="1">
        <f t="array" ref="AI39">_xll.BDP($B39 &amp; " id cusip",AI$14,"settle_dt=" &amp; $U$13)</f>
        <v>12.013992262330319</v>
      </c>
      <c r="AJ39" s="144" cm="1">
        <f t="array" ref="AJ39">_xll.BDP($B39 &amp; " id cusip",AJ$14,"settle_dt=" &amp; $U$13)</f>
        <v>0.11530430999999999</v>
      </c>
      <c r="AK39" s="144" t="str" cm="1">
        <f t="array" ref="AK39">_xll.BDP($B39 &amp; " id cusip",AK$14,"settle_dt=" &amp; $U$13)</f>
        <v>3/1/2024</v>
      </c>
      <c r="AL39" s="144" cm="1">
        <f t="array" ref="AL39">_xll.BDP($B39 &amp; " id cusip",AL$14,"settle_dt=" &amp; $U$13)</f>
        <v>0.1157127</v>
      </c>
      <c r="AM39" s="144" cm="1">
        <f t="array" ref="AM39">_xll.BDP($B39 &amp; " id cusip",AM$14,"settle_dt=" &amp; $U$13)</f>
        <v>283</v>
      </c>
      <c r="AN39" s="144" t="str" cm="1">
        <f t="array" ref="AN39">_xll.BDP($B39 &amp; " id cusip",AN$14,"settle_dt=" &amp; $U$13)</f>
        <v>LB</v>
      </c>
      <c r="AO39" s="144" cm="1">
        <f t="array" ref="AO39">_xll.BDP($B39 &amp; " id cusip",AO$14,"settle_dt=" &amp; $U$13)</f>
        <v>172</v>
      </c>
      <c r="AP39" s="144" cm="1">
        <f t="array" ref="AP39">_xll.BDP($B39 &amp; " id cusip",AP$14,"settle_dt=" &amp; $U$13)</f>
        <v>298435</v>
      </c>
      <c r="AQ39" s="144" cm="1">
        <f t="array" ref="AQ39">_xll.BDP($B39 &amp; " id cusip",AQ$14,"settle_dt=" &amp; $U$13)</f>
        <v>626000</v>
      </c>
      <c r="AR39" s="144" cm="1">
        <f t="array" ref="AR39">_xll.BDP($B39 &amp; " id cusip",AR$14,"settle_dt=" &amp; $U$13)</f>
        <v>70</v>
      </c>
      <c r="AS39" s="144" cm="1">
        <f t="array" ref="AS39">_xll.BDP($B39 &amp; " id cusip",AS$14,"settle_dt=" &amp; $U$13)</f>
        <v>750</v>
      </c>
      <c r="AT39" s="144" t="str" cm="1">
        <f t="array" ref="AT39">_xll.BDP($B39 &amp; " id cusip",AT$14,"settle_dt=" &amp; $U$13)</f>
        <v>FANNIE MAE MEGA</v>
      </c>
      <c r="AU39" s="144" t="str" cm="1">
        <f t="array" ref="AU39">_xll.BDP($B39 &amp; " id cusip",AU$14,"settle_dt=" &amp; $U$13)</f>
        <v>CA 17%</v>
      </c>
      <c r="AV39" s="144" t="str" cm="1">
        <f t="array" ref="AV39">_xll.BDP($B39 &amp; " id cusip",AV$14,"settle_dt=" &amp; $U$13)</f>
        <v>IL 16%</v>
      </c>
      <c r="AW39" s="144" t="str" cm="1">
        <f t="array" ref="AW39">_xll.BDP($B39 &amp; " id cusip",AW$14,"settle_dt=" &amp; $U$13)</f>
        <v>MD 10%</v>
      </c>
      <c r="AX39" s="144" cm="1">
        <f t="array" ref="AX39">_xll.BDP($B39 &amp; " id cusip",AX$14,"settle_dt=" &amp; $U$13)</f>
        <v>40.839999999999996</v>
      </c>
      <c r="AY39" s="144" cm="1">
        <f t="array" ref="AY39">_xll.BDP($B39 &amp; " id cusip",AY$14,"settle_dt=" &amp; $U$13)</f>
        <v>0.04</v>
      </c>
      <c r="AZ39" s="144" cm="1">
        <f t="array" ref="AZ39">_xll.BDP($B39 &amp; " id cusip",AZ$14,"settle_dt=" &amp; $U$13)</f>
        <v>0</v>
      </c>
      <c r="BA39" s="144" cm="1">
        <f t="array" ref="BA39">_xll.BDP($B39 &amp; " id cusip",BA$14,"settle_dt=" &amp; $U$13)</f>
        <v>2.5499999999999998</v>
      </c>
      <c r="BB39" s="144" t="str" cm="1">
        <f t="array" ref="BB39">_xll.BDP($B39 &amp; " id cusip",BB$14,"settle_dt=" &amp; $U$13)</f>
        <v>CA 17.4</v>
      </c>
      <c r="BC39" s="144" t="str" cm="1">
        <f t="array" ref="BC39">_xll.BDP($B39 &amp; " id cusip",BC$14,"settle_dt=" &amp; $U$13)</f>
        <v>IL 16.1</v>
      </c>
      <c r="BD39" s="144" t="str" cm="1">
        <f t="array" ref="BD39">_xll.BDP($B39 &amp; " id cusip",BD$14,"settle_dt=" &amp; $U$13)</f>
        <v>MD 9.7</v>
      </c>
      <c r="BE39" s="144" cm="1">
        <f t="array" ref="BE39">_xll.BDP($B39 &amp; " id cusip",BE$14,"settle_dt=" &amp; $U$13)</f>
        <v>70</v>
      </c>
      <c r="BF39" s="144" t="str" cm="1">
        <f t="array" ref="BF39">_xll.BDP($B39 &amp; " id cusip",BF$14,"settle_dt=" &amp; $U$13)</f>
        <v>#N/A Field Not Applicable</v>
      </c>
      <c r="BG39" s="144" cm="1">
        <f t="array" ref="BG39">_xll.BDP($B39 &amp; " id cusip",BG$14,"settle_dt=" &amp; $U$13)</f>
        <v>626000</v>
      </c>
      <c r="BH39" s="144" cm="1">
        <f t="array" ref="BH39">_xll.BDP($B39 &amp; " id cusip",BH$14,"settle_dt=" &amp; $U$13)</f>
        <v>360</v>
      </c>
      <c r="BI39" s="144" t="str" cm="1">
        <f t="array" ref="BI39">_xll.BDP($B39 &amp; " id cusip",BI$14,"settle_dt=" &amp; $U$13)</f>
        <v>Mtge</v>
      </c>
      <c r="BJ39" s="144" cm="1">
        <f t="array" ref="BJ39">_xll.BDP($B39 &amp; " id cusip",BJ$14,"settle_dt=" &amp; $U$13)</f>
        <v>6.968</v>
      </c>
      <c r="BK39" s="144" t="str" cm="1">
        <f t="array" ref="BK39">_xll.BDP($B39 &amp; " id cusip",BK$14,"settle_dt=" &amp; $U$13)</f>
        <v>FNARM</v>
      </c>
      <c r="BL39" s="122">
        <f>_xll.BDP($B39 &amp; " mtge","YLD_CNV_BID","SETTLE_DT=" &amp; $U$13,"PX_BID=" &amp; $D39, "MTG_PREPAY_SPEED=" &amp; AD39, "MTG_PREPAY_TYP=CPR")</f>
        <v>6.5529999999999999</v>
      </c>
      <c r="BM39" s="122">
        <f>_xll.BDP($B39 &amp; " mtge","YLD_CNV_BID","SETTLE_DT=" &amp; $U$13,"PX_BID=" &amp; $D39, "MTG_PREPAY_SPEED=" &amp; AE39, "MTG_PREPAY_TYP=CPR")</f>
        <v>6.2009999999999996</v>
      </c>
      <c r="BN39" s="122">
        <f>_xll.BDP($B39 &amp; " mtge","YLD_CNV_BID","SETTLE_DT=" &amp; $U$13,"PX_BID=" &amp; $D39, "MTG_PREPAY_SPEED=" &amp; AF39, "MTG_PREPAY_TYP=CPR")</f>
        <v>7.093</v>
      </c>
      <c r="BO39" s="122">
        <f>_xll.BDP($B39 &amp; " mtge","YLD_CNV_BID","SETTLE_DT=" &amp; $U$13,"PX_BID=" &amp; $D39, "MTG_PREPAY_SPEED=" &amp; AG39, "MTG_PREPAY_TYP=CPR")</f>
        <v>7.0369999999999999</v>
      </c>
      <c r="BP39" s="122">
        <f>_xll.BDP($B39 &amp; " mtge","YLD_CNV_BID","SETTLE_DT=" &amp; $U$13,"PX_BID=" &amp; $D39, "MTG_PREPAY_SPEED=" &amp; AH39, "MTG_PREPAY_TYP=CPR")</f>
        <v>6.9539999999999997</v>
      </c>
      <c r="BQ39" s="122">
        <f>_xll.BDP($B39 &amp; " mtge","YLD_CNV_BID","SETTLE_DT=" &amp; $U$13,"PX_BID=" &amp; $D39, "MTG_PREPAY_SPEED=" &amp; AI39, "MTG_PREPAY_TYP=CPR")</f>
        <v>6.819</v>
      </c>
      <c r="BR39" s="122"/>
    </row>
    <row r="40" spans="1:70" x14ac:dyDescent="0.25">
      <c r="A40" s="149"/>
      <c r="B40" s="137" t="s">
        <v>165</v>
      </c>
      <c r="C40" s="137">
        <v>1750000</v>
      </c>
      <c r="D40" s="137">
        <v>100.94180297851563</v>
      </c>
      <c r="E40" s="53"/>
      <c r="T40" s="6" t="str">
        <f t="shared" si="2"/>
        <v/>
      </c>
      <c r="U40" s="144" t="str" cm="1">
        <f t="array" ref="U40">_xll.BDP(B40 &amp; " id cusip","id cusip")</f>
        <v>3138EPCM4</v>
      </c>
      <c r="V40" s="144" t="str" cm="1">
        <f t="array" ref="V40">_xll.BDP($B40 &amp; " id cusip",$V$14)</f>
        <v>FN AL6375</v>
      </c>
      <c r="W40" s="144" t="str" cm="1">
        <f t="array" ref="W40">_xll.BDP($B40 &amp; " id cusip",W$14)</f>
        <v>MBS ARM</v>
      </c>
      <c r="X40" s="144" cm="1">
        <f t="array" ref="X40">_xll.BDP($B40 &amp; " id cusip",X$14)</f>
        <v>5.8079999999999998</v>
      </c>
      <c r="Y40" s="144" cm="1">
        <f t="array" ref="Y40">_xll.BDP($B40 &amp; " id cusip",Y$14)</f>
        <v>6.5659999999999998</v>
      </c>
      <c r="Z40" s="144" cm="1">
        <f t="array" ref="Z40">_xll.BDP($B40 &amp; " id cusip",Z$14)</f>
        <v>231</v>
      </c>
      <c r="AA40" s="144" cm="1">
        <f t="array" ref="AA40">_xll.BDP($B40 &amp; " id cusip",AA$14)</f>
        <v>129</v>
      </c>
      <c r="AB40" s="144" t="str" cm="1">
        <f t="array" ref="AB40">_xll.BDP($B40 &amp; " id cusip",AB$14)</f>
        <v>12/1/2043</v>
      </c>
      <c r="AC40" s="144" cm="1">
        <f t="array" ref="AC40">_xll.BDP($B40 &amp; " id cusip",AC$14,"settle_dt=" &amp; $U$13)</f>
        <v>51</v>
      </c>
      <c r="AD40" s="144" cm="1">
        <f t="array" ref="AD40">_xll.BDP($B40 &amp; " id cusip",AD$14,"settle_dt=" &amp; $U$13)</f>
        <v>29.5</v>
      </c>
      <c r="AE40" s="144" cm="1">
        <f t="array" ref="AE40">_xll.BDP($B40 &amp; " id cusip",AE$14,"settle_dt=" &amp; $U$13)</f>
        <v>19.162170316699999</v>
      </c>
      <c r="AF40" s="144" cm="1">
        <f t="array" ref="AF40">_xll.BDP($B40 &amp; " id cusip",AF$14,"settle_dt=" &amp; $U$13)</f>
        <v>0.72484219389715721</v>
      </c>
      <c r="AG40" s="144" cm="1">
        <f t="array" ref="AG40">_xll.BDP($B40 &amp; " id cusip",AG$14,"settle_dt=" &amp; $U$13)</f>
        <v>2.2118674064129595</v>
      </c>
      <c r="AH40" s="144" cm="1">
        <f t="array" ref="AH40">_xll.BDP($B40 &amp; " id cusip",AH$14,"settle_dt=" &amp; $U$13)</f>
        <v>1.6158312572536304</v>
      </c>
      <c r="AI40" s="144" cm="1">
        <f t="array" ref="AI40">_xll.BDP($B40 &amp; " id cusip",AI$14,"settle_dt=" &amp; $U$13)</f>
        <v>7.5302506175981438</v>
      </c>
      <c r="AJ40" s="144" cm="1">
        <f t="array" ref="AJ40">_xll.BDP($B40 &amp; " id cusip",AJ$14,"settle_dt=" &amp; $U$13)</f>
        <v>3.1655330000000002E-2</v>
      </c>
      <c r="AK40" s="144" t="str" cm="1">
        <f t="array" ref="AK40">_xll.BDP($B40 &amp; " id cusip",AK$14,"settle_dt=" &amp; $U$13)</f>
        <v>3/1/2024</v>
      </c>
      <c r="AL40" s="144" cm="1">
        <f t="array" ref="AL40">_xll.BDP($B40 &amp; " id cusip",AL$14,"settle_dt=" &amp; $U$13)</f>
        <v>3.1743269999999997E-2</v>
      </c>
      <c r="AM40" s="144" cm="1">
        <f t="array" ref="AM40">_xll.BDP($B40 &amp; " id cusip",AM$14,"settle_dt=" &amp; $U$13)</f>
        <v>338</v>
      </c>
      <c r="AN40" s="144" t="str" cm="1">
        <f t="array" ref="AN40">_xll.BDP($B40 &amp; " id cusip",AN$14,"settle_dt=" &amp; $U$13)</f>
        <v>LB</v>
      </c>
      <c r="AO40" s="144" cm="1">
        <f t="array" ref="AO40">_xll.BDP($B40 &amp; " id cusip",AO$14,"settle_dt=" &amp; $U$13)</f>
        <v>129</v>
      </c>
      <c r="AP40" s="144" cm="1">
        <f t="array" ref="AP40">_xll.BDP($B40 &amp; " id cusip",AP$14,"settle_dt=" &amp; $U$13)</f>
        <v>250527</v>
      </c>
      <c r="AQ40" s="144" cm="1">
        <f t="array" ref="AQ40">_xll.BDP($B40 &amp; " id cusip",AQ$14,"settle_dt=" &amp; $U$13)</f>
        <v>624000</v>
      </c>
      <c r="AR40" s="144" cm="1">
        <f t="array" ref="AR40">_xll.BDP($B40 &amp; " id cusip",AR$14,"settle_dt=" &amp; $U$13)</f>
        <v>65</v>
      </c>
      <c r="AS40" s="144" cm="1">
        <f t="array" ref="AS40">_xll.BDP($B40 &amp; " id cusip",AS$14,"settle_dt=" &amp; $U$13)</f>
        <v>773</v>
      </c>
      <c r="AT40" s="144" t="str" cm="1">
        <f t="array" ref="AT40">_xll.BDP($B40 &amp; " id cusip",AT$14,"settle_dt=" &amp; $U$13)</f>
        <v>FANNIE MAE MEGA</v>
      </c>
      <c r="AU40" s="144" t="str" cm="1">
        <f t="array" ref="AU40">_xll.BDP($B40 &amp; " id cusip",AU$14,"settle_dt=" &amp; $U$13)</f>
        <v>MD 28%</v>
      </c>
      <c r="AV40" s="144" t="str" cm="1">
        <f t="array" ref="AV40">_xll.BDP($B40 &amp; " id cusip",AV$14,"settle_dt=" &amp; $U$13)</f>
        <v>CA 12%</v>
      </c>
      <c r="AW40" s="144" t="str" cm="1">
        <f t="array" ref="AW40">_xll.BDP($B40 &amp; " id cusip",AW$14,"settle_dt=" &amp; $U$13)</f>
        <v>NC 11%</v>
      </c>
      <c r="AX40" s="144" cm="1">
        <f t="array" ref="AX40">_xll.BDP($B40 &amp; " id cusip",AX$14,"settle_dt=" &amp; $U$13)</f>
        <v>33.72</v>
      </c>
      <c r="AY40" s="144" cm="1">
        <f t="array" ref="AY40">_xll.BDP($B40 &amp; " id cusip",AY$14,"settle_dt=" &amp; $U$13)</f>
        <v>0</v>
      </c>
      <c r="AZ40" s="144" cm="1">
        <f t="array" ref="AZ40">_xll.BDP($B40 &amp; " id cusip",AZ$14,"settle_dt=" &amp; $U$13)</f>
        <v>0</v>
      </c>
      <c r="BA40" s="144" cm="1">
        <f t="array" ref="BA40">_xll.BDP($B40 &amp; " id cusip",BA$14,"settle_dt=" &amp; $U$13)</f>
        <v>0</v>
      </c>
      <c r="BB40" s="144" t="str" cm="1">
        <f t="array" ref="BB40">_xll.BDP($B40 &amp; " id cusip",BB$14,"settle_dt=" &amp; $U$13)</f>
        <v>MD 28.0</v>
      </c>
      <c r="BC40" s="144" t="str" cm="1">
        <f t="array" ref="BC40">_xll.BDP($B40 &amp; " id cusip",BC$14,"settle_dt=" &amp; $U$13)</f>
        <v>CA 11.8</v>
      </c>
      <c r="BD40" s="144" t="str" cm="1">
        <f t="array" ref="BD40">_xll.BDP($B40 &amp; " id cusip",BD$14,"settle_dt=" &amp; $U$13)</f>
        <v>NC 11.3</v>
      </c>
      <c r="BE40" s="144" cm="1">
        <f t="array" ref="BE40">_xll.BDP($B40 &amp; " id cusip",BE$14,"settle_dt=" &amp; $U$13)</f>
        <v>65</v>
      </c>
      <c r="BF40" s="144" t="str" cm="1">
        <f t="array" ref="BF40">_xll.BDP($B40 &amp; " id cusip",BF$14,"settle_dt=" &amp; $U$13)</f>
        <v>#N/A Field Not Applicable</v>
      </c>
      <c r="BG40" s="144" cm="1">
        <f t="array" ref="BG40">_xll.BDP($B40 &amp; " id cusip",BG$14,"settle_dt=" &amp; $U$13)</f>
        <v>624000</v>
      </c>
      <c r="BH40" s="144" cm="1">
        <f t="array" ref="BH40">_xll.BDP($B40 &amp; " id cusip",BH$14,"settle_dt=" &amp; $U$13)</f>
        <v>360</v>
      </c>
      <c r="BI40" s="144" t="str" cm="1">
        <f t="array" ref="BI40">_xll.BDP($B40 &amp; " id cusip",BI$14,"settle_dt=" &amp; $U$13)</f>
        <v>Mtge</v>
      </c>
      <c r="BJ40" s="144" cm="1">
        <f t="array" ref="BJ40">_xll.BDP($B40 &amp; " id cusip",BJ$14,"settle_dt=" &amp; $U$13)</f>
        <v>7.0060000000000002</v>
      </c>
      <c r="BK40" s="144" t="str" cm="1">
        <f t="array" ref="BK40">_xll.BDP($B40 &amp; " id cusip",BK$14,"settle_dt=" &amp; $U$13)</f>
        <v>FNARM</v>
      </c>
      <c r="BL40" s="122">
        <f>_xll.BDP($B40 &amp; " mtge","YLD_CNV_BID","SETTLE_DT=" &amp; $U$13,"PX_BID=" &amp; $D40, "MTG_PREPAY_SPEED=" &amp; AD40, "MTG_PREPAY_TYP=CPR")</f>
        <v>6.3890000000000002</v>
      </c>
      <c r="BM40" s="122">
        <f>_xll.BDP($B40 &amp; " mtge","YLD_CNV_BID","SETTLE_DT=" &amp; $U$13,"PX_BID=" &amp; $D40, "MTG_PREPAY_SPEED=" &amp; AE40, "MTG_PREPAY_TYP=CPR")</f>
        <v>6.6429999999999998</v>
      </c>
      <c r="BN40" s="122">
        <f>_xll.BDP($B40 &amp; " mtge","YLD_CNV_BID","SETTLE_DT=" &amp; $U$13,"PX_BID=" &amp; $D40, "MTG_PREPAY_SPEED=" &amp; AF40, "MTG_PREPAY_TYP=CPR")</f>
        <v>7.01</v>
      </c>
      <c r="BO40" s="122">
        <f>_xll.BDP($B40 &amp; " mtge","YLD_CNV_BID","SETTLE_DT=" &amp; $U$13,"PX_BID=" &amp; $D40, "MTG_PREPAY_SPEED=" &amp; AG40, "MTG_PREPAY_TYP=CPR")</f>
        <v>6.9850000000000003</v>
      </c>
      <c r="BP40" s="122">
        <f>_xll.BDP($B40 &amp; " mtge","YLD_CNV_BID","SETTLE_DT=" &amp; $U$13,"PX_BID=" &amp; $D40, "MTG_PREPAY_SPEED=" &amp; AH40, "MTG_PREPAY_TYP=CPR")</f>
        <v>6.9950000000000001</v>
      </c>
      <c r="BQ40" s="122">
        <f>_xll.BDP($B40 &amp; " mtge","YLD_CNV_BID","SETTLE_DT=" &amp; $U$13,"PX_BID=" &amp; $D40, "MTG_PREPAY_SPEED=" &amp; AI40, "MTG_PREPAY_TYP=CPR")</f>
        <v>6.89</v>
      </c>
      <c r="BR40" s="122"/>
    </row>
    <row r="41" spans="1:70" x14ac:dyDescent="0.25">
      <c r="A41" s="149"/>
      <c r="B41" s="137" t="s">
        <v>166</v>
      </c>
      <c r="C41" s="137">
        <v>1700000</v>
      </c>
      <c r="D41" s="137">
        <v>101.08776473999023</v>
      </c>
      <c r="E41" s="53"/>
      <c r="T41" s="6" t="str">
        <f t="shared" si="2"/>
        <v/>
      </c>
      <c r="U41" s="144" t="str" cm="1">
        <f t="array" ref="U41">_xll.BDP(B41 &amp; " id cusip","id cusip")</f>
        <v>3140J5F61</v>
      </c>
      <c r="V41" s="144" t="str" cm="1">
        <f t="array" ref="V41">_xll.BDP($B41 &amp; " id cusip",$V$14)</f>
        <v>FN BM1088</v>
      </c>
      <c r="W41" s="144" t="str" cm="1">
        <f t="array" ref="W41">_xll.BDP($B41 &amp; " id cusip",W$14)</f>
        <v>MBS ARM</v>
      </c>
      <c r="X41" s="144" cm="1">
        <f t="array" ref="X41">_xll.BDP($B41 &amp; " id cusip",X$14)</f>
        <v>5.7910000000000004</v>
      </c>
      <c r="Y41" s="144" cm="1">
        <f t="array" ref="Y41">_xll.BDP($B41 &amp; " id cusip",Y$14)</f>
        <v>6.5149999999999997</v>
      </c>
      <c r="Z41" s="144" cm="1">
        <f t="array" ref="Z41">_xll.BDP($B41 &amp; " id cusip",Z$14)</f>
        <v>243</v>
      </c>
      <c r="AA41" s="144" cm="1">
        <f t="array" ref="AA41">_xll.BDP($B41 &amp; " id cusip",AA$14)</f>
        <v>117</v>
      </c>
      <c r="AB41" s="144" t="str" cm="1">
        <f t="array" ref="AB41">_xll.BDP($B41 &amp; " id cusip",AB$14)</f>
        <v>4/1/2046</v>
      </c>
      <c r="AC41" s="144" cm="1">
        <f t="array" ref="AC41">_xll.BDP($B41 &amp; " id cusip",AC$14,"settle_dt=" &amp; $U$13)</f>
        <v>64</v>
      </c>
      <c r="AD41" s="144" cm="1">
        <f t="array" ref="AD41">_xll.BDP($B41 &amp; " id cusip",AD$14,"settle_dt=" &amp; $U$13)</f>
        <v>37.270000000000003</v>
      </c>
      <c r="AE41" s="144" cm="1">
        <f t="array" ref="AE41">_xll.BDP($B41 &amp; " id cusip",AE$14,"settle_dt=" &amp; $U$13)</f>
        <v>19.162170316699999</v>
      </c>
      <c r="AF41" s="144" cm="1">
        <f t="array" ref="AF41">_xll.BDP($B41 &amp; " id cusip",AF$14,"settle_dt=" &amp; $U$13)</f>
        <v>1.2856420417953207</v>
      </c>
      <c r="AG41" s="144" cm="1">
        <f t="array" ref="AG41">_xll.BDP($B41 &amp; " id cusip",AG$14,"settle_dt=" &amp; $U$13)</f>
        <v>1.2512459134627618</v>
      </c>
      <c r="AH41" s="144" cm="1">
        <f t="array" ref="AH41">_xll.BDP($B41 &amp; " id cusip",AH$14,"settle_dt=" &amp; $U$13)</f>
        <v>2.7589985083889546</v>
      </c>
      <c r="AI41" s="144" cm="1">
        <f t="array" ref="AI41">_xll.BDP($B41 &amp; " id cusip",AI$14,"settle_dt=" &amp; $U$13)</f>
        <v>30.447421179829359</v>
      </c>
      <c r="AJ41" s="144" cm="1">
        <f t="array" ref="AJ41">_xll.BDP($B41 &amp; " id cusip",AJ$14,"settle_dt=" &amp; $U$13)</f>
        <v>3.1629089999999999E-2</v>
      </c>
      <c r="AK41" s="144" t="str" cm="1">
        <f t="array" ref="AK41">_xll.BDP($B41 &amp; " id cusip",AK$14,"settle_dt=" &amp; $U$13)</f>
        <v>3/1/2024</v>
      </c>
      <c r="AL41" s="144" cm="1">
        <f t="array" ref="AL41">_xll.BDP($B41 &amp; " id cusip",AL$14,"settle_dt=" &amp; $U$13)</f>
        <v>3.1725910000000003E-2</v>
      </c>
      <c r="AM41" s="144" cm="1">
        <f t="array" ref="AM41">_xll.BDP($B41 &amp; " id cusip",AM$14,"settle_dt=" &amp; $U$13)</f>
        <v>325</v>
      </c>
      <c r="AN41" s="144" t="str" cm="1">
        <f t="array" ref="AN41">_xll.BDP($B41 &amp; " id cusip",AN$14,"settle_dt=" &amp; $U$13)</f>
        <v>LB</v>
      </c>
      <c r="AO41" s="144" cm="1">
        <f t="array" ref="AO41">_xll.BDP($B41 &amp; " id cusip",AO$14,"settle_dt=" &amp; $U$13)</f>
        <v>117</v>
      </c>
      <c r="AP41" s="144" cm="1">
        <f t="array" ref="AP41">_xll.BDP($B41 &amp; " id cusip",AP$14,"settle_dt=" &amp; $U$13)</f>
        <v>186316</v>
      </c>
      <c r="AQ41" s="144" cm="1">
        <f t="array" ref="AQ41">_xll.BDP($B41 &amp; " id cusip",AQ$14,"settle_dt=" &amp; $U$13)</f>
        <v>618000</v>
      </c>
      <c r="AR41" s="144" cm="1">
        <f t="array" ref="AR41">_xll.BDP($B41 &amp; " id cusip",AR$14,"settle_dt=" &amp; $U$13)</f>
        <v>49</v>
      </c>
      <c r="AS41" s="144" cm="1">
        <f t="array" ref="AS41">_xll.BDP($B41 &amp; " id cusip",AS$14,"settle_dt=" &amp; $U$13)</f>
        <v>771</v>
      </c>
      <c r="AT41" s="144" t="str" cm="1">
        <f t="array" ref="AT41">_xll.BDP($B41 &amp; " id cusip",AT$14,"settle_dt=" &amp; $U$13)</f>
        <v>FANNIE MAE MEGA</v>
      </c>
      <c r="AU41" s="144" t="str" cm="1">
        <f t="array" ref="AU41">_xll.BDP($B41 &amp; " id cusip",AU$14,"settle_dt=" &amp; $U$13)</f>
        <v>CA 35%</v>
      </c>
      <c r="AV41" s="144" t="str" cm="1">
        <f t="array" ref="AV41">_xll.BDP($B41 &amp; " id cusip",AV$14,"settle_dt=" &amp; $U$13)</f>
        <v>IL 23%</v>
      </c>
      <c r="AW41" s="144" t="str" cm="1">
        <f t="array" ref="AW41">_xll.BDP($B41 &amp; " id cusip",AW$14,"settle_dt=" &amp; $U$13)</f>
        <v>OH 12%</v>
      </c>
      <c r="AX41" s="144" cm="1">
        <f t="array" ref="AX41">_xll.BDP($B41 &amp; " id cusip",AX$14,"settle_dt=" &amp; $U$13)</f>
        <v>70.53</v>
      </c>
      <c r="AY41" s="144" cm="1">
        <f t="array" ref="AY41">_xll.BDP($B41 &amp; " id cusip",AY$14,"settle_dt=" &amp; $U$13)</f>
        <v>0</v>
      </c>
      <c r="AZ41" s="144" cm="1">
        <f t="array" ref="AZ41">_xll.BDP($B41 &amp; " id cusip",AZ$14,"settle_dt=" &amp; $U$13)</f>
        <v>0</v>
      </c>
      <c r="BA41" s="144" cm="1">
        <f t="array" ref="BA41">_xll.BDP($B41 &amp; " id cusip",BA$14,"settle_dt=" &amp; $U$13)</f>
        <v>0</v>
      </c>
      <c r="BB41" s="144" t="str" cm="1">
        <f t="array" ref="BB41">_xll.BDP($B41 &amp; " id cusip",BB$14,"settle_dt=" &amp; $U$13)</f>
        <v>CA 35.0</v>
      </c>
      <c r="BC41" s="144" t="str" cm="1">
        <f t="array" ref="BC41">_xll.BDP($B41 &amp; " id cusip",BC$14,"settle_dt=" &amp; $U$13)</f>
        <v>IL 22.6</v>
      </c>
      <c r="BD41" s="144" t="str" cm="1">
        <f t="array" ref="BD41">_xll.BDP($B41 &amp; " id cusip",BD$14,"settle_dt=" &amp; $U$13)</f>
        <v>OH 11.5</v>
      </c>
      <c r="BE41" s="144" cm="1">
        <f t="array" ref="BE41">_xll.BDP($B41 &amp; " id cusip",BE$14,"settle_dt=" &amp; $U$13)</f>
        <v>49</v>
      </c>
      <c r="BF41" s="144" t="str" cm="1">
        <f t="array" ref="BF41">_xll.BDP($B41 &amp; " id cusip",BF$14,"settle_dt=" &amp; $U$13)</f>
        <v>#N/A Field Not Applicable</v>
      </c>
      <c r="BG41" s="144" cm="1">
        <f t="array" ref="BG41">_xll.BDP($B41 &amp; " id cusip",BG$14,"settle_dt=" &amp; $U$13)</f>
        <v>618000</v>
      </c>
      <c r="BH41" s="144" cm="1">
        <f t="array" ref="BH41">_xll.BDP($B41 &amp; " id cusip",BH$14,"settle_dt=" &amp; $U$13)</f>
        <v>360</v>
      </c>
      <c r="BI41" s="144" t="str" cm="1">
        <f t="array" ref="BI41">_xll.BDP($B41 &amp; " id cusip",BI$14,"settle_dt=" &amp; $U$13)</f>
        <v>Mtge</v>
      </c>
      <c r="BJ41" s="144" cm="1">
        <f t="array" ref="BJ41">_xll.BDP($B41 &amp; " id cusip",BJ$14,"settle_dt=" &amp; $U$13)</f>
        <v>6.9829999999999997</v>
      </c>
      <c r="BK41" s="144" t="str" cm="1">
        <f t="array" ref="BK41">_xll.BDP($B41 &amp; " id cusip",BK$14,"settle_dt=" &amp; $U$13)</f>
        <v>FNARM</v>
      </c>
      <c r="BL41" s="122">
        <f>_xll.BDP($B41 &amp; " mtge","YLD_CNV_BID","SETTLE_DT=" &amp; $U$13,"PX_BID=" &amp; $D41, "MTG_PREPAY_SPEED=" &amp; AD41, "MTG_PREPAY_TYP=CPR")</f>
        <v>6.149</v>
      </c>
      <c r="BM41" s="122">
        <f>_xll.BDP($B41 &amp; " mtge","YLD_CNV_BID","SETTLE_DT=" &amp; $U$13,"PX_BID=" &amp; $D41, "MTG_PREPAY_SPEED=" &amp; AE41, "MTG_PREPAY_TYP=CPR")</f>
        <v>6.63</v>
      </c>
      <c r="BN41" s="122">
        <f>_xll.BDP($B41 &amp; " mtge","YLD_CNV_BID","SETTLE_DT=" &amp; $U$13,"PX_BID=" &amp; $D41, "MTG_PREPAY_SPEED=" &amp; AF41, "MTG_PREPAY_TYP=CPR")</f>
        <v>6.9960000000000004</v>
      </c>
      <c r="BO41" s="122">
        <f>_xll.BDP($B41 &amp; " mtge","YLD_CNV_BID","SETTLE_DT=" &amp; $U$13,"PX_BID=" &amp; $D41, "MTG_PREPAY_SPEED=" &amp; AG41, "MTG_PREPAY_TYP=CPR")</f>
        <v>6.9969999999999999</v>
      </c>
      <c r="BP41" s="122">
        <f>_xll.BDP($B41 &amp; " mtge","YLD_CNV_BID","SETTLE_DT=" &amp; $U$13,"PX_BID=" &amp; $D41, "MTG_PREPAY_SPEED=" &amp; AH41, "MTG_PREPAY_TYP=CPR")</f>
        <v>6.9710000000000001</v>
      </c>
      <c r="BQ41" s="122">
        <f>_xll.BDP($B41 &amp; " mtge","YLD_CNV_BID","SETTLE_DT=" &amp; $U$13,"PX_BID=" &amp; $D41, "MTG_PREPAY_SPEED=" &amp; AI41, "MTG_PREPAY_TYP=CPR")</f>
        <v>6.343</v>
      </c>
      <c r="BR41" s="122"/>
    </row>
    <row r="42" spans="1:70" x14ac:dyDescent="0.25">
      <c r="A42" s="149"/>
      <c r="B42" s="137" t="s">
        <v>167</v>
      </c>
      <c r="C42" s="137">
        <v>12045629</v>
      </c>
      <c r="D42" s="137">
        <v>100.57480621337891</v>
      </c>
      <c r="E42" s="53"/>
      <c r="T42" s="6" t="str">
        <f t="shared" si="2"/>
        <v/>
      </c>
      <c r="U42" s="144" t="str" cm="1">
        <f t="array" ref="U42">_xll.BDP(B42 &amp; " id cusip","id cusip")</f>
        <v>31415AZY0</v>
      </c>
      <c r="V42" s="144" t="str" cm="1">
        <f t="array" ref="V42">_xll.BDP($B42 &amp; " id cusip",$V$14)</f>
        <v>FN 981459</v>
      </c>
      <c r="W42" s="144" t="str" cm="1">
        <f t="array" ref="W42">_xll.BDP($B42 &amp; " id cusip",W$14)</f>
        <v>MBS ARM</v>
      </c>
      <c r="X42" s="144" cm="1">
        <f t="array" ref="X42">_xll.BDP($B42 &amp; " id cusip",X$14)</f>
        <v>6.08</v>
      </c>
      <c r="Y42" s="144" cm="1">
        <f t="array" ref="Y42">_xll.BDP($B42 &amp; " id cusip",Y$14)</f>
        <v>6.5</v>
      </c>
      <c r="Z42" s="144" cm="1">
        <f t="array" ref="Z42">_xll.BDP($B42 &amp; " id cusip",Z$14)</f>
        <v>174</v>
      </c>
      <c r="AA42" s="144" cm="1">
        <f t="array" ref="AA42">_xll.BDP($B42 &amp; " id cusip",AA$14)</f>
        <v>186</v>
      </c>
      <c r="AB42" s="144" t="str" cm="1">
        <f t="array" ref="AB42">_xll.BDP($B42 &amp; " id cusip",AB$14)</f>
        <v>9/1/2038</v>
      </c>
      <c r="AC42" s="144" cm="1">
        <f t="array" ref="AC42">_xll.BDP($B42 &amp; " id cusip",AC$14,"settle_dt=" &amp; $U$13)</f>
        <v>1</v>
      </c>
      <c r="AD42" s="144" cm="1">
        <f t="array" ref="AD42">_xll.BDP($B42 &amp; " id cusip",AD$14,"settle_dt=" &amp; $U$13)</f>
        <v>30.16</v>
      </c>
      <c r="AE42" s="144" cm="1">
        <f t="array" ref="AE42">_xll.BDP($B42 &amp; " id cusip",AE$14,"settle_dt=" &amp; $U$13)</f>
        <v>11.762373414500001</v>
      </c>
      <c r="AF42" s="144" cm="1">
        <f t="array" ref="AF42">_xll.BDP($B42 &amp; " id cusip",AF$14,"settle_dt=" &amp; $U$13)</f>
        <v>91.365097260925921</v>
      </c>
      <c r="AG42" s="144" cm="1">
        <f t="array" ref="AG42">_xll.BDP($B42 &amp; " id cusip",AG$14,"settle_dt=" &amp; $U$13)</f>
        <v>91.206230649502686</v>
      </c>
      <c r="AH42" s="144" cm="1">
        <f t="array" ref="AH42">_xll.BDP($B42 &amp; " id cusip",AH$14,"settle_dt=" &amp; $U$13)</f>
        <v>95.486833804331823</v>
      </c>
      <c r="AI42" s="144" cm="1">
        <f t="array" ref="AI42">_xll.BDP($B42 &amp; " id cusip",AI$14,"settle_dt=" &amp; $U$13)</f>
        <v>80.298313051407291</v>
      </c>
      <c r="AJ42" s="144" cm="1">
        <f t="array" ref="AJ42">_xll.BDP($B42 &amp; " id cusip",AJ$14,"settle_dt=" &amp; $U$13)</f>
        <v>2.4484900000000002E-3</v>
      </c>
      <c r="AK42" s="144" t="str" cm="1">
        <f t="array" ref="AK42">_xll.BDP($B42 &amp; " id cusip",AK$14,"settle_dt=" &amp; $U$13)</f>
        <v>3/1/2024</v>
      </c>
      <c r="AL42" s="144" cm="1">
        <f t="array" ref="AL42">_xll.BDP($B42 &amp; " id cusip",AL$14,"settle_dt=" &amp; $U$13)</f>
        <v>3.0132900000000001E-3</v>
      </c>
      <c r="AM42" s="144" cm="1">
        <f t="array" ref="AM42">_xll.BDP($B42 &amp; " id cusip",AM$14,"settle_dt=" &amp; $U$13)</f>
        <v>359</v>
      </c>
      <c r="AN42" s="144" t="str" cm="1">
        <f t="array" ref="AN42">_xll.BDP($B42 &amp; " id cusip",AN$14,"settle_dt=" &amp; $U$13)</f>
        <v>LB</v>
      </c>
      <c r="AO42" s="144" cm="1">
        <f t="array" ref="AO42">_xll.BDP($B42 &amp; " id cusip",AO$14,"settle_dt=" &amp; $U$13)</f>
        <v>186</v>
      </c>
      <c r="AP42" s="144" cm="1">
        <f t="array" ref="AP42">_xll.BDP($B42 &amp; " id cusip",AP$14,"settle_dt=" &amp; $U$13)</f>
        <v>417000</v>
      </c>
      <c r="AQ42" s="144" cm="1">
        <f t="array" ref="AQ42">_xll.BDP($B42 &amp; " id cusip",AQ$14,"settle_dt=" &amp; $U$13)</f>
        <v>417000</v>
      </c>
      <c r="AR42" s="144" cm="1">
        <f t="array" ref="AR42">_xll.BDP($B42 &amp; " id cusip",AR$14,"settle_dt=" &amp; $U$13)</f>
        <v>70</v>
      </c>
      <c r="AS42" s="144" cm="1">
        <f t="array" ref="AS42">_xll.BDP($B42 &amp; " id cusip",AS$14,"settle_dt=" &amp; $U$13)</f>
        <v>723</v>
      </c>
      <c r="AT42" s="144" t="str" cm="1">
        <f t="array" ref="AT42">_xll.BDP($B42 &amp; " id cusip",AT$14,"settle_dt=" &amp; $U$13)</f>
        <v>SUNTRUST MORTGAGE INC.</v>
      </c>
      <c r="AU42" s="144" t="str" cm="1">
        <f t="array" ref="AU42">_xll.BDP($B42 &amp; " id cusip",AU$14,"settle_dt=" &amp; $U$13)</f>
        <v>CT 100%</v>
      </c>
      <c r="AV42" s="144" t="str" cm="1">
        <f t="array" ref="AV42">_xll.BDP($B42 &amp; " id cusip",AV$14,"settle_dt=" &amp; $U$13)</f>
        <v>CT 46%</v>
      </c>
      <c r="AW42" s="144" t="str" cm="1">
        <f t="array" ref="AW42">_xll.BDP($B42 &amp; " id cusip",AW$14,"settle_dt=" &amp; $U$13)</f>
        <v>DE 18%</v>
      </c>
      <c r="AX42" s="144" cm="1">
        <f t="array" ref="AX42">_xll.BDP($B42 &amp; " id cusip",AX$14,"settle_dt=" &amp; $U$13)</f>
        <v>100</v>
      </c>
      <c r="AY42" s="144" cm="1">
        <f t="array" ref="AY42">_xll.BDP($B42 &amp; " id cusip",AY$14,"settle_dt=" &amp; $U$13)</f>
        <v>0</v>
      </c>
      <c r="AZ42" s="144" cm="1">
        <f t="array" ref="AZ42">_xll.BDP($B42 &amp; " id cusip",AZ$14,"settle_dt=" &amp; $U$13)</f>
        <v>0</v>
      </c>
      <c r="BA42" s="144" cm="1">
        <f t="array" ref="BA42">_xll.BDP($B42 &amp; " id cusip",BA$14,"settle_dt=" &amp; $U$13)</f>
        <v>0</v>
      </c>
      <c r="BB42" s="144" t="str" cm="1">
        <f t="array" ref="BB42">_xll.BDP($B42 &amp; " id cusip",BB$14,"settle_dt=" &amp; $U$13)</f>
        <v>CT 100.0</v>
      </c>
      <c r="BC42" s="144" t="str" cm="1">
        <f t="array" ref="BC42">_xll.BDP($B42 &amp; " id cusip",BC$14,"settle_dt=" &amp; $U$13)</f>
        <v>CA 16.0</v>
      </c>
      <c r="BD42" s="144" t="str" cm="1">
        <f t="array" ref="BD42">_xll.BDP($B42 &amp; " id cusip",BD$14,"settle_dt=" &amp; $U$13)</f>
        <v>VA 14.2</v>
      </c>
      <c r="BE42" s="144" cm="1">
        <f t="array" ref="BE42">_xll.BDP($B42 &amp; " id cusip",BE$14,"settle_dt=" &amp; $U$13)</f>
        <v>70</v>
      </c>
      <c r="BF42" s="144" t="str" cm="1">
        <f t="array" ref="BF42">_xll.BDP($B42 &amp; " id cusip",BF$14,"settle_dt=" &amp; $U$13)</f>
        <v>#N/A Field Not Applicable</v>
      </c>
      <c r="BG42" s="144" cm="1">
        <f t="array" ref="BG42">_xll.BDP($B42 &amp; " id cusip",BG$14,"settle_dt=" &amp; $U$13)</f>
        <v>417000</v>
      </c>
      <c r="BH42" s="144" cm="1">
        <f t="array" ref="BH42">_xll.BDP($B42 &amp; " id cusip",BH$14,"settle_dt=" &amp; $U$13)</f>
        <v>360</v>
      </c>
      <c r="BI42" s="144" t="str" cm="1">
        <f t="array" ref="BI42">_xll.BDP($B42 &amp; " id cusip",BI$14,"settle_dt=" &amp; $U$13)</f>
        <v>Mtge</v>
      </c>
      <c r="BJ42" s="144" cm="1">
        <f t="array" ref="BJ42">_xll.BDP($B42 &amp; " id cusip",BJ$14,"settle_dt=" &amp; $U$13)</f>
        <v>4.0679999999999996</v>
      </c>
      <c r="BK42" s="144" t="str" cm="1">
        <f t="array" ref="BK42">_xll.BDP($B42 &amp; " id cusip",BK$14,"settle_dt=" &amp; $U$13)</f>
        <v>FNARM</v>
      </c>
      <c r="BL42" s="122">
        <f>_xll.BDP($B42 &amp; " mtge","YLD_CNV_BID","SETTLE_DT=" &amp; $U$13,"PX_BID=" &amp; $D42, "MTG_PREPAY_SPEED=" &amp; AD42, "MTG_PREPAY_TYP=CPR")</f>
        <v>6.827</v>
      </c>
      <c r="BM42" s="122">
        <f>_xll.BDP($B42 &amp; " mtge","YLD_CNV_BID","SETTLE_DT=" &amp; $U$13,"PX_BID=" &amp; $D42, "MTG_PREPAY_SPEED=" &amp; AE42, "MTG_PREPAY_TYP=CPR")</f>
        <v>7.1680000000000001</v>
      </c>
      <c r="BN42" s="122">
        <f>_xll.BDP($B42 &amp; " mtge","YLD_CNV_BID","SETTLE_DT=" &amp; $U$13,"PX_BID=" &amp; $D42, "MTG_PREPAY_SPEED=" &amp; AF42, "MTG_PREPAY_TYP=CPR")</f>
        <v>4.4240000000000004</v>
      </c>
      <c r="BO42" s="122">
        <f>_xll.BDP($B42 &amp; " mtge","YLD_CNV_BID","SETTLE_DT=" &amp; $U$13,"PX_BID=" &amp; $D42, "MTG_PREPAY_SPEED=" &amp; AG42, "MTG_PREPAY_TYP=CPR")</f>
        <v>4.4400000000000004</v>
      </c>
      <c r="BP42" s="122">
        <f>_xll.BDP($B42 &amp; " mtge","YLD_CNV_BID","SETTLE_DT=" &amp; $U$13,"PX_BID=" &amp; $D42, "MTG_PREPAY_SPEED=" &amp; AH42, "MTG_PREPAY_TYP=CPR")</f>
        <v>3.8959999999999999</v>
      </c>
      <c r="BQ42" s="122">
        <f>_xll.BDP($B42 &amp; " mtge","YLD_CNV_BID","SETTLE_DT=" &amp; $U$13,"PX_BID=" &amp; $D42, "MTG_PREPAY_SPEED=" &amp; AI42, "MTG_PREPAY_TYP=CPR")</f>
        <v>5.2210000000000001</v>
      </c>
      <c r="BR42" s="122"/>
    </row>
    <row r="43" spans="1:70" x14ac:dyDescent="0.25">
      <c r="A43" s="149"/>
      <c r="B43" s="137" t="s">
        <v>168</v>
      </c>
      <c r="C43" s="137">
        <v>1020000</v>
      </c>
      <c r="D43" s="137">
        <v>101.3383903503418</v>
      </c>
      <c r="E43" s="53"/>
      <c r="T43" s="6" t="str">
        <f t="shared" si="2"/>
        <v/>
      </c>
      <c r="U43" s="144" t="str" cm="1">
        <f t="array" ref="U43">_xll.BDP(B43 &amp; " id cusip","id cusip")</f>
        <v>3138EPGK4</v>
      </c>
      <c r="V43" s="144" t="str" cm="1">
        <f t="array" ref="V43">_xll.BDP($B43 &amp; " id cusip",$V$14)</f>
        <v>FN AL6501</v>
      </c>
      <c r="W43" s="144" t="str" cm="1">
        <f t="array" ref="W43">_xll.BDP($B43 &amp; " id cusip",W$14)</f>
        <v>MBS ARM</v>
      </c>
      <c r="X43" s="144" cm="1">
        <f t="array" ref="X43">_xll.BDP($B43 &amp; " id cusip",X$14)</f>
        <v>5.9020000000000001</v>
      </c>
      <c r="Y43" s="144" cm="1">
        <f t="array" ref="Y43">_xll.BDP($B43 &amp; " id cusip",Y$14)</f>
        <v>6.6289999999999996</v>
      </c>
      <c r="Z43" s="144" cm="1">
        <f t="array" ref="Z43">_xll.BDP($B43 &amp; " id cusip",Z$14)</f>
        <v>247</v>
      </c>
      <c r="AA43" s="144" cm="1">
        <f t="array" ref="AA43">_xll.BDP($B43 &amp; " id cusip",AA$14)</f>
        <v>113</v>
      </c>
      <c r="AB43" s="144" t="str" cm="1">
        <f t="array" ref="AB43">_xll.BDP($B43 &amp; " id cusip",AB$14)</f>
        <v>3/1/2045</v>
      </c>
      <c r="AC43" s="144" cm="1">
        <f t="array" ref="AC43">_xll.BDP($B43 &amp; " id cusip",AC$14,"settle_dt=" &amp; $U$13)</f>
        <v>14</v>
      </c>
      <c r="AD43" s="144" cm="1">
        <f t="array" ref="AD43">_xll.BDP($B43 &amp; " id cusip",AD$14,"settle_dt=" &amp; $U$13)</f>
        <v>28.42</v>
      </c>
      <c r="AE43" s="144" cm="1">
        <f t="array" ref="AE43">_xll.BDP($B43 &amp; " id cusip",AE$14,"settle_dt=" &amp; $U$13)</f>
        <v>19.162170316699999</v>
      </c>
      <c r="AF43" s="144" cm="1">
        <f t="array" ref="AF43">_xll.BDP($B43 &amp; " id cusip",AF$14,"settle_dt=" &amp; $U$13)</f>
        <v>66.283279728290296</v>
      </c>
      <c r="AG43" s="144" cm="1">
        <f t="array" ref="AG43">_xll.BDP($B43 &amp; " id cusip",AG$14,"settle_dt=" &amp; $U$13)</f>
        <v>31.428639522809277</v>
      </c>
      <c r="AH43" s="144" cm="1">
        <f t="array" ref="AH43">_xll.BDP($B43 &amp; " id cusip",AH$14,"settle_dt=" &amp; $U$13)</f>
        <v>26.776718169104385</v>
      </c>
      <c r="AI43" s="144" cm="1">
        <f t="array" ref="AI43">_xll.BDP($B43 &amp; " id cusip",AI$14,"settle_dt=" &amp; $U$13)</f>
        <v>14.745141894142533</v>
      </c>
      <c r="AJ43" s="144" cm="1">
        <f t="array" ref="AJ43">_xll.BDP($B43 &amp; " id cusip",AJ$14,"settle_dt=" &amp; $U$13)</f>
        <v>3.8146489999999998E-2</v>
      </c>
      <c r="AK43" s="144" t="str" cm="1">
        <f t="array" ref="AK43">_xll.BDP($B43 &amp; " id cusip",AK$14,"settle_dt=" &amp; $U$13)</f>
        <v>3/1/2024</v>
      </c>
      <c r="AL43" s="144" cm="1">
        <f t="array" ref="AL43">_xll.BDP($B43 &amp; " id cusip",AL$14,"settle_dt=" &amp; $U$13)</f>
        <v>4.1843560000000002E-2</v>
      </c>
      <c r="AM43" s="144" cm="1">
        <f t="array" ref="AM43">_xll.BDP($B43 &amp; " id cusip",AM$14,"settle_dt=" &amp; $U$13)</f>
        <v>356</v>
      </c>
      <c r="AN43" s="144" t="str" cm="1">
        <f t="array" ref="AN43">_xll.BDP($B43 &amp; " id cusip",AN$14,"settle_dt=" &amp; $U$13)</f>
        <v>LB</v>
      </c>
      <c r="AO43" s="144" cm="1">
        <f t="array" ref="AO43">_xll.BDP($B43 &amp; " id cusip",AO$14,"settle_dt=" &amp; $U$13)</f>
        <v>113</v>
      </c>
      <c r="AP43" s="144" cm="1">
        <f t="array" ref="AP43">_xll.BDP($B43 &amp; " id cusip",AP$14,"settle_dt=" &amp; $U$13)</f>
        <v>282571</v>
      </c>
      <c r="AQ43" s="144" cm="1">
        <f t="array" ref="AQ43">_xll.BDP($B43 &amp; " id cusip",AQ$14,"settle_dt=" &amp; $U$13)</f>
        <v>506000</v>
      </c>
      <c r="AR43" s="144" cm="1">
        <f t="array" ref="AR43">_xll.BDP($B43 &amp; " id cusip",AR$14,"settle_dt=" &amp; $U$13)</f>
        <v>60</v>
      </c>
      <c r="AS43" s="144" cm="1">
        <f t="array" ref="AS43">_xll.BDP($B43 &amp; " id cusip",AS$14,"settle_dt=" &amp; $U$13)</f>
        <v>763</v>
      </c>
      <c r="AT43" s="144" t="str" cm="1">
        <f t="array" ref="AT43">_xll.BDP($B43 &amp; " id cusip",AT$14,"settle_dt=" &amp; $U$13)</f>
        <v>FANNIE MAE MEGA</v>
      </c>
      <c r="AU43" s="144" t="str" cm="1">
        <f t="array" ref="AU43">_xll.BDP($B43 &amp; " id cusip",AU$14,"settle_dt=" &amp; $U$13)</f>
        <v>WA 25%</v>
      </c>
      <c r="AV43" s="144" t="str" cm="1">
        <f t="array" ref="AV43">_xll.BDP($B43 &amp; " id cusip",AV$14,"settle_dt=" &amp; $U$13)</f>
        <v>CA 19%</v>
      </c>
      <c r="AW43" s="144" t="str" cm="1">
        <f t="array" ref="AW43">_xll.BDP($B43 &amp; " id cusip",AW$14,"settle_dt=" &amp; $U$13)</f>
        <v>TX 15%</v>
      </c>
      <c r="AX43" s="144" cm="1">
        <f t="array" ref="AX43">_xll.BDP($B43 &amp; " id cusip",AX$14,"settle_dt=" &amp; $U$13)</f>
        <v>57.719999999999992</v>
      </c>
      <c r="AY43" s="144" cm="1">
        <f t="array" ref="AY43">_xll.BDP($B43 &amp; " id cusip",AY$14,"settle_dt=" &amp; $U$13)</f>
        <v>0</v>
      </c>
      <c r="AZ43" s="144" cm="1">
        <f t="array" ref="AZ43">_xll.BDP($B43 &amp; " id cusip",AZ$14,"settle_dt=" &amp; $U$13)</f>
        <v>0</v>
      </c>
      <c r="BA43" s="144" cm="1">
        <f t="array" ref="BA43">_xll.BDP($B43 &amp; " id cusip",BA$14,"settle_dt=" &amp; $U$13)</f>
        <v>0</v>
      </c>
      <c r="BB43" s="144" t="str" cm="1">
        <f t="array" ref="BB43">_xll.BDP($B43 &amp; " id cusip",BB$14,"settle_dt=" &amp; $U$13)</f>
        <v>WA 25.5</v>
      </c>
      <c r="BC43" s="144" t="str" cm="1">
        <f t="array" ref="BC43">_xll.BDP($B43 &amp; " id cusip",BC$14,"settle_dt=" &amp; $U$13)</f>
        <v>CA 18.7</v>
      </c>
      <c r="BD43" s="144" t="str" cm="1">
        <f t="array" ref="BD43">_xll.BDP($B43 &amp; " id cusip",BD$14,"settle_dt=" &amp; $U$13)</f>
        <v>TX 15.2</v>
      </c>
      <c r="BE43" s="144" cm="1">
        <f t="array" ref="BE43">_xll.BDP($B43 &amp; " id cusip",BE$14,"settle_dt=" &amp; $U$13)</f>
        <v>60</v>
      </c>
      <c r="BF43" s="144" t="str" cm="1">
        <f t="array" ref="BF43">_xll.BDP($B43 &amp; " id cusip",BF$14,"settle_dt=" &amp; $U$13)</f>
        <v>#N/A Field Not Applicable</v>
      </c>
      <c r="BG43" s="144" cm="1">
        <f t="array" ref="BG43">_xll.BDP($B43 &amp; " id cusip",BG$14,"settle_dt=" &amp; $U$13)</f>
        <v>506000</v>
      </c>
      <c r="BH43" s="144" cm="1">
        <f t="array" ref="BH43">_xll.BDP($B43 &amp; " id cusip",BH$14,"settle_dt=" &amp; $U$13)</f>
        <v>360</v>
      </c>
      <c r="BI43" s="144" t="str" cm="1">
        <f t="array" ref="BI43">_xll.BDP($B43 &amp; " id cusip",BI$14,"settle_dt=" &amp; $U$13)</f>
        <v>Mtge</v>
      </c>
      <c r="BJ43" s="144" cm="1">
        <f t="array" ref="BJ43">_xll.BDP($B43 &amp; " id cusip",BJ$14,"settle_dt=" &amp; $U$13)</f>
        <v>6.4329999999999998</v>
      </c>
      <c r="BK43" s="144" t="str" cm="1">
        <f t="array" ref="BK43">_xll.BDP($B43 &amp; " id cusip",BK$14,"settle_dt=" &amp; $U$13)</f>
        <v>FNARM</v>
      </c>
      <c r="BL43" s="122">
        <f>_xll.BDP($B43 &amp; " mtge","YLD_CNV_BID","SETTLE_DT=" &amp; $U$13,"PX_BID=" &amp; $D43, "MTG_PREPAY_SPEED=" &amp; AD43, "MTG_PREPAY_TYP=CPR")</f>
        <v>6.3520000000000003</v>
      </c>
      <c r="BM43" s="122">
        <f>_xll.BDP($B43 &amp; " mtge","YLD_CNV_BID","SETTLE_DT=" &amp; $U$13,"PX_BID=" &amp; $D43, "MTG_PREPAY_SPEED=" &amp; AE43, "MTG_PREPAY_TYP=CPR")</f>
        <v>6.6230000000000002</v>
      </c>
      <c r="BN43" s="122">
        <f>_xll.BDP($B43 &amp; " mtge","YLD_CNV_BID","SETTLE_DT=" &amp; $U$13,"PX_BID=" &amp; $D43, "MTG_PREPAY_SPEED=" &amp; AF43, "MTG_PREPAY_TYP=CPR")</f>
        <v>4.835</v>
      </c>
      <c r="BO43" s="122">
        <f>_xll.BDP($B43 &amp; " mtge","YLD_CNV_BID","SETTLE_DT=" &amp; $U$13,"PX_BID=" &amp; $D43, "MTG_PREPAY_SPEED=" &amp; AG43, "MTG_PREPAY_TYP=CPR")</f>
        <v>6.258</v>
      </c>
      <c r="BP43" s="122">
        <f>_xll.BDP($B43 &amp; " mtge","YLD_CNV_BID","SETTLE_DT=" &amp; $U$13,"PX_BID=" &amp; $D43, "MTG_PREPAY_SPEED=" &amp; AH43, "MTG_PREPAY_TYP=CPR")</f>
        <v>6.4029999999999996</v>
      </c>
      <c r="BQ43" s="122">
        <f>_xll.BDP($B43 &amp; " mtge","YLD_CNV_BID","SETTLE_DT=" &amp; $U$13,"PX_BID=" &amp; $D43, "MTG_PREPAY_SPEED=" &amp; AI43, "MTG_PREPAY_TYP=CPR")</f>
        <v>6.742</v>
      </c>
      <c r="BR43" s="122"/>
    </row>
    <row r="44" spans="1:70" x14ac:dyDescent="0.25">
      <c r="A44" s="148" t="s">
        <v>104</v>
      </c>
      <c r="B44" s="138" t="s">
        <v>169</v>
      </c>
      <c r="C44" s="138">
        <v>270000</v>
      </c>
      <c r="D44" s="138">
        <v>101.15003204345703</v>
      </c>
      <c r="E44" s="139"/>
      <c r="T44" s="6" t="str">
        <f t="shared" si="2"/>
        <v/>
      </c>
      <c r="U44" s="144" t="str" cm="1">
        <f t="array" ref="U44">_xll.BDP(B44 &amp; " id cusip","id cusip")</f>
        <v>3140J9CD1</v>
      </c>
      <c r="V44" s="144" t="str" cm="1">
        <f t="array" ref="V44">_xll.BDP($B44 &amp; " id cusip",$V$14)</f>
        <v>FN BM4567</v>
      </c>
      <c r="W44" s="144" t="str" cm="1">
        <f t="array" ref="W44">_xll.BDP($B44 &amp; " id cusip",W$14)</f>
        <v>MBS ARM</v>
      </c>
      <c r="X44" s="144" cm="1">
        <f t="array" ref="X44">_xll.BDP($B44 &amp; " id cusip",X$14)</f>
        <v>5.6159999999999997</v>
      </c>
      <c r="Y44" s="144" cm="1">
        <f t="array" ref="Y44">_xll.BDP($B44 &amp; " id cusip",Y$14)</f>
        <v>6.423</v>
      </c>
      <c r="Z44" s="144" cm="1">
        <f t="array" ref="Z44">_xll.BDP($B44 &amp; " id cusip",Z$14)</f>
        <v>218</v>
      </c>
      <c r="AA44" s="144" cm="1">
        <f t="array" ref="AA44">_xll.BDP($B44 &amp; " id cusip",AA$14)</f>
        <v>142</v>
      </c>
      <c r="AB44" s="144" t="str" cm="1">
        <f t="array" ref="AB44">_xll.BDP($B44 &amp; " id cusip",AB$14)</f>
        <v>7/1/2044</v>
      </c>
      <c r="AC44" s="144" cm="1">
        <f t="array" ref="AC44">_xll.BDP($B44 &amp; " id cusip",AC$14,"settle_dt=" &amp; $U$13)</f>
        <v>1649</v>
      </c>
      <c r="AD44" s="144" cm="1">
        <f t="array" ref="AD44">_xll.BDP($B44 &amp; " id cusip",AD$14,"settle_dt=" &amp; $U$13)</f>
        <v>27.61</v>
      </c>
      <c r="AE44" s="144" t="str" cm="1">
        <f t="array" ref="AE44">_xll.BDP($B44 &amp; " id cusip",AE$14,"settle_dt=" &amp; $U$13)</f>
        <v>#N/A Field Not Applicable</v>
      </c>
      <c r="AF44" s="144" cm="1">
        <f t="array" ref="AF44">_xll.BDP($B44 &amp; " id cusip",AF$14,"settle_dt=" &amp; $U$13)</f>
        <v>9.0984467369347186</v>
      </c>
      <c r="AG44" s="144" cm="1">
        <f t="array" ref="AG44">_xll.BDP($B44 &amp; " id cusip",AG$14,"settle_dt=" &amp; $U$13)</f>
        <v>18.685187186255604</v>
      </c>
      <c r="AH44" s="144" cm="1">
        <f t="array" ref="AH44">_xll.BDP($B44 &amp; " id cusip",AH$14,"settle_dt=" &amp; $U$13)</f>
        <v>14.845632720657665</v>
      </c>
      <c r="AI44" s="144" cm="1">
        <f t="array" ref="AI44">_xll.BDP($B44 &amp; " id cusip",AI$14,"settle_dt=" &amp; $U$13)</f>
        <v>14.985154173651328</v>
      </c>
      <c r="AJ44" s="144" cm="1">
        <f t="array" ref="AJ44">_xll.BDP($B44 &amp; " id cusip",AJ$14,"settle_dt=" &amp; $U$13)</f>
        <v>0.14291583999999999</v>
      </c>
      <c r="AK44" s="144" t="str" cm="1">
        <f t="array" ref="AK44">_xll.BDP($B44 &amp; " id cusip",AK$14,"settle_dt=" &amp; $U$13)</f>
        <v>3/1/2024</v>
      </c>
      <c r="AL44" s="144" cm="1">
        <f t="array" ref="AL44">_xll.BDP($B44 &amp; " id cusip",AL$14,"settle_dt=" &amp; $U$13)</f>
        <v>0.14441279000000001</v>
      </c>
      <c r="AM44" s="144" cm="1">
        <f t="array" ref="AM44">_xll.BDP($B44 &amp; " id cusip",AM$14,"settle_dt=" &amp; $U$13)</f>
        <v>286</v>
      </c>
      <c r="AN44" s="144" t="str" cm="1">
        <f t="array" ref="AN44">_xll.BDP($B44 &amp; " id cusip",AN$14,"settle_dt=" &amp; $U$13)</f>
        <v>LB</v>
      </c>
      <c r="AO44" s="144" cm="1">
        <f t="array" ref="AO44">_xll.BDP($B44 &amp; " id cusip",AO$14,"settle_dt=" &amp; $U$13)</f>
        <v>142</v>
      </c>
      <c r="AP44" s="144" cm="1">
        <f t="array" ref="AP44">_xll.BDP($B44 &amp; " id cusip",AP$14,"settle_dt=" &amp; $U$13)</f>
        <v>284552</v>
      </c>
      <c r="AQ44" s="144" cm="1">
        <f t="array" ref="AQ44">_xll.BDP($B44 &amp; " id cusip",AQ$14,"settle_dt=" &amp; $U$13)</f>
        <v>645000</v>
      </c>
      <c r="AR44" s="144" cm="1">
        <f t="array" ref="AR44">_xll.BDP($B44 &amp; " id cusip",AR$14,"settle_dt=" &amp; $U$13)</f>
        <v>61</v>
      </c>
      <c r="AS44" s="144" cm="1">
        <f t="array" ref="AS44">_xll.BDP($B44 &amp; " id cusip",AS$14,"settle_dt=" &amp; $U$13)</f>
        <v>763</v>
      </c>
      <c r="AT44" s="144" t="str" cm="1">
        <f t="array" ref="AT44">_xll.BDP($B44 &amp; " id cusip",AT$14,"settle_dt=" &amp; $U$13)</f>
        <v>FANNIE MAE MEGA</v>
      </c>
      <c r="AU44" s="144" t="str" cm="1">
        <f t="array" ref="AU44">_xll.BDP($B44 &amp; " id cusip",AU$14,"settle_dt=" &amp; $U$13)</f>
        <v>CA 21%</v>
      </c>
      <c r="AV44" s="144" t="str" cm="1">
        <f t="array" ref="AV44">_xll.BDP($B44 &amp; " id cusip",AV$14,"settle_dt=" &amp; $U$13)</f>
        <v>MA 10%</v>
      </c>
      <c r="AW44" s="144" t="str" cm="1">
        <f t="array" ref="AW44">_xll.BDP($B44 &amp; " id cusip",AW$14,"settle_dt=" &amp; $U$13)</f>
        <v>NY 9%</v>
      </c>
      <c r="AX44" s="144" cm="1">
        <f t="array" ref="AX44">_xll.BDP($B44 &amp; " id cusip",AX$14,"settle_dt=" &amp; $U$13)</f>
        <v>28.7</v>
      </c>
      <c r="AY44" s="144" cm="1">
        <f t="array" ref="AY44">_xll.BDP($B44 &amp; " id cusip",AY$14,"settle_dt=" &amp; $U$13)</f>
        <v>1.0900000000000001</v>
      </c>
      <c r="AZ44" s="144" cm="1">
        <f t="array" ref="AZ44">_xll.BDP($B44 &amp; " id cusip",AZ$14,"settle_dt=" &amp; $U$13)</f>
        <v>0.3</v>
      </c>
      <c r="BA44" s="144" cm="1">
        <f t="array" ref="BA44">_xll.BDP($B44 &amp; " id cusip",BA$14,"settle_dt=" &amp; $U$13)</f>
        <v>0</v>
      </c>
      <c r="BB44" s="144" t="str" cm="1">
        <f t="array" ref="BB44">_xll.BDP($B44 &amp; " id cusip",BB$14,"settle_dt=" &amp; $U$13)</f>
        <v>CA 21.4</v>
      </c>
      <c r="BC44" s="144" t="str" cm="1">
        <f t="array" ref="BC44">_xll.BDP($B44 &amp; " id cusip",BC$14,"settle_dt=" &amp; $U$13)</f>
        <v>MA 9.9</v>
      </c>
      <c r="BD44" s="144" t="str" cm="1">
        <f t="array" ref="BD44">_xll.BDP($B44 &amp; " id cusip",BD$14,"settle_dt=" &amp; $U$13)</f>
        <v>NY 9.3</v>
      </c>
      <c r="BE44" s="144" cm="1">
        <f t="array" ref="BE44">_xll.BDP($B44 &amp; " id cusip",BE$14,"settle_dt=" &amp; $U$13)</f>
        <v>61</v>
      </c>
      <c r="BF44" s="144" t="str" cm="1">
        <f t="array" ref="BF44">_xll.BDP($B44 &amp; " id cusip",BF$14,"settle_dt=" &amp; $U$13)</f>
        <v>#N/A Field Not Applicable</v>
      </c>
      <c r="BG44" s="144" cm="1">
        <f t="array" ref="BG44">_xll.BDP($B44 &amp; " id cusip",BG$14,"settle_dt=" &amp; $U$13)</f>
        <v>645000</v>
      </c>
      <c r="BH44" s="144" cm="1">
        <f t="array" ref="BH44">_xll.BDP($B44 &amp; " id cusip",BH$14,"settle_dt=" &amp; $U$13)</f>
        <v>360</v>
      </c>
      <c r="BI44" s="144" t="str" cm="1">
        <f t="array" ref="BI44">_xll.BDP($B44 &amp; " id cusip",BI$14,"settle_dt=" &amp; $U$13)</f>
        <v>Mtge</v>
      </c>
      <c r="BJ44" s="144" cm="1">
        <f t="array" ref="BJ44">_xll.BDP($B44 &amp; " id cusip",BJ$14,"settle_dt=" &amp; $U$13)</f>
        <v>6.7590000000000003</v>
      </c>
      <c r="BK44" s="144" t="str" cm="1">
        <f t="array" ref="BK44">_xll.BDP($B44 &amp; " id cusip",BK$14,"settle_dt=" &amp; $U$13)</f>
        <v>FNARM</v>
      </c>
      <c r="BL44" s="122">
        <f>_xll.BDP($B44 &amp; " mtge","YLD_CNV_BID","SETTLE_DT=" &amp; $U$13,"PX_BID=" &amp; $D44, "MTG_PREPAY_SPEED=" &amp; AD44, "MTG_PREPAY_TYP=CPR")</f>
        <v>6.4219999999999997</v>
      </c>
      <c r="BM44" s="122" t="str">
        <f>_xll.BDP($B44 &amp; " mtge","YLD_CNV_BID","SETTLE_DT=" &amp; $U$13,"PX_BID=" &amp; $D44, "MTG_PREPAY_SPEED=" &amp; AE44, "MTG_PREPAY_TYP=CPR")</f>
        <v>#N/A N/A</v>
      </c>
      <c r="BN44" s="122">
        <f>_xll.BDP($B44 &amp; " mtge","YLD_CNV_BID","SETTLE_DT=" &amp; $U$13,"PX_BID=" &amp; $D44, "MTG_PREPAY_SPEED=" &amp; AF44, "MTG_PREPAY_TYP=CPR")</f>
        <v>6.8639999999999999</v>
      </c>
      <c r="BO44" s="122">
        <f>_xll.BDP($B44 &amp; " mtge","YLD_CNV_BID","SETTLE_DT=" &amp; $U$13,"PX_BID=" &amp; $D44, "MTG_PREPAY_SPEED=" &amp; AG44, "MTG_PREPAY_TYP=CPR")</f>
        <v>6.65</v>
      </c>
      <c r="BP44" s="122">
        <f>_xll.BDP($B44 &amp; " mtge","YLD_CNV_BID","SETTLE_DT=" &amp; $U$13,"PX_BID=" &amp; $D44, "MTG_PREPAY_SPEED=" &amp; AH44, "MTG_PREPAY_TYP=CPR")</f>
        <v>6.74</v>
      </c>
      <c r="BQ44" s="122">
        <f>_xll.BDP($B44 &amp; " mtge","YLD_CNV_BID","SETTLE_DT=" &amp; $U$13,"PX_BID=" &amp; $D44, "MTG_PREPAY_SPEED=" &amp; AI44, "MTG_PREPAY_TYP=CPR")</f>
        <v>6.7359999999999998</v>
      </c>
      <c r="BR44" s="122"/>
    </row>
    <row r="45" spans="1:70" x14ac:dyDescent="0.25">
      <c r="A45" s="149"/>
      <c r="B45" s="137" t="s">
        <v>170</v>
      </c>
      <c r="C45" s="137">
        <v>2101680</v>
      </c>
      <c r="D45" s="137">
        <v>100</v>
      </c>
      <c r="E45" s="53"/>
      <c r="T45" s="6" t="str">
        <f t="shared" si="2"/>
        <v/>
      </c>
      <c r="U45" s="144" t="str" cm="1">
        <f t="array" ref="U45">_xll.BDP(B45 &amp; " id cusip","id cusip")</f>
        <v>31416LZ82</v>
      </c>
      <c r="V45" s="144" t="str" cm="1">
        <f t="array" ref="V45">_xll.BDP($B45 &amp; " id cusip",$V$14)</f>
        <v>FN AA3466</v>
      </c>
      <c r="W45" s="144" t="str" cm="1">
        <f t="array" ref="W45">_xll.BDP($B45 &amp; " id cusip",W$14)</f>
        <v>MBS ARM</v>
      </c>
      <c r="X45" s="144" cm="1">
        <f t="array" ref="X45">_xll.BDP($B45 &amp; " id cusip",X$14)</f>
        <v>4.585</v>
      </c>
      <c r="Y45" s="144" cm="1">
        <f t="array" ref="Y45">_xll.BDP($B45 &amp; " id cusip",Y$14)</f>
        <v>5</v>
      </c>
      <c r="Z45" s="144" cm="1">
        <f t="array" ref="Z45">_xll.BDP($B45 &amp; " id cusip",Z$14)</f>
        <v>0</v>
      </c>
      <c r="AA45" s="144" t="str" cm="1">
        <f t="array" ref="AA45">_xll.BDP($B45 &amp; " id cusip",AA$14)</f>
        <v>#N/A Field Not Applicable</v>
      </c>
      <c r="AB45" s="144" t="str" cm="1">
        <f t="array" ref="AB45">_xll.BDP($B45 &amp; " id cusip",AB$14)</f>
        <v>3/1/2039</v>
      </c>
      <c r="AC45" s="144" cm="1">
        <f t="array" ref="AC45">_xll.BDP($B45 &amp; " id cusip",AC$14,"settle_dt=" &amp; $U$13)</f>
        <v>1</v>
      </c>
      <c r="AD45" s="144" cm="1">
        <f t="array" ref="AD45">_xll.BDP($B45 &amp; " id cusip",AD$14,"settle_dt=" &amp; $U$13)</f>
        <v>100</v>
      </c>
      <c r="AE45" s="144" cm="1">
        <f t="array" ref="AE45">_xll.BDP($B45 &amp; " id cusip",AE$14,"settle_dt=" &amp; $U$13)</f>
        <v>11.111195354099999</v>
      </c>
      <c r="AF45" s="144" cm="1">
        <f t="array" ref="AF45">_xll.BDP($B45 &amp; " id cusip",AF$14,"settle_dt=" &amp; $U$13)</f>
        <v>100</v>
      </c>
      <c r="AG45" s="144" cm="1">
        <f t="array" ref="AG45">_xll.BDP($B45 &amp; " id cusip",AG$14,"settle_dt=" &amp; $U$13)</f>
        <v>100</v>
      </c>
      <c r="AH45" s="144" cm="1">
        <f t="array" ref="AH45">_xll.BDP($B45 &amp; " id cusip",AH$14,"settle_dt=" &amp; $U$13)</f>
        <v>100</v>
      </c>
      <c r="AI45" s="144" cm="1">
        <f t="array" ref="AI45">_xll.BDP($B45 &amp; " id cusip",AI$14,"settle_dt=" &amp; $U$13)</f>
        <v>100</v>
      </c>
      <c r="AJ45" s="144" cm="1">
        <f t="array" ref="AJ45">_xll.BDP($B45 &amp; " id cusip",AJ$14,"settle_dt=" &amp; $U$13)</f>
        <v>0</v>
      </c>
      <c r="AK45" s="144" t="str" cm="1">
        <f t="array" ref="AK45">_xll.BDP($B45 &amp; " id cusip",AK$14,"settle_dt=" &amp; $U$13)</f>
        <v>2/1/2024</v>
      </c>
      <c r="AL45" s="144" cm="1">
        <f t="array" ref="AL45">_xll.BDP($B45 &amp; " id cusip",AL$14,"settle_dt=" &amp; $U$13)</f>
        <v>1.6988340000000001E-2</v>
      </c>
      <c r="AM45" s="144" cm="1">
        <f t="array" ref="AM45">_xll.BDP($B45 &amp; " id cusip",AM$14,"settle_dt=" &amp; $U$13)</f>
        <v>360</v>
      </c>
      <c r="AN45" s="144" t="str" cm="1">
        <f t="array" ref="AN45">_xll.BDP($B45 &amp; " id cusip",AN$14,"settle_dt=" &amp; $U$13)</f>
        <v>LB</v>
      </c>
      <c r="AO45" s="144" cm="1">
        <f t="array" ref="AO45">_xll.BDP($B45 &amp; " id cusip",AO$14,"settle_dt=" &amp; $U$13)</f>
        <v>179</v>
      </c>
      <c r="AP45" s="144" cm="1">
        <f t="array" ref="AP45">_xll.BDP($B45 &amp; " id cusip",AP$14,"settle_dt=" &amp; $U$13)</f>
        <v>128000</v>
      </c>
      <c r="AQ45" s="144" cm="1">
        <f t="array" ref="AQ45">_xll.BDP($B45 &amp; " id cusip",AQ$14,"settle_dt=" &amp; $U$13)</f>
        <v>128000</v>
      </c>
      <c r="AR45" s="144" cm="1">
        <f t="array" ref="AR45">_xll.BDP($B45 &amp; " id cusip",AR$14,"settle_dt=" &amp; $U$13)</f>
        <v>40</v>
      </c>
      <c r="AS45" s="144" cm="1">
        <f t="array" ref="AS45">_xll.BDP($B45 &amp; " id cusip",AS$14,"settle_dt=" &amp; $U$13)</f>
        <v>805</v>
      </c>
      <c r="AT45" s="144" t="str" cm="1">
        <f t="array" ref="AT45">_xll.BDP($B45 &amp; " id cusip",AT$14,"settle_dt=" &amp; $U$13)</f>
        <v>BANK OF AMERICA, N.A.</v>
      </c>
      <c r="AU45" s="144" t="str" cm="1">
        <f t="array" ref="AU45">_xll.BDP($B45 &amp; " id cusip",AU$14,"settle_dt=" &amp; $U$13)</f>
        <v>AZ 100%</v>
      </c>
      <c r="AV45" s="144" t="str" cm="1">
        <f t="array" ref="AV45">_xll.BDP($B45 &amp; " id cusip",AV$14,"settle_dt=" &amp; $U$13)</f>
        <v>AZ 48%</v>
      </c>
      <c r="AW45" s="144" t="str" cm="1">
        <f t="array" ref="AW45">_xll.BDP($B45 &amp; " id cusip",AW$14,"settle_dt=" &amp; $U$13)</f>
        <v>NY 6%</v>
      </c>
      <c r="AX45" s="144" cm="1">
        <f t="array" ref="AX45">_xll.BDP($B45 &amp; " id cusip",AX$14,"settle_dt=" &amp; $U$13)</f>
        <v>0</v>
      </c>
      <c r="AY45" s="144" cm="1">
        <f t="array" ref="AY45">_xll.BDP($B45 &amp; " id cusip",AY$14,"settle_dt=" &amp; $U$13)</f>
        <v>0</v>
      </c>
      <c r="AZ45" s="144" cm="1">
        <f t="array" ref="AZ45">_xll.BDP($B45 &amp; " id cusip",AZ$14,"settle_dt=" &amp; $U$13)</f>
        <v>0</v>
      </c>
      <c r="BA45" s="144" cm="1">
        <f t="array" ref="BA45">_xll.BDP($B45 &amp; " id cusip",BA$14,"settle_dt=" &amp; $U$13)</f>
        <v>0</v>
      </c>
      <c r="BB45" s="144" t="str" cm="1">
        <f t="array" ref="BB45">_xll.BDP($B45 &amp; " id cusip",BB$14,"settle_dt=" &amp; $U$13)</f>
        <v>AZ 100.0</v>
      </c>
      <c r="BC45" s="144" t="str" cm="1">
        <f t="array" ref="BC45">_xll.BDP($B45 &amp; " id cusip",BC$14,"settle_dt=" &amp; $U$13)</f>
        <v>IL 18.5</v>
      </c>
      <c r="BD45" s="144" t="str" cm="1">
        <f t="array" ref="BD45">_xll.BDP($B45 &amp; " id cusip",BD$14,"settle_dt=" &amp; $U$13)</f>
        <v>CT 10.2</v>
      </c>
      <c r="BE45" s="144" cm="1">
        <f t="array" ref="BE45">_xll.BDP($B45 &amp; " id cusip",BE$14,"settle_dt=" &amp; $U$13)</f>
        <v>40</v>
      </c>
      <c r="BF45" s="144" t="str" cm="1">
        <f t="array" ref="BF45">_xll.BDP($B45 &amp; " id cusip",BF$14,"settle_dt=" &amp; $U$13)</f>
        <v>#N/A Field Not Applicable</v>
      </c>
      <c r="BG45" s="144" cm="1">
        <f t="array" ref="BG45">_xll.BDP($B45 &amp; " id cusip",BG$14,"settle_dt=" &amp; $U$13)</f>
        <v>128000</v>
      </c>
      <c r="BH45" s="144" cm="1">
        <f t="array" ref="BH45">_xll.BDP($B45 &amp; " id cusip",BH$14,"settle_dt=" &amp; $U$13)</f>
        <v>360</v>
      </c>
      <c r="BI45" s="144" t="str" cm="1">
        <f t="array" ref="BI45">_xll.BDP($B45 &amp; " id cusip",BI$14,"settle_dt=" &amp; $U$13)</f>
        <v>Mtge</v>
      </c>
      <c r="BJ45" s="144" t="str" cm="1">
        <f t="array" ref="BJ45">_xll.BDP($B45 &amp; " id cusip",BJ$14,"settle_dt=" &amp; $U$13)</f>
        <v>#N/A N/A</v>
      </c>
      <c r="BK45" s="144" t="str" cm="1">
        <f t="array" ref="BK45">_xll.BDP($B45 &amp; " id cusip",BK$14,"settle_dt=" &amp; $U$13)</f>
        <v>FNARM</v>
      </c>
      <c r="BL45" s="122" t="str">
        <f>_xll.BDP($B45 &amp; " mtge","YLD_CNV_BID","SETTLE_DT=" &amp; $U$13,"PX_BID=" &amp; $D45, "MTG_PREPAY_SPEED=" &amp; AD45, "MTG_PREPAY_TYP=CPR")</f>
        <v>#N/A N/A</v>
      </c>
      <c r="BM45" s="122" t="str">
        <f>_xll.BDP($B45 &amp; " mtge","YLD_CNV_BID","SETTLE_DT=" &amp; $U$13,"PX_BID=" &amp; $D45, "MTG_PREPAY_SPEED=" &amp; AE45, "MTG_PREPAY_TYP=CPR")</f>
        <v>#N/A N/A</v>
      </c>
      <c r="BN45" s="122" t="str">
        <f>_xll.BDP($B45 &amp; " mtge","YLD_CNV_BID","SETTLE_DT=" &amp; $U$13,"PX_BID=" &amp; $D45, "MTG_PREPAY_SPEED=" &amp; AF45, "MTG_PREPAY_TYP=CPR")</f>
        <v>#N/A N/A</v>
      </c>
      <c r="BO45" s="122" t="str">
        <f>_xll.BDP($B45 &amp; " mtge","YLD_CNV_BID","SETTLE_DT=" &amp; $U$13,"PX_BID=" &amp; $D45, "MTG_PREPAY_SPEED=" &amp; AG45, "MTG_PREPAY_TYP=CPR")</f>
        <v>#N/A N/A</v>
      </c>
      <c r="BP45" s="122" t="str">
        <f>_xll.BDP($B45 &amp; " mtge","YLD_CNV_BID","SETTLE_DT=" &amp; $U$13,"PX_BID=" &amp; $D45, "MTG_PREPAY_SPEED=" &amp; AH45, "MTG_PREPAY_TYP=CPR")</f>
        <v>#N/A N/A</v>
      </c>
      <c r="BQ45" s="122" t="str">
        <f>_xll.BDP($B45 &amp; " mtge","YLD_CNV_BID","SETTLE_DT=" &amp; $U$13,"PX_BID=" &amp; $D45, "MTG_PREPAY_SPEED=" &amp; AI45, "MTG_PREPAY_TYP=CPR")</f>
        <v>#N/A N/A</v>
      </c>
      <c r="BR45" s="122"/>
    </row>
    <row r="46" spans="1:70" x14ac:dyDescent="0.25">
      <c r="A46" s="149"/>
      <c r="B46" s="259" t="s">
        <v>171</v>
      </c>
      <c r="C46" s="137">
        <v>2000000</v>
      </c>
      <c r="D46" s="137">
        <v>100.9955940246582</v>
      </c>
      <c r="E46" s="53"/>
      <c r="T46" s="6" t="str">
        <f t="shared" si="2"/>
        <v/>
      </c>
      <c r="U46" s="144" t="str" cm="1">
        <f t="array" ref="U46">_xll.BDP(B46 &amp; " id cusip","id cusip")</f>
        <v>3138LURQ0</v>
      </c>
      <c r="V46" s="144" t="str" cm="1">
        <f t="array" ref="V46">_xll.BDP($B46 &amp; " id cusip",$V$14)</f>
        <v>FN AO4094</v>
      </c>
      <c r="W46" s="144" t="str" cm="1">
        <f t="array" ref="W46">_xll.BDP($B46 &amp; " id cusip",W$14)</f>
        <v>MBS ARM</v>
      </c>
      <c r="X46" s="144" cm="1">
        <f t="array" ref="X46">_xll.BDP($B46 &amp; " id cusip",X$14)</f>
        <v>5.2539999999999996</v>
      </c>
      <c r="Y46" s="144" cm="1">
        <f t="array" ref="Y46">_xll.BDP($B46 &amp; " id cusip",Y$14)</f>
        <v>5.7990000000000004</v>
      </c>
      <c r="Z46" s="144" cm="1">
        <f t="array" ref="Z46">_xll.BDP($B46 &amp; " id cusip",Z$14)</f>
        <v>217</v>
      </c>
      <c r="AA46" s="144" cm="1">
        <f t="array" ref="AA46">_xll.BDP($B46 &amp; " id cusip",AA$14)</f>
        <v>143</v>
      </c>
      <c r="AB46" s="144" t="str" cm="1">
        <f t="array" ref="AB46">_xll.BDP($B46 &amp; " id cusip",AB$14)</f>
        <v>5/1/2042</v>
      </c>
      <c r="AC46" s="144" cm="1">
        <f t="array" ref="AC46">_xll.BDP($B46 &amp; " id cusip",AC$14,"settle_dt=" &amp; $U$13)</f>
        <v>4</v>
      </c>
      <c r="AD46" s="144" cm="1">
        <f t="array" ref="AD46">_xll.BDP($B46 &amp; " id cusip",AD$14,"settle_dt=" &amp; $U$13)</f>
        <v>27.17</v>
      </c>
      <c r="AE46" s="144" cm="1">
        <f t="array" ref="AE46">_xll.BDP($B46 &amp; " id cusip",AE$14,"settle_dt=" &amp; $U$13)</f>
        <v>21.5015529149</v>
      </c>
      <c r="AF46" s="144" cm="1">
        <f t="array" ref="AF46">_xll.BDP($B46 &amp; " id cusip",AF$14,"settle_dt=" &amp; $U$13)</f>
        <v>6.8015983087488241E-2</v>
      </c>
      <c r="AG46" s="144" cm="1">
        <f t="array" ref="AG46">_xll.BDP($B46 &amp; " id cusip",AG$14,"settle_dt=" &amp; $U$13)</f>
        <v>0.64201334747845396</v>
      </c>
      <c r="AH46" s="144" cm="1">
        <f t="array" ref="AH46">_xll.BDP($B46 &amp; " id cusip",AH$14,"settle_dt=" &amp; $U$13)</f>
        <v>1.237444469725002</v>
      </c>
      <c r="AI46" s="144" cm="1">
        <f t="array" ref="AI46">_xll.BDP($B46 &amp; " id cusip",AI$14,"settle_dt=" &amp; $U$13)</f>
        <v>16.90826836157343</v>
      </c>
      <c r="AJ46" s="144" cm="1">
        <f t="array" ref="AJ46">_xll.BDP($B46 &amp; " id cusip",AJ$14,"settle_dt=" &amp; $U$13)</f>
        <v>1.6932030000000001E-2</v>
      </c>
      <c r="AK46" s="144" t="str" cm="1">
        <f t="array" ref="AK46">_xll.BDP($B46 &amp; " id cusip",AK$14,"settle_dt=" &amp; $U$13)</f>
        <v>3/1/2024</v>
      </c>
      <c r="AL46" s="144" cm="1">
        <f t="array" ref="AL46">_xll.BDP($B46 &amp; " id cusip",AL$14,"settle_dt=" &amp; $U$13)</f>
        <v>1.697709E-2</v>
      </c>
      <c r="AM46" s="144" cm="1">
        <f t="array" ref="AM46">_xll.BDP($B46 &amp; " id cusip",AM$14,"settle_dt=" &amp; $U$13)</f>
        <v>358</v>
      </c>
      <c r="AN46" s="144" t="str" cm="1">
        <f t="array" ref="AN46">_xll.BDP($B46 &amp; " id cusip",AN$14,"settle_dt=" &amp; $U$13)</f>
        <v>LB</v>
      </c>
      <c r="AO46" s="144" cm="1">
        <f t="array" ref="AO46">_xll.BDP($B46 &amp; " id cusip",AO$14,"settle_dt=" &amp; $U$13)</f>
        <v>143</v>
      </c>
      <c r="AP46" s="144" cm="1">
        <f t="array" ref="AP46">_xll.BDP($B46 &amp; " id cusip",AP$14,"settle_dt=" &amp; $U$13)</f>
        <v>301886</v>
      </c>
      <c r="AQ46" s="144" cm="1">
        <f t="array" ref="AQ46">_xll.BDP($B46 &amp; " id cusip",AQ$14,"settle_dt=" &amp; $U$13)</f>
        <v>400000</v>
      </c>
      <c r="AR46" s="144" cm="1">
        <f t="array" ref="AR46">_xll.BDP($B46 &amp; " id cusip",AR$14,"settle_dt=" &amp; $U$13)</f>
        <v>75</v>
      </c>
      <c r="AS46" s="144" cm="1">
        <f t="array" ref="AS46">_xll.BDP($B46 &amp; " id cusip",AS$14,"settle_dt=" &amp; $U$13)</f>
        <v>761</v>
      </c>
      <c r="AT46" s="144" t="str" cm="1">
        <f t="array" ref="AT46">_xll.BDP($B46 &amp; " id cusip",AT$14,"settle_dt=" &amp; $U$13)</f>
        <v>WELLS FARGO BANK, N.A.</v>
      </c>
      <c r="AU46" s="144" t="str" cm="1">
        <f t="array" ref="AU46">_xll.BDP($B46 &amp; " id cusip",AU$14,"settle_dt=" &amp; $U$13)</f>
        <v>NY 43%</v>
      </c>
      <c r="AV46" s="144" t="str" cm="1">
        <f t="array" ref="AV46">_xll.BDP($B46 &amp; " id cusip",AV$14,"settle_dt=" &amp; $U$13)</f>
        <v>OH 29%</v>
      </c>
      <c r="AW46" s="144" t="str" cm="1">
        <f t="array" ref="AW46">_xll.BDP($B46 &amp; " id cusip",AW$14,"settle_dt=" &amp; $U$13)</f>
        <v>MN 17%</v>
      </c>
      <c r="AX46" s="144" cm="1">
        <f t="array" ref="AX46">_xll.BDP($B46 &amp; " id cusip",AX$14,"settle_dt=" &amp; $U$13)</f>
        <v>10.72</v>
      </c>
      <c r="AY46" s="144" cm="1">
        <f t="array" ref="AY46">_xll.BDP($B46 &amp; " id cusip",AY$14,"settle_dt=" &amp; $U$13)</f>
        <v>0</v>
      </c>
      <c r="AZ46" s="144" cm="1">
        <f t="array" ref="AZ46">_xll.BDP($B46 &amp; " id cusip",AZ$14,"settle_dt=" &amp; $U$13)</f>
        <v>0</v>
      </c>
      <c r="BA46" s="144" cm="1">
        <f t="array" ref="BA46">_xll.BDP($B46 &amp; " id cusip",BA$14,"settle_dt=" &amp; $U$13)</f>
        <v>0</v>
      </c>
      <c r="BB46" s="144" t="str" cm="1">
        <f t="array" ref="BB46">_xll.BDP($B46 &amp; " id cusip",BB$14,"settle_dt=" &amp; $U$13)</f>
        <v>NY 43.0</v>
      </c>
      <c r="BC46" s="144" t="str" cm="1">
        <f t="array" ref="BC46">_xll.BDP($B46 &amp; " id cusip",BC$14,"settle_dt=" &amp; $U$13)</f>
        <v>OH 29.0</v>
      </c>
      <c r="BD46" s="144" t="str" cm="1">
        <f t="array" ref="BD46">_xll.BDP($B46 &amp; " id cusip",BD$14,"settle_dt=" &amp; $U$13)</f>
        <v>MN 17.3</v>
      </c>
      <c r="BE46" s="144" cm="1">
        <f t="array" ref="BE46">_xll.BDP($B46 &amp; " id cusip",BE$14,"settle_dt=" &amp; $U$13)</f>
        <v>75</v>
      </c>
      <c r="BF46" s="144" t="str" cm="1">
        <f t="array" ref="BF46">_xll.BDP($B46 &amp; " id cusip",BF$14,"settle_dt=" &amp; $U$13)</f>
        <v>#N/A Field Not Applicable</v>
      </c>
      <c r="BG46" s="144" cm="1">
        <f t="array" ref="BG46">_xll.BDP($B46 &amp; " id cusip",BG$14,"settle_dt=" &amp; $U$13)</f>
        <v>400000</v>
      </c>
      <c r="BH46" s="144" cm="1">
        <f t="array" ref="BH46">_xll.BDP($B46 &amp; " id cusip",BH$14,"settle_dt=" &amp; $U$13)</f>
        <v>360</v>
      </c>
      <c r="BI46" s="144" t="str" cm="1">
        <f t="array" ref="BI46">_xll.BDP($B46 &amp; " id cusip",BI$14,"settle_dt=" &amp; $U$13)</f>
        <v>Mtge</v>
      </c>
      <c r="BJ46" s="144" cm="1">
        <f t="array" ref="BJ46">_xll.BDP($B46 &amp; " id cusip",BJ$14,"settle_dt=" &amp; $U$13)</f>
        <v>7.1440000000000001</v>
      </c>
      <c r="BK46" s="144" t="str" cm="1">
        <f t="array" ref="BK46">_xll.BDP($B46 &amp; " id cusip",BK$14,"settle_dt=" &amp; $U$13)</f>
        <v>FNARM</v>
      </c>
      <c r="BL46" s="122">
        <f>_xll.BDP($B46 &amp; " mtge","YLD_CNV_BID","SETTLE_DT=" &amp; $U$13,"PX_BID=" &amp; $D46, "MTG_PREPAY_SPEED=" &amp; AD46, "MTG_PREPAY_TYP=CPR")</f>
        <v>6.657</v>
      </c>
      <c r="BM46" s="122">
        <f>_xll.BDP($B46 &amp; " mtge","YLD_CNV_BID","SETTLE_DT=" &amp; $U$13,"PX_BID=" &amp; $D46, "MTG_PREPAY_SPEED=" &amp; AE46, "MTG_PREPAY_TYP=CPR")</f>
        <v>6.7789999999999999</v>
      </c>
      <c r="BN46" s="122">
        <f>_xll.BDP($B46 &amp; " mtge","YLD_CNV_BID","SETTLE_DT=" &amp; $U$13,"PX_BID=" &amp; $D46, "MTG_PREPAY_SPEED=" &amp; AF46, "MTG_PREPAY_TYP=CPR")</f>
        <v>7.149</v>
      </c>
      <c r="BO46" s="122">
        <f>_xll.BDP($B46 &amp; " mtge","YLD_CNV_BID","SETTLE_DT=" &amp; $U$13,"PX_BID=" &amp; $D46, "MTG_PREPAY_SPEED=" &amp; AG46, "MTG_PREPAY_TYP=CPR")</f>
        <v>7.141</v>
      </c>
      <c r="BP46" s="122">
        <f>_xll.BDP($B46 &amp; " mtge","YLD_CNV_BID","SETTLE_DT=" &amp; $U$13,"PX_BID=" &amp; $D46, "MTG_PREPAY_SPEED=" &amp; AH46, "MTG_PREPAY_TYP=CPR")</f>
        <v>7.133</v>
      </c>
      <c r="BQ46" s="122">
        <f>_xll.BDP($B46 &amp; " mtge","YLD_CNV_BID","SETTLE_DT=" &amp; $U$13,"PX_BID=" &amp; $D46, "MTG_PREPAY_SPEED=" &amp; AI46, "MTG_PREPAY_TYP=CPR")</f>
        <v>6.8710000000000004</v>
      </c>
      <c r="BR46" s="122"/>
    </row>
    <row r="47" spans="1:70" x14ac:dyDescent="0.25">
      <c r="A47" s="149"/>
      <c r="B47" s="137" t="s">
        <v>172</v>
      </c>
      <c r="C47" s="137">
        <v>17997071</v>
      </c>
      <c r="D47" s="137">
        <v>100.60824203491211</v>
      </c>
      <c r="E47" s="53"/>
      <c r="T47" s="6" t="str">
        <f t="shared" si="2"/>
        <v/>
      </c>
      <c r="U47" s="144" t="str" cm="1">
        <f t="array" ref="U47">_xll.BDP(B47 &amp; " id cusip","id cusip")</f>
        <v>31415TKH2</v>
      </c>
      <c r="V47" s="144" t="str" cm="1">
        <f t="array" ref="V47">_xll.BDP($B47 &amp; " id cusip",$V$14)</f>
        <v>FN 988696</v>
      </c>
      <c r="W47" s="144" t="str" cm="1">
        <f t="array" ref="W47">_xll.BDP($B47 &amp; " id cusip",W$14)</f>
        <v>MBS ARM</v>
      </c>
      <c r="X47" s="144" cm="1">
        <f t="array" ref="X47">_xll.BDP($B47 &amp; " id cusip",X$14)</f>
        <v>6.1029999999999998</v>
      </c>
      <c r="Y47" s="144" cm="1">
        <f t="array" ref="Y47">_xll.BDP($B47 &amp; " id cusip",Y$14)</f>
        <v>6.5</v>
      </c>
      <c r="Z47" s="144" cm="1">
        <f t="array" ref="Z47">_xll.BDP($B47 &amp; " id cusip",Z$14)</f>
        <v>174</v>
      </c>
      <c r="AA47" s="144" cm="1">
        <f t="array" ref="AA47">_xll.BDP($B47 &amp; " id cusip",AA$14)</f>
        <v>186</v>
      </c>
      <c r="AB47" s="144" t="str" cm="1">
        <f t="array" ref="AB47">_xll.BDP($B47 &amp; " id cusip",AB$14)</f>
        <v>9/1/2038</v>
      </c>
      <c r="AC47" s="144" cm="1">
        <f t="array" ref="AC47">_xll.BDP($B47 &amp; " id cusip",AC$14,"settle_dt=" &amp; $U$13)</f>
        <v>1</v>
      </c>
      <c r="AD47" s="144" cm="1">
        <f t="array" ref="AD47">_xll.BDP($B47 &amp; " id cusip",AD$14,"settle_dt=" &amp; $U$13)</f>
        <v>31.75</v>
      </c>
      <c r="AE47" s="144" cm="1">
        <f t="array" ref="AE47">_xll.BDP($B47 &amp; " id cusip",AE$14,"settle_dt=" &amp; $U$13)</f>
        <v>11.762373414500001</v>
      </c>
      <c r="AF47" s="144" cm="1">
        <f t="array" ref="AF47">_xll.BDP($B47 &amp; " id cusip",AF$14,"settle_dt=" &amp; $U$13)</f>
        <v>7.8842579335638874</v>
      </c>
      <c r="AG47" s="144" cm="1">
        <f t="array" ref="AG47">_xll.BDP($B47 &amp; " id cusip",AG$14,"settle_dt=" &amp; $U$13)</f>
        <v>7.7419883434599601</v>
      </c>
      <c r="AH47" s="144" cm="1">
        <f t="array" ref="AH47">_xll.BDP($B47 &amp; " id cusip",AH$14,"settle_dt=" &amp; $U$13)</f>
        <v>7.5392760128165426</v>
      </c>
      <c r="AI47" s="144" cm="1">
        <f t="array" ref="AI47">_xll.BDP($B47 &amp; " id cusip",AI$14,"settle_dt=" &amp; $U$13)</f>
        <v>7.4601646465863318</v>
      </c>
      <c r="AJ47" s="144" cm="1">
        <f t="array" ref="AJ47">_xll.BDP($B47 &amp; " id cusip",AJ$14,"settle_dt=" &amp; $U$13)</f>
        <v>1.7148899999999999E-3</v>
      </c>
      <c r="AK47" s="144" t="str" cm="1">
        <f t="array" ref="AK47">_xll.BDP($B47 &amp; " id cusip",AK$14,"settle_dt=" &amp; $U$13)</f>
        <v>3/1/2024</v>
      </c>
      <c r="AL47" s="144" cm="1">
        <f t="array" ref="AL47">_xll.BDP($B47 &amp; " id cusip",AL$14,"settle_dt=" &amp; $U$13)</f>
        <v>1.73263E-3</v>
      </c>
      <c r="AM47" s="144" cm="1">
        <f t="array" ref="AM47">_xll.BDP($B47 &amp; " id cusip",AM$14,"settle_dt=" &amp; $U$13)</f>
        <v>360</v>
      </c>
      <c r="AN47" s="144" t="str" cm="1">
        <f t="array" ref="AN47">_xll.BDP($B47 &amp; " id cusip",AN$14,"settle_dt=" &amp; $U$13)</f>
        <v>LB</v>
      </c>
      <c r="AO47" s="144" cm="1">
        <f t="array" ref="AO47">_xll.BDP($B47 &amp; " id cusip",AO$14,"settle_dt=" &amp; $U$13)</f>
        <v>186</v>
      </c>
      <c r="AP47" s="144" cm="1">
        <f t="array" ref="AP47">_xll.BDP($B47 &amp; " id cusip",AP$14,"settle_dt=" &amp; $U$13)</f>
        <v>98000</v>
      </c>
      <c r="AQ47" s="144" cm="1">
        <f t="array" ref="AQ47">_xll.BDP($B47 &amp; " id cusip",AQ$14,"settle_dt=" &amp; $U$13)</f>
        <v>98000</v>
      </c>
      <c r="AR47" s="144" cm="1">
        <f t="array" ref="AR47">_xll.BDP($B47 &amp; " id cusip",AR$14,"settle_dt=" &amp; $U$13)</f>
        <v>85</v>
      </c>
      <c r="AS47" s="144" cm="1">
        <f t="array" ref="AS47">_xll.BDP($B47 &amp; " id cusip",AS$14,"settle_dt=" &amp; $U$13)</f>
        <v>674</v>
      </c>
      <c r="AT47" s="144" t="str" cm="1">
        <f t="array" ref="AT47">_xll.BDP($B47 &amp; " id cusip",AT$14,"settle_dt=" &amp; $U$13)</f>
        <v>AMTRUST BANK</v>
      </c>
      <c r="AU47" s="144" t="str" cm="1">
        <f t="array" ref="AU47">_xll.BDP($B47 &amp; " id cusip",AU$14,"settle_dt=" &amp; $U$13)</f>
        <v>NC 100%</v>
      </c>
      <c r="AV47" s="144" t="str" cm="1">
        <f t="array" ref="AV47">_xll.BDP($B47 &amp; " id cusip",AV$14,"settle_dt=" &amp; $U$13)</f>
        <v>NC 25%</v>
      </c>
      <c r="AW47" s="144" t="str" cm="1">
        <f t="array" ref="AW47">_xll.BDP($B47 &amp; " id cusip",AW$14,"settle_dt=" &amp; $U$13)</f>
        <v>NJ 27%</v>
      </c>
      <c r="AX47" s="144" cm="1">
        <f t="array" ref="AX47">_xll.BDP($B47 &amp; " id cusip",AX$14,"settle_dt=" &amp; $U$13)</f>
        <v>100</v>
      </c>
      <c r="AY47" s="144" cm="1">
        <f t="array" ref="AY47">_xll.BDP($B47 &amp; " id cusip",AY$14,"settle_dt=" &amp; $U$13)</f>
        <v>0</v>
      </c>
      <c r="AZ47" s="144" cm="1">
        <f t="array" ref="AZ47">_xll.BDP($B47 &amp; " id cusip",AZ$14,"settle_dt=" &amp; $U$13)</f>
        <v>0</v>
      </c>
      <c r="BA47" s="144" cm="1">
        <f t="array" ref="BA47">_xll.BDP($B47 &amp; " id cusip",BA$14,"settle_dt=" &amp; $U$13)</f>
        <v>0</v>
      </c>
      <c r="BB47" s="144" t="str" cm="1">
        <f t="array" ref="BB47">_xll.BDP($B47 &amp; " id cusip",BB$14,"settle_dt=" &amp; $U$13)</f>
        <v>NC 100.0</v>
      </c>
      <c r="BC47" s="144" t="str" cm="1">
        <f t="array" ref="BC47">_xll.BDP($B47 &amp; " id cusip",BC$14,"settle_dt=" &amp; $U$13)</f>
        <v>WA 11.2</v>
      </c>
      <c r="BD47" s="144" t="str" cm="1">
        <f t="array" ref="BD47">_xll.BDP($B47 &amp; " id cusip",BD$14,"settle_dt=" &amp; $U$13)</f>
        <v>CO 8.1</v>
      </c>
      <c r="BE47" s="144" cm="1">
        <f t="array" ref="BE47">_xll.BDP($B47 &amp; " id cusip",BE$14,"settle_dt=" &amp; $U$13)</f>
        <v>85</v>
      </c>
      <c r="BF47" s="144" t="str" cm="1">
        <f t="array" ref="BF47">_xll.BDP($B47 &amp; " id cusip",BF$14,"settle_dt=" &amp; $U$13)</f>
        <v>#N/A Field Not Applicable</v>
      </c>
      <c r="BG47" s="144" cm="1">
        <f t="array" ref="BG47">_xll.BDP($B47 &amp; " id cusip",BG$14,"settle_dt=" &amp; $U$13)</f>
        <v>98000</v>
      </c>
      <c r="BH47" s="144" cm="1">
        <f t="array" ref="BH47">_xll.BDP($B47 &amp; " id cusip",BH$14,"settle_dt=" &amp; $U$13)</f>
        <v>360</v>
      </c>
      <c r="BI47" s="144" t="str" cm="1">
        <f t="array" ref="BI47">_xll.BDP($B47 &amp; " id cusip",BI$14,"settle_dt=" &amp; $U$13)</f>
        <v>Mtge</v>
      </c>
      <c r="BJ47" s="144" cm="1">
        <f t="array" ref="BJ47">_xll.BDP($B47 &amp; " id cusip",BJ$14,"settle_dt=" &amp; $U$13)</f>
        <v>7.2640000000000002</v>
      </c>
      <c r="BK47" s="144" t="str" cm="1">
        <f t="array" ref="BK47">_xll.BDP($B47 &amp; " id cusip",BK$14,"settle_dt=" &amp; $U$13)</f>
        <v>FNARM</v>
      </c>
      <c r="BL47" s="122">
        <f>_xll.BDP($B47 &amp; " mtge","YLD_CNV_BID","SETTLE_DT=" &amp; $U$13,"PX_BID=" &amp; $D47, "MTG_PREPAY_SPEED=" &amp; AD47, "MTG_PREPAY_TYP=CPR")</f>
        <v>6.7990000000000004</v>
      </c>
      <c r="BM47" s="122">
        <f>_xll.BDP($B47 &amp; " mtge","YLD_CNV_BID","SETTLE_DT=" &amp; $U$13,"PX_BID=" &amp; $D47, "MTG_PREPAY_SPEED=" &amp; AE47, "MTG_PREPAY_TYP=CPR")</f>
        <v>7.1829999999999998</v>
      </c>
      <c r="BN47" s="122">
        <f>_xll.BDP($B47 &amp; " mtge","YLD_CNV_BID","SETTLE_DT=" &amp; $U$13,"PX_BID=" &amp; $D47, "MTG_PREPAY_SPEED=" &amp; AF47, "MTG_PREPAY_TYP=CPR")</f>
        <v>7.2439999999999998</v>
      </c>
      <c r="BO47" s="122">
        <f>_xll.BDP($B47 &amp; " mtge","YLD_CNV_BID","SETTLE_DT=" &amp; $U$13,"PX_BID=" &amp; $D47, "MTG_PREPAY_SPEED=" &amp; AG47, "MTG_PREPAY_TYP=CPR")</f>
        <v>7.2460000000000004</v>
      </c>
      <c r="BP47" s="122">
        <f>_xll.BDP($B47 &amp; " mtge","YLD_CNV_BID","SETTLE_DT=" &amp; $U$13,"PX_BID=" &amp; $D47, "MTG_PREPAY_SPEED=" &amp; AH47, "MTG_PREPAY_TYP=CPR")</f>
        <v>7.2489999999999997</v>
      </c>
      <c r="BQ47" s="122">
        <f>_xll.BDP($B47 &amp; " mtge","YLD_CNV_BID","SETTLE_DT=" &amp; $U$13,"PX_BID=" &amp; $D47, "MTG_PREPAY_SPEED=" &amp; AI47, "MTG_PREPAY_TYP=CPR")</f>
        <v>7.25</v>
      </c>
      <c r="BR47" s="122"/>
    </row>
    <row r="48" spans="1:70" s="44" customFormat="1" x14ac:dyDescent="0.25">
      <c r="A48" s="149"/>
      <c r="B48" s="137" t="s">
        <v>173</v>
      </c>
      <c r="C48" s="137">
        <v>21549592</v>
      </c>
      <c r="D48" s="137">
        <v>100.90427017211914</v>
      </c>
      <c r="E48" s="53"/>
      <c r="F48" s="6"/>
      <c r="G48" s="6"/>
      <c r="H48" s="6"/>
      <c r="I48" s="6"/>
      <c r="J48" s="6"/>
      <c r="K48" s="6"/>
      <c r="L48" s="6"/>
      <c r="M48" s="6"/>
      <c r="N48" s="6"/>
      <c r="O48" s="6"/>
      <c r="P48" s="6"/>
      <c r="Q48" s="6"/>
      <c r="R48" s="6"/>
      <c r="S48" s="6"/>
      <c r="T48" s="6" t="str">
        <f t="shared" si="2"/>
        <v/>
      </c>
      <c r="U48" s="144" t="str" cm="1">
        <f t="array" ref="U48">_xll.BDP(B48 &amp; " id cusip","id cusip")</f>
        <v>31415RG57</v>
      </c>
      <c r="V48" s="144" t="str" cm="1">
        <f t="array" ref="V48">_xll.BDP($B48 &amp; " id cusip",$V$14)</f>
        <v>FN 986820</v>
      </c>
      <c r="W48" s="144" t="str" cm="1">
        <f t="array" ref="W48">_xll.BDP($B48 &amp; " id cusip",W$14)</f>
        <v>MBS ARM</v>
      </c>
      <c r="X48" s="144" cm="1">
        <f t="array" ref="X48">_xll.BDP($B48 &amp; " id cusip",X$14)</f>
        <v>6.06</v>
      </c>
      <c r="Y48" s="144" cm="1">
        <f t="array" ref="Y48">_xll.BDP($B48 &amp; " id cusip",Y$14)</f>
        <v>6.5</v>
      </c>
      <c r="Z48" s="144" cm="1">
        <f t="array" ref="Z48">_xll.BDP($B48 &amp; " id cusip",Z$14)</f>
        <v>172</v>
      </c>
      <c r="AA48" s="144" cm="1">
        <f t="array" ref="AA48">_xll.BDP($B48 &amp; " id cusip",AA$14)</f>
        <v>188</v>
      </c>
      <c r="AB48" s="144" t="str" cm="1">
        <f t="array" ref="AB48">_xll.BDP($B48 &amp; " id cusip",AB$14)</f>
        <v>7/1/2038</v>
      </c>
      <c r="AC48" s="144" cm="1">
        <f t="array" ref="AC48">_xll.BDP($B48 &amp; " id cusip",AC$14,"settle_dt=" &amp; $U$13)</f>
        <v>1</v>
      </c>
      <c r="AD48" s="144" cm="1">
        <f t="array" ref="AD48">_xll.BDP($B48 &amp; " id cusip",AD$14,"settle_dt=" &amp; $U$13)</f>
        <v>32.31</v>
      </c>
      <c r="AE48" s="144" cm="1">
        <f t="array" ref="AE48">_xll.BDP($B48 &amp; " id cusip",AE$14,"settle_dt=" &amp; $U$13)</f>
        <v>12.957252673100001</v>
      </c>
      <c r="AF48" s="144" cm="1">
        <f t="array" ref="AF48">_xll.BDP($B48 &amp; " id cusip",AF$14,"settle_dt=" &amp; $U$13)</f>
        <v>3.1630320504627552E-2</v>
      </c>
      <c r="AG48" s="144" cm="1">
        <f t="array" ref="AG48">_xll.BDP($B48 &amp; " id cusip",AG$14,"settle_dt=" &amp; $U$13)</f>
        <v>3.683143836625824E-2</v>
      </c>
      <c r="AH48" s="144" cm="1">
        <f t="array" ref="AH48">_xll.BDP($B48 &amp; " id cusip",AH$14,"settle_dt=" &amp; $U$13)</f>
        <v>3.5781843681359504E-2</v>
      </c>
      <c r="AI48" s="144" cm="1">
        <f t="array" ref="AI48">_xll.BDP($B48 &amp; " id cusip",AI$14,"settle_dt=" &amp; $U$13)</f>
        <v>0.84146597312068083</v>
      </c>
      <c r="AJ48" s="144" cm="1">
        <f t="array" ref="AJ48">_xll.BDP($B48 &amp; " id cusip",AJ$14,"settle_dt=" &amp; $U$13)</f>
        <v>1.39459E-3</v>
      </c>
      <c r="AK48" s="144" t="str" cm="1">
        <f t="array" ref="AK48">_xll.BDP($B48 &amp; " id cusip",AK$14,"settle_dt=" &amp; $U$13)</f>
        <v>3/1/2024</v>
      </c>
      <c r="AL48" s="144" cm="1">
        <f t="array" ref="AL48">_xll.BDP($B48 &amp; " id cusip",AL$14,"settle_dt=" &amp; $U$13)</f>
        <v>1.39953E-3</v>
      </c>
      <c r="AM48" s="144" cm="1">
        <f t="array" ref="AM48">_xll.BDP($B48 &amp; " id cusip",AM$14,"settle_dt=" &amp; $U$13)</f>
        <v>360</v>
      </c>
      <c r="AN48" s="144" t="str" cm="1">
        <f t="array" ref="AN48">_xll.BDP($B48 &amp; " id cusip",AN$14,"settle_dt=" &amp; $U$13)</f>
        <v>LB</v>
      </c>
      <c r="AO48" s="144" cm="1">
        <f t="array" ref="AO48">_xll.BDP($B48 &amp; " id cusip",AO$14,"settle_dt=" &amp; $U$13)</f>
        <v>188</v>
      </c>
      <c r="AP48" s="144" cm="1">
        <f t="array" ref="AP48">_xll.BDP($B48 &amp; " id cusip",AP$14,"settle_dt=" &amp; $U$13)</f>
        <v>139000</v>
      </c>
      <c r="AQ48" s="144" cm="1">
        <f t="array" ref="AQ48">_xll.BDP($B48 &amp; " id cusip",AQ$14,"settle_dt=" &amp; $U$13)</f>
        <v>139000</v>
      </c>
      <c r="AR48" s="144" cm="1">
        <f t="array" ref="AR48">_xll.BDP($B48 &amp; " id cusip",AR$14,"settle_dt=" &amp; $U$13)</f>
        <v>64</v>
      </c>
      <c r="AS48" s="144" cm="1">
        <f t="array" ref="AS48">_xll.BDP($B48 &amp; " id cusip",AS$14,"settle_dt=" &amp; $U$13)</f>
        <v>748</v>
      </c>
      <c r="AT48" s="144" t="str" cm="1">
        <f t="array" ref="AT48">_xll.BDP($B48 &amp; " id cusip",AT$14,"settle_dt=" &amp; $U$13)</f>
        <v>CHASE HOME FINANCE</v>
      </c>
      <c r="AU48" s="144" t="str" cm="1">
        <f t="array" ref="AU48">_xll.BDP($B48 &amp; " id cusip",AU$14,"settle_dt=" &amp; $U$13)</f>
        <v>IL 100%</v>
      </c>
      <c r="AV48" s="144" t="str" cm="1">
        <f t="array" ref="AV48">_xll.BDP($B48 &amp; " id cusip",AV$14,"settle_dt=" &amp; $U$13)</f>
        <v>IL 16%</v>
      </c>
      <c r="AW48" s="144" t="str" cm="1">
        <f t="array" ref="AW48">_xll.BDP($B48 &amp; " id cusip",AW$14,"settle_dt=" &amp; $U$13)</f>
        <v>IL 20%</v>
      </c>
      <c r="AX48" s="144" cm="1">
        <f t="array" ref="AX48">_xll.BDP($B48 &amp; " id cusip",AX$14,"settle_dt=" &amp; $U$13)</f>
        <v>0</v>
      </c>
      <c r="AY48" s="144" cm="1">
        <f t="array" ref="AY48">_xll.BDP($B48 &amp; " id cusip",AY$14,"settle_dt=" &amp; $U$13)</f>
        <v>0</v>
      </c>
      <c r="AZ48" s="144" cm="1">
        <f t="array" ref="AZ48">_xll.BDP($B48 &amp; " id cusip",AZ$14,"settle_dt=" &amp; $U$13)</f>
        <v>0</v>
      </c>
      <c r="BA48" s="144" cm="1">
        <f t="array" ref="BA48">_xll.BDP($B48 &amp; " id cusip",BA$14,"settle_dt=" &amp; $U$13)</f>
        <v>0</v>
      </c>
      <c r="BB48" s="144" t="str" cm="1">
        <f t="array" ref="BB48">_xll.BDP($B48 &amp; " id cusip",BB$14,"settle_dt=" &amp; $U$13)</f>
        <v>IL 100.0</v>
      </c>
      <c r="BC48" s="144" t="str" cm="1">
        <f t="array" ref="BC48">_xll.BDP($B48 &amp; " id cusip",BC$14,"settle_dt=" &amp; $U$13)</f>
        <v>FL 7.4</v>
      </c>
      <c r="BD48" s="144" t="str" cm="1">
        <f t="array" ref="BD48">_xll.BDP($B48 &amp; " id cusip",BD$14,"settle_dt=" &amp; $U$13)</f>
        <v>MI 6.1</v>
      </c>
      <c r="BE48" s="144" cm="1">
        <f t="array" ref="BE48">_xll.BDP($B48 &amp; " id cusip",BE$14,"settle_dt=" &amp; $U$13)</f>
        <v>64</v>
      </c>
      <c r="BF48" s="144" t="str" cm="1">
        <f t="array" ref="BF48">_xll.BDP($B48 &amp; " id cusip",BF$14,"settle_dt=" &amp; $U$13)</f>
        <v>#N/A Field Not Applicable</v>
      </c>
      <c r="BG48" s="144" cm="1">
        <f t="array" ref="BG48">_xll.BDP($B48 &amp; " id cusip",BG$14,"settle_dt=" &amp; $U$13)</f>
        <v>139000</v>
      </c>
      <c r="BH48" s="144" cm="1">
        <f t="array" ref="BH48">_xll.BDP($B48 &amp; " id cusip",BH$14,"settle_dt=" &amp; $U$13)</f>
        <v>360</v>
      </c>
      <c r="BI48" s="144" t="str" cm="1">
        <f t="array" ref="BI48">_xll.BDP($B48 &amp; " id cusip",BI$14,"settle_dt=" &amp; $U$13)</f>
        <v>Mtge</v>
      </c>
      <c r="BJ48" s="144" cm="1">
        <f t="array" ref="BJ48">_xll.BDP($B48 &amp; " id cusip",BJ$14,"settle_dt=" &amp; $U$13)</f>
        <v>7.306</v>
      </c>
      <c r="BK48" s="144" t="str" cm="1">
        <f t="array" ref="BK48">_xll.BDP($B48 &amp; " id cusip",BK$14,"settle_dt=" &amp; $U$13)</f>
        <v>FNARM</v>
      </c>
      <c r="BL48" s="122">
        <f>_xll.BDP($B48 &amp; " mtge","YLD_CNV_BID","SETTLE_DT=" &amp; $U$13,"PX_BID=" &amp; $D48, "MTG_PREPAY_SPEED=" &amp; AD48, "MTG_PREPAY_TYP=CPR")</f>
        <v>6.6929999999999996</v>
      </c>
      <c r="BM48" s="122">
        <f>_xll.BDP($B48 &amp; " mtge","YLD_CNV_BID","SETTLE_DT=" &amp; $U$13,"PX_BID=" &amp; $D48, "MTG_PREPAY_SPEED=" &amp; AE48, "MTG_PREPAY_TYP=CPR")</f>
        <v>7.0949999999999998</v>
      </c>
      <c r="BN48" s="122">
        <f>_xll.BDP($B48 &amp; " mtge","YLD_CNV_BID","SETTLE_DT=" &amp; $U$13,"PX_BID=" &amp; $D48, "MTG_PREPAY_SPEED=" &amp; AF48, "MTG_PREPAY_TYP=CPR")</f>
        <v>7.2949999999999999</v>
      </c>
      <c r="BO48" s="122">
        <f>_xll.BDP($B48 &amp; " mtge","YLD_CNV_BID","SETTLE_DT=" &amp; $U$13,"PX_BID=" &amp; $D48, "MTG_PREPAY_SPEED=" &amp; AG48, "MTG_PREPAY_TYP=CPR")</f>
        <v>7.2949999999999999</v>
      </c>
      <c r="BP48" s="122">
        <f>_xll.BDP($B48 &amp; " mtge","YLD_CNV_BID","SETTLE_DT=" &amp; $U$13,"PX_BID=" &amp; $D48, "MTG_PREPAY_SPEED=" &amp; AH48, "MTG_PREPAY_TYP=CPR")</f>
        <v>7.2949999999999999</v>
      </c>
      <c r="BQ48" s="122">
        <f>_xll.BDP($B48 &amp; " mtge","YLD_CNV_BID","SETTLE_DT=" &amp; $U$13,"PX_BID=" &amp; $D48, "MTG_PREPAY_SPEED=" &amp; AI48, "MTG_PREPAY_TYP=CPR")</f>
        <v>7.2839999999999998</v>
      </c>
      <c r="BR48" s="122"/>
    </row>
    <row r="49" spans="1:70" s="44" customFormat="1" x14ac:dyDescent="0.25">
      <c r="A49" s="149"/>
      <c r="B49" s="137" t="s">
        <v>174</v>
      </c>
      <c r="C49" s="137">
        <v>1080000</v>
      </c>
      <c r="D49" s="137">
        <v>99.740139007568359</v>
      </c>
      <c r="E49" s="53"/>
      <c r="F49" s="6"/>
      <c r="G49" s="6"/>
      <c r="H49" s="6"/>
      <c r="I49" s="6"/>
      <c r="J49" s="6"/>
      <c r="K49" s="6"/>
      <c r="L49" s="6"/>
      <c r="M49" s="6"/>
      <c r="N49" s="6"/>
      <c r="O49" s="6"/>
      <c r="P49" s="6"/>
      <c r="Q49" s="6"/>
      <c r="R49" s="6"/>
      <c r="S49" s="6"/>
      <c r="T49" s="6" t="str">
        <f t="shared" si="2"/>
        <v/>
      </c>
      <c r="U49" s="144" t="str" cm="1">
        <f t="array" ref="U49">_xll.BDP(B49 &amp; " id cusip","id cusip")</f>
        <v>3138Y9P93</v>
      </c>
      <c r="V49" s="144" t="str" cm="1">
        <f t="array" ref="V49">_xll.BDP($B49 &amp; " id cusip",$V$14)</f>
        <v>FN AX7647</v>
      </c>
      <c r="W49" s="144" t="str" cm="1">
        <f t="array" ref="W49">_xll.BDP($B49 &amp; " id cusip",W$14)</f>
        <v>MBS ARM</v>
      </c>
      <c r="X49" s="144" cm="1">
        <f t="array" ref="X49">_xll.BDP($B49 &amp; " id cusip",X$14)</f>
        <v>5.83</v>
      </c>
      <c r="Y49" s="144" cm="1">
        <f t="array" ref="Y49">_xll.BDP($B49 &amp; " id cusip",Y$14)</f>
        <v>6.5</v>
      </c>
      <c r="Z49" s="144" cm="1">
        <f t="array" ref="Z49">_xll.BDP($B49 &amp; " id cusip",Z$14)</f>
        <v>249</v>
      </c>
      <c r="AA49" s="144" cm="1">
        <f t="array" ref="AA49">_xll.BDP($B49 &amp; " id cusip",AA$14)</f>
        <v>111</v>
      </c>
      <c r="AB49" s="144" t="str" cm="1">
        <f t="array" ref="AB49">_xll.BDP($B49 &amp; " id cusip",AB$14)</f>
        <v>12/1/2044</v>
      </c>
      <c r="AC49" s="144" cm="1">
        <f t="array" ref="AC49">_xll.BDP($B49 &amp; " id cusip",AC$14,"settle_dt=" &amp; $U$13)</f>
        <v>4</v>
      </c>
      <c r="AD49" s="144" cm="1">
        <f t="array" ref="AD49">_xll.BDP($B49 &amp; " id cusip",AD$14,"settle_dt=" &amp; $U$13)</f>
        <v>35.06</v>
      </c>
      <c r="AE49" s="144" cm="1">
        <f t="array" ref="AE49">_xll.BDP($B49 &amp; " id cusip",AE$14,"settle_dt=" &amp; $U$13)</f>
        <v>19.162170316699999</v>
      </c>
      <c r="AF49" s="144" cm="1">
        <f t="array" ref="AF49">_xll.BDP($B49 &amp; " id cusip",AF$14,"settle_dt=" &amp; $U$13)</f>
        <v>5.138149226800115</v>
      </c>
      <c r="AG49" s="144" cm="1">
        <f t="array" ref="AG49">_xll.BDP($B49 &amp; " id cusip",AG$14,"settle_dt=" &amp; $U$13)</f>
        <v>89.370552778030017</v>
      </c>
      <c r="AH49" s="144" cm="1">
        <f t="array" ref="AH49">_xll.BDP($B49 &amp; " id cusip",AH$14,"settle_dt=" &amp; $U$13)</f>
        <v>67.834557339057909</v>
      </c>
      <c r="AI49" s="144" cm="1">
        <f t="array" ref="AI49">_xll.BDP($B49 &amp; " id cusip",AI$14,"settle_dt=" &amp; $U$13)</f>
        <v>43.933637998481437</v>
      </c>
      <c r="AJ49" s="144" cm="1">
        <f t="array" ref="AJ49">_xll.BDP($B49 &amp; " id cusip",AJ$14,"settle_dt=" &amp; $U$13)</f>
        <v>1.4528620000000001E-2</v>
      </c>
      <c r="AK49" s="144" t="str" cm="1">
        <f t="array" ref="AK49">_xll.BDP($B49 &amp; " id cusip",AK$14,"settle_dt=" &amp; $U$13)</f>
        <v>3/1/2024</v>
      </c>
      <c r="AL49" s="144" cm="1">
        <f t="array" ref="AL49">_xll.BDP($B49 &amp; " id cusip",AL$14,"settle_dt=" &amp; $U$13)</f>
        <v>1.4620319999999999E-2</v>
      </c>
      <c r="AM49" s="144" cm="1">
        <f t="array" ref="AM49">_xll.BDP($B49 &amp; " id cusip",AM$14,"settle_dt=" &amp; $U$13)</f>
        <v>360</v>
      </c>
      <c r="AN49" s="144" t="str" cm="1">
        <f t="array" ref="AN49">_xll.BDP($B49 &amp; " id cusip",AN$14,"settle_dt=" &amp; $U$13)</f>
        <v>LB</v>
      </c>
      <c r="AO49" s="144" cm="1">
        <f t="array" ref="AO49">_xll.BDP($B49 &amp; " id cusip",AO$14,"settle_dt=" &amp; $U$13)</f>
        <v>111</v>
      </c>
      <c r="AP49" s="144" cm="1">
        <f t="array" ref="AP49">_xll.BDP($B49 &amp; " id cusip",AP$14,"settle_dt=" &amp; $U$13)</f>
        <v>183333</v>
      </c>
      <c r="AQ49" s="144" cm="1">
        <f t="array" ref="AQ49">_xll.BDP($B49 &amp; " id cusip",AQ$14,"settle_dt=" &amp; $U$13)</f>
        <v>346000</v>
      </c>
      <c r="AR49" s="144" cm="1">
        <f t="array" ref="AR49">_xll.BDP($B49 &amp; " id cusip",AR$14,"settle_dt=" &amp; $U$13)</f>
        <v>59</v>
      </c>
      <c r="AS49" s="144" cm="1">
        <f t="array" ref="AS49">_xll.BDP($B49 &amp; " id cusip",AS$14,"settle_dt=" &amp; $U$13)</f>
        <v>788</v>
      </c>
      <c r="AT49" s="144" t="str" cm="1">
        <f t="array" ref="AT49">_xll.BDP($B49 &amp; " id cusip",AT$14,"settle_dt=" &amp; $U$13)</f>
        <v>FLAGSTAR BANK, FSB</v>
      </c>
      <c r="AU49" s="144" t="str" cm="1">
        <f t="array" ref="AU49">_xll.BDP($B49 &amp; " id cusip",AU$14,"settle_dt=" &amp; $U$13)</f>
        <v>TX 51%</v>
      </c>
      <c r="AV49" s="144" t="str" cm="1">
        <f t="array" ref="AV49">_xll.BDP($B49 &amp; " id cusip",AV$14,"settle_dt=" &amp; $U$13)</f>
        <v>CA 49%</v>
      </c>
      <c r="AW49" s="144" t="str" cm="1">
        <f t="array" ref="AW49">_xll.BDP($B49 &amp; " id cusip",AW$14,"settle_dt=" &amp; $U$13)</f>
        <v>FL 13%</v>
      </c>
      <c r="AX49" s="144" cm="1">
        <f t="array" ref="AX49">_xll.BDP($B49 &amp; " id cusip",AX$14,"settle_dt=" &amp; $U$13)</f>
        <v>100</v>
      </c>
      <c r="AY49" s="144" cm="1">
        <f t="array" ref="AY49">_xll.BDP($B49 &amp; " id cusip",AY$14,"settle_dt=" &amp; $U$13)</f>
        <v>0</v>
      </c>
      <c r="AZ49" s="144" cm="1">
        <f t="array" ref="AZ49">_xll.BDP($B49 &amp; " id cusip",AZ$14,"settle_dt=" &amp; $U$13)</f>
        <v>0</v>
      </c>
      <c r="BA49" s="144" cm="1">
        <f t="array" ref="BA49">_xll.BDP($B49 &amp; " id cusip",BA$14,"settle_dt=" &amp; $U$13)</f>
        <v>0</v>
      </c>
      <c r="BB49" s="144" t="str" cm="1">
        <f t="array" ref="BB49">_xll.BDP($B49 &amp; " id cusip",BB$14,"settle_dt=" &amp; $U$13)</f>
        <v>TX 51.0</v>
      </c>
      <c r="BC49" s="144" t="str" cm="1">
        <f t="array" ref="BC49">_xll.BDP($B49 &amp; " id cusip",BC$14,"settle_dt=" &amp; $U$13)</f>
        <v>CA 49.0</v>
      </c>
      <c r="BD49" s="144" t="str" cm="1">
        <f t="array" ref="BD49">_xll.BDP($B49 &amp; " id cusip",BD$14,"settle_dt=" &amp; $U$13)</f>
        <v>IL 6.2</v>
      </c>
      <c r="BE49" s="144" cm="1">
        <f t="array" ref="BE49">_xll.BDP($B49 &amp; " id cusip",BE$14,"settle_dt=" &amp; $U$13)</f>
        <v>59</v>
      </c>
      <c r="BF49" s="144" t="str" cm="1">
        <f t="array" ref="BF49">_xll.BDP($B49 &amp; " id cusip",BF$14,"settle_dt=" &amp; $U$13)</f>
        <v>#N/A Field Not Applicable</v>
      </c>
      <c r="BG49" s="144" cm="1">
        <f t="array" ref="BG49">_xll.BDP($B49 &amp; " id cusip",BG$14,"settle_dt=" &amp; $U$13)</f>
        <v>346000</v>
      </c>
      <c r="BH49" s="144" cm="1">
        <f t="array" ref="BH49">_xll.BDP($B49 &amp; " id cusip",BH$14,"settle_dt=" &amp; $U$13)</f>
        <v>360</v>
      </c>
      <c r="BI49" s="144" t="str" cm="1">
        <f t="array" ref="BI49">_xll.BDP($B49 &amp; " id cusip",BI$14,"settle_dt=" &amp; $U$13)</f>
        <v>Mtge</v>
      </c>
      <c r="BJ49" s="144" cm="1">
        <f t="array" ref="BJ49">_xll.BDP($B49 &amp; " id cusip",BJ$14,"settle_dt=" &amp; $U$13)</f>
        <v>6.4029999999999996</v>
      </c>
      <c r="BK49" s="144" t="str" cm="1">
        <f t="array" ref="BK49">_xll.BDP($B49 &amp; " id cusip",BK$14,"settle_dt=" &amp; $U$13)</f>
        <v>FNARM</v>
      </c>
      <c r="BL49" s="122">
        <f>_xll.BDP($B49 &amp; " mtge","YLD_CNV_BID","SETTLE_DT=" &amp; $U$13,"PX_BID=" &amp; $D49, "MTG_PREPAY_SPEED=" &amp; AD49, "MTG_PREPAY_TYP=CPR")</f>
        <v>6.806</v>
      </c>
      <c r="BM49" s="122">
        <f>_xll.BDP($B49 &amp; " mtge","YLD_CNV_BID","SETTLE_DT=" &amp; $U$13,"PX_BID=" &amp; $D49, "MTG_PREPAY_SPEED=" &amp; AE49, "MTG_PREPAY_TYP=CPR")</f>
        <v>7.0090000000000003</v>
      </c>
      <c r="BN49" s="122">
        <f>_xll.BDP($B49 &amp; " mtge","YLD_CNV_BID","SETTLE_DT=" &amp; $U$13,"PX_BID=" &amp; $D49, "MTG_PREPAY_SPEED=" &amp; AF49, "MTG_PREPAY_TYP=CPR")</f>
        <v>7.1660000000000004</v>
      </c>
      <c r="BO49" s="122">
        <f>_xll.BDP($B49 &amp; " mtge","YLD_CNV_BID","SETTLE_DT=" &amp; $U$13,"PX_BID=" &amp; $D49, "MTG_PREPAY_SPEED=" &amp; AG49, "MTG_PREPAY_TYP=CPR")</f>
        <v>5.8810000000000002</v>
      </c>
      <c r="BP49" s="122">
        <f>_xll.BDP($B49 &amp; " mtge","YLD_CNV_BID","SETTLE_DT=" &amp; $U$13,"PX_BID=" &amp; $D49, "MTG_PREPAY_SPEED=" &amp; AH49, "MTG_PREPAY_TYP=CPR")</f>
        <v>6.3159999999999998</v>
      </c>
      <c r="BQ49" s="122">
        <f>_xll.BDP($B49 &amp; " mtge","YLD_CNV_BID","SETTLE_DT=" &amp; $U$13,"PX_BID=" &amp; $D49, "MTG_PREPAY_SPEED=" &amp; AI49, "MTG_PREPAY_TYP=CPR")</f>
        <v>6.6840000000000002</v>
      </c>
      <c r="BR49" s="122"/>
    </row>
    <row r="50" spans="1:70" x14ac:dyDescent="0.25">
      <c r="A50" s="149"/>
      <c r="B50" s="137" t="s">
        <v>175</v>
      </c>
      <c r="C50" s="137">
        <v>300000</v>
      </c>
      <c r="D50" s="137">
        <v>100.86868286132813</v>
      </c>
      <c r="E50" s="53"/>
      <c r="T50" s="6" t="str">
        <f t="shared" si="2"/>
        <v/>
      </c>
      <c r="U50" s="144" t="str" cm="1">
        <f t="array" ref="U50">_xll.BDP(B50 &amp; " id cusip","id cusip")</f>
        <v>3140J7PV1</v>
      </c>
      <c r="V50" s="144" t="str" cm="1">
        <f t="array" ref="V50">_xll.BDP($B50 &amp; " id cusip",$V$14)</f>
        <v>FN BM3135</v>
      </c>
      <c r="W50" s="144" t="str" cm="1">
        <f t="array" ref="W50">_xll.BDP($B50 &amp; " id cusip",W$14)</f>
        <v>MBS ARM</v>
      </c>
      <c r="X50" s="144" cm="1">
        <f t="array" ref="X50">_xll.BDP($B50 &amp; " id cusip",X$14)</f>
        <v>5.8150000000000004</v>
      </c>
      <c r="Y50" s="144" cm="1">
        <f t="array" ref="Y50">_xll.BDP($B50 &amp; " id cusip",Y$14)</f>
        <v>6.5369999999999999</v>
      </c>
      <c r="Z50" s="144" cm="1">
        <f t="array" ref="Z50">_xll.BDP($B50 &amp; " id cusip",Z$14)</f>
        <v>236</v>
      </c>
      <c r="AA50" s="144" cm="1">
        <f t="array" ref="AA50">_xll.BDP($B50 &amp; " id cusip",AA$14)</f>
        <v>124</v>
      </c>
      <c r="AB50" s="144" t="str" cm="1">
        <f t="array" ref="AB50">_xll.BDP($B50 &amp; " id cusip",AB$14)</f>
        <v>2/1/2045</v>
      </c>
      <c r="AC50" s="144" cm="1">
        <f t="array" ref="AC50">_xll.BDP($B50 &amp; " id cusip",AC$14,"settle_dt=" &amp; $U$13)</f>
        <v>245</v>
      </c>
      <c r="AD50" s="144" cm="1">
        <f t="array" ref="AD50">_xll.BDP($B50 &amp; " id cusip",AD$14,"settle_dt=" &amp; $U$13)</f>
        <v>31.25</v>
      </c>
      <c r="AE50" s="144" cm="1">
        <f t="array" ref="AE50">_xll.BDP($B50 &amp; " id cusip",AE$14,"settle_dt=" &amp; $U$13)</f>
        <v>19.162170316699999</v>
      </c>
      <c r="AF50" s="144" cm="1">
        <f t="array" ref="AF50">_xll.BDP($B50 &amp; " id cusip",AF$14,"settle_dt=" &amp; $U$13)</f>
        <v>1.7025160563105546</v>
      </c>
      <c r="AG50" s="144" cm="1">
        <f t="array" ref="AG50">_xll.BDP($B50 &amp; " id cusip",AG$14,"settle_dt=" &amp; $U$13)</f>
        <v>19.332703648761608</v>
      </c>
      <c r="AH50" s="144" cm="1">
        <f t="array" ref="AH50">_xll.BDP($B50 &amp; " id cusip",AH$14,"settle_dt=" &amp; $U$13)</f>
        <v>17.30510091944447</v>
      </c>
      <c r="AI50" s="144" cm="1">
        <f t="array" ref="AI50">_xll.BDP($B50 &amp; " id cusip",AI$14,"settle_dt=" &amp; $U$13)</f>
        <v>18.067877123918684</v>
      </c>
      <c r="AJ50" s="144" cm="1">
        <f t="array" ref="AJ50">_xll.BDP($B50 &amp; " id cusip",AJ$14,"settle_dt=" &amp; $U$13)</f>
        <v>7.8261510000000006E-2</v>
      </c>
      <c r="AK50" s="144" t="str" cm="1">
        <f t="array" ref="AK50">_xll.BDP($B50 &amp; " id cusip",AK$14,"settle_dt=" &amp; $U$13)</f>
        <v>3/1/2024</v>
      </c>
      <c r="AL50" s="144" cm="1">
        <f t="array" ref="AL50">_xll.BDP($B50 &amp; " id cusip",AL$14,"settle_dt=" &amp; $U$13)</f>
        <v>7.853665E-2</v>
      </c>
      <c r="AM50" s="144" cm="1">
        <f t="array" ref="AM50">_xll.BDP($B50 &amp; " id cusip",AM$14,"settle_dt=" &amp; $U$13)</f>
        <v>311</v>
      </c>
      <c r="AN50" s="144" t="str" cm="1">
        <f t="array" ref="AN50">_xll.BDP($B50 &amp; " id cusip",AN$14,"settle_dt=" &amp; $U$13)</f>
        <v>LB</v>
      </c>
      <c r="AO50" s="144" cm="1">
        <f t="array" ref="AO50">_xll.BDP($B50 &amp; " id cusip",AO$14,"settle_dt=" &amp; $U$13)</f>
        <v>124</v>
      </c>
      <c r="AP50" s="144" cm="1">
        <f t="array" ref="AP50">_xll.BDP($B50 &amp; " id cusip",AP$14,"settle_dt=" &amp; $U$13)</f>
        <v>280183</v>
      </c>
      <c r="AQ50" s="144" cm="1">
        <f t="array" ref="AQ50">_xll.BDP($B50 &amp; " id cusip",AQ$14,"settle_dt=" &amp; $U$13)</f>
        <v>625000</v>
      </c>
      <c r="AR50" s="144" cm="1">
        <f t="array" ref="AR50">_xll.BDP($B50 &amp; " id cusip",AR$14,"settle_dt=" &amp; $U$13)</f>
        <v>70</v>
      </c>
      <c r="AS50" s="144" cm="1">
        <f t="array" ref="AS50">_xll.BDP($B50 &amp; " id cusip",AS$14,"settle_dt=" &amp; $U$13)</f>
        <v>750</v>
      </c>
      <c r="AT50" s="144" t="str" cm="1">
        <f t="array" ref="AT50">_xll.BDP($B50 &amp; " id cusip",AT$14,"settle_dt=" &amp; $U$13)</f>
        <v>FANNIE MAE MEGA</v>
      </c>
      <c r="AU50" s="144" t="str" cm="1">
        <f t="array" ref="AU50">_xll.BDP($B50 &amp; " id cusip",AU$14,"settle_dt=" &amp; $U$13)</f>
        <v>CA 24%</v>
      </c>
      <c r="AV50" s="144" t="str" cm="1">
        <f t="array" ref="AV50">_xll.BDP($B50 &amp; " id cusip",AV$14,"settle_dt=" &amp; $U$13)</f>
        <v>AZ 9%</v>
      </c>
      <c r="AW50" s="144" t="str" cm="1">
        <f t="array" ref="AW50">_xll.BDP($B50 &amp; " id cusip",AW$14,"settle_dt=" &amp; $U$13)</f>
        <v>MD 8%</v>
      </c>
      <c r="AX50" s="144" cm="1">
        <f t="array" ref="AX50">_xll.BDP($B50 &amp; " id cusip",AX$14,"settle_dt=" &amp; $U$13)</f>
        <v>35.339999999999996</v>
      </c>
      <c r="AY50" s="144" cm="1">
        <f t="array" ref="AY50">_xll.BDP($B50 &amp; " id cusip",AY$14,"settle_dt=" &amp; $U$13)</f>
        <v>0</v>
      </c>
      <c r="AZ50" s="144" cm="1">
        <f t="array" ref="AZ50">_xll.BDP($B50 &amp; " id cusip",AZ$14,"settle_dt=" &amp; $U$13)</f>
        <v>0</v>
      </c>
      <c r="BA50" s="144" cm="1">
        <f t="array" ref="BA50">_xll.BDP($B50 &amp; " id cusip",BA$14,"settle_dt=" &amp; $U$13)</f>
        <v>0</v>
      </c>
      <c r="BB50" s="144" t="str" cm="1">
        <f t="array" ref="BB50">_xll.BDP($B50 &amp; " id cusip",BB$14,"settle_dt=" &amp; $U$13)</f>
        <v>CA 24.3</v>
      </c>
      <c r="BC50" s="144" t="str" cm="1">
        <f t="array" ref="BC50">_xll.BDP($B50 &amp; " id cusip",BC$14,"settle_dt=" &amp; $U$13)</f>
        <v>AZ 8.5</v>
      </c>
      <c r="BD50" s="144" t="str" cm="1">
        <f t="array" ref="BD50">_xll.BDP($B50 &amp; " id cusip",BD$14,"settle_dt=" &amp; $U$13)</f>
        <v>MD 8.2</v>
      </c>
      <c r="BE50" s="144" cm="1">
        <f t="array" ref="BE50">_xll.BDP($B50 &amp; " id cusip",BE$14,"settle_dt=" &amp; $U$13)</f>
        <v>70</v>
      </c>
      <c r="BF50" s="144" t="str" cm="1">
        <f t="array" ref="BF50">_xll.BDP($B50 &amp; " id cusip",BF$14,"settle_dt=" &amp; $U$13)</f>
        <v>#N/A Field Not Applicable</v>
      </c>
      <c r="BG50" s="144" cm="1">
        <f t="array" ref="BG50">_xll.BDP($B50 &amp; " id cusip",BG$14,"settle_dt=" &amp; $U$13)</f>
        <v>625000</v>
      </c>
      <c r="BH50" s="144" cm="1">
        <f t="array" ref="BH50">_xll.BDP($B50 &amp; " id cusip",BH$14,"settle_dt=" &amp; $U$13)</f>
        <v>360</v>
      </c>
      <c r="BI50" s="144" t="str" cm="1">
        <f t="array" ref="BI50">_xll.BDP($B50 &amp; " id cusip",BI$14,"settle_dt=" &amp; $U$13)</f>
        <v>Mtge</v>
      </c>
      <c r="BJ50" s="144" cm="1">
        <f t="array" ref="BJ50">_xll.BDP($B50 &amp; " id cusip",BJ$14,"settle_dt=" &amp; $U$13)</f>
        <v>6.7089999999999996</v>
      </c>
      <c r="BK50" s="144" t="str" cm="1">
        <f t="array" ref="BK50">_xll.BDP($B50 &amp; " id cusip",BK$14,"settle_dt=" &amp; $U$13)</f>
        <v>FNARM</v>
      </c>
      <c r="BL50" s="122">
        <f>_xll.BDP($B50 &amp; " mtge","YLD_CNV_BID","SETTLE_DT=" &amp; $U$13,"PX_BID=" &amp; $D50, "MTG_PREPAY_SPEED=" &amp; AD50, "MTG_PREPAY_TYP=CPR")</f>
        <v>6.367</v>
      </c>
      <c r="BM50" s="122">
        <f>_xll.BDP($B50 &amp; " mtge","YLD_CNV_BID","SETTLE_DT=" &amp; $U$13,"PX_BID=" &amp; $D50, "MTG_PREPAY_SPEED=" &amp; AE50, "MTG_PREPAY_TYP=CPR")</f>
        <v>6.6479999999999997</v>
      </c>
      <c r="BN50" s="122">
        <f>_xll.BDP($B50 &amp; " mtge","YLD_CNV_BID","SETTLE_DT=" &amp; $U$13,"PX_BID=" &amp; $D50, "MTG_PREPAY_SPEED=" &amp; AF50, "MTG_PREPAY_TYP=CPR")</f>
        <v>6.9740000000000002</v>
      </c>
      <c r="BO50" s="122">
        <f>_xll.BDP($B50 &amp; " mtge","YLD_CNV_BID","SETTLE_DT=" &amp; $U$13,"PX_BID=" &amp; $D50, "MTG_PREPAY_SPEED=" &amp; AG50, "MTG_PREPAY_TYP=CPR")</f>
        <v>6.6440000000000001</v>
      </c>
      <c r="BP50" s="122">
        <f>_xll.BDP($B50 &amp; " mtge","YLD_CNV_BID","SETTLE_DT=" &amp; $U$13,"PX_BID=" &amp; $D50, "MTG_PREPAY_SPEED=" &amp; AH50, "MTG_PREPAY_TYP=CPR")</f>
        <v>6.6870000000000003</v>
      </c>
      <c r="BQ50" s="122">
        <f>_xll.BDP($B50 &amp; " mtge","YLD_CNV_BID","SETTLE_DT=" &amp; $U$13,"PX_BID=" &amp; $D50, "MTG_PREPAY_SPEED=" &amp; AI50, "MTG_PREPAY_TYP=CPR")</f>
        <v>6.6710000000000003</v>
      </c>
      <c r="BR50" s="122"/>
    </row>
    <row r="51" spans="1:70" x14ac:dyDescent="0.25">
      <c r="A51" s="149"/>
      <c r="B51" s="137" t="s">
        <v>176</v>
      </c>
      <c r="C51" s="137">
        <v>818265</v>
      </c>
      <c r="D51" s="137">
        <v>99.575595855712891</v>
      </c>
      <c r="E51" s="53"/>
      <c r="T51" s="6" t="str">
        <f t="shared" si="2"/>
        <v/>
      </c>
      <c r="U51" s="144" t="str" cm="1">
        <f t="array" ref="U51">_xll.BDP(B51 &amp; " id cusip","id cusip")</f>
        <v>3138WTWW2</v>
      </c>
      <c r="V51" s="144" t="str" cm="1">
        <f t="array" ref="V51">_xll.BDP($B51 &amp; " id cusip",$V$14)</f>
        <v>FN AT6060</v>
      </c>
      <c r="W51" s="144" t="str" cm="1">
        <f t="array" ref="W51">_xll.BDP($B51 &amp; " id cusip",W$14)</f>
        <v>MBS ARM</v>
      </c>
      <c r="X51" s="144" cm="1">
        <f t="array" ref="X51">_xll.BDP($B51 &amp; " id cusip",X$14)</f>
        <v>5.1890000000000001</v>
      </c>
      <c r="Y51" s="144" cm="1">
        <f t="array" ref="Y51">_xll.BDP($B51 &amp; " id cusip",Y$14)</f>
        <v>5.9009999999999998</v>
      </c>
      <c r="Z51" s="144" cm="1">
        <f t="array" ref="Z51">_xll.BDP($B51 &amp; " id cusip",Z$14)</f>
        <v>230</v>
      </c>
      <c r="AA51" s="144" cm="1">
        <f t="array" ref="AA51">_xll.BDP($B51 &amp; " id cusip",AA$14)</f>
        <v>130</v>
      </c>
      <c r="AB51" s="144" t="str" cm="1">
        <f t="array" ref="AB51">_xll.BDP($B51 &amp; " id cusip",AB$14)</f>
        <v>5/1/2043</v>
      </c>
      <c r="AC51" s="144" cm="1">
        <f t="array" ref="AC51">_xll.BDP($B51 &amp; " id cusip",AC$14,"settle_dt=" &amp; $U$13)</f>
        <v>3</v>
      </c>
      <c r="AD51" s="144" cm="1">
        <f t="array" ref="AD51">_xll.BDP($B51 &amp; " id cusip",AD$14,"settle_dt=" &amp; $U$13)</f>
        <v>26.79</v>
      </c>
      <c r="AE51" s="144" cm="1">
        <f t="array" ref="AE51">_xll.BDP($B51 &amp; " id cusip",AE$14,"settle_dt=" &amp; $U$13)</f>
        <v>21.5015529149</v>
      </c>
      <c r="AF51" s="144" cm="1">
        <f t="array" ref="AF51">_xll.BDP($B51 &amp; " id cusip",AF$14,"settle_dt=" &amp; $U$13)</f>
        <v>66.657974106707769</v>
      </c>
      <c r="AG51" s="144" cm="1">
        <f t="array" ref="AG51">_xll.BDP($B51 &amp; " id cusip",AG$14,"settle_dt=" &amp; $U$13)</f>
        <v>30.703174097124631</v>
      </c>
      <c r="AH51" s="144" cm="1">
        <f t="array" ref="AH51">_xll.BDP($B51 &amp; " id cusip",AH$14,"settle_dt=" &amp; $U$13)</f>
        <v>29.602670584968529</v>
      </c>
      <c r="AI51" s="144" cm="1">
        <f t="array" ref="AI51">_xll.BDP($B51 &amp; " id cusip",AI$14,"settle_dt=" &amp; $U$13)</f>
        <v>27.572577371232796</v>
      </c>
      <c r="AJ51" s="144" cm="1">
        <f t="array" ref="AJ51">_xll.BDP($B51 &amp; " id cusip",AJ$14,"settle_dt=" &amp; $U$13)</f>
        <v>2.5607950000000001E-2</v>
      </c>
      <c r="AK51" s="144" t="str" cm="1">
        <f t="array" ref="AK51">_xll.BDP($B51 &amp; " id cusip",AK$14,"settle_dt=" &amp; $U$13)</f>
        <v>3/1/2024</v>
      </c>
      <c r="AL51" s="144" cm="1">
        <f t="array" ref="AL51">_xll.BDP($B51 &amp; " id cusip",AL$14,"settle_dt=" &amp; $U$13)</f>
        <v>2.812808E-2</v>
      </c>
      <c r="AM51" s="144" cm="1">
        <f t="array" ref="AM51">_xll.BDP($B51 &amp; " id cusip",AM$14,"settle_dt=" &amp; $U$13)</f>
        <v>359</v>
      </c>
      <c r="AN51" s="144" t="str" cm="1">
        <f t="array" ref="AN51">_xll.BDP($B51 &amp; " id cusip",AN$14,"settle_dt=" &amp; $U$13)</f>
        <v>LB</v>
      </c>
      <c r="AO51" s="144" cm="1">
        <f t="array" ref="AO51">_xll.BDP($B51 &amp; " id cusip",AO$14,"settle_dt=" &amp; $U$13)</f>
        <v>130</v>
      </c>
      <c r="AP51" s="144" cm="1">
        <f t="array" ref="AP51">_xll.BDP($B51 &amp; " id cusip",AP$14,"settle_dt=" &amp; $U$13)</f>
        <v>375637</v>
      </c>
      <c r="AQ51" s="144" cm="1">
        <f t="array" ref="AQ51">_xll.BDP($B51 &amp; " id cusip",AQ$14,"settle_dt=" &amp; $U$13)</f>
        <v>593000</v>
      </c>
      <c r="AR51" s="144" cm="1">
        <f t="array" ref="AR51">_xll.BDP($B51 &amp; " id cusip",AR$14,"settle_dt=" &amp; $U$13)</f>
        <v>71</v>
      </c>
      <c r="AS51" s="144" cm="1">
        <f t="array" ref="AS51">_xll.BDP($B51 &amp; " id cusip",AS$14,"settle_dt=" &amp; $U$13)</f>
        <v>780</v>
      </c>
      <c r="AT51" s="144" t="str" cm="1">
        <f t="array" ref="AT51">_xll.BDP($B51 &amp; " id cusip",AT$14,"settle_dt=" &amp; $U$13)</f>
        <v>JPMORGAN CHASE BANK, NATIONAL</v>
      </c>
      <c r="AU51" s="144" t="str" cm="1">
        <f t="array" ref="AU51">_xll.BDP($B51 &amp; " id cusip",AU$14,"settle_dt=" &amp; $U$13)</f>
        <v>MA 43%</v>
      </c>
      <c r="AV51" s="144" t="str" cm="1">
        <f t="array" ref="AV51">_xll.BDP($B51 &amp; " id cusip",AV$14,"settle_dt=" &amp; $U$13)</f>
        <v>CA 30%</v>
      </c>
      <c r="AW51" s="144" t="str" cm="1">
        <f t="array" ref="AW51">_xll.BDP($B51 &amp; " id cusip",AW$14,"settle_dt=" &amp; $U$13)</f>
        <v>CO 26%</v>
      </c>
      <c r="AX51" s="144" cm="1">
        <f t="array" ref="AX51">_xll.BDP($B51 &amp; " id cusip",AX$14,"settle_dt=" &amp; $U$13)</f>
        <v>26.450000000000003</v>
      </c>
      <c r="AY51" s="144" cm="1">
        <f t="array" ref="AY51">_xll.BDP($B51 &amp; " id cusip",AY$14,"settle_dt=" &amp; $U$13)</f>
        <v>0</v>
      </c>
      <c r="AZ51" s="144" cm="1">
        <f t="array" ref="AZ51">_xll.BDP($B51 &amp; " id cusip",AZ$14,"settle_dt=" &amp; $U$13)</f>
        <v>0</v>
      </c>
      <c r="BA51" s="144" cm="1">
        <f t="array" ref="BA51">_xll.BDP($B51 &amp; " id cusip",BA$14,"settle_dt=" &amp; $U$13)</f>
        <v>0</v>
      </c>
      <c r="BB51" s="144" t="str" cm="1">
        <f t="array" ref="BB51">_xll.BDP($B51 &amp; " id cusip",BB$14,"settle_dt=" &amp; $U$13)</f>
        <v>MA 43.1</v>
      </c>
      <c r="BC51" s="144" t="str" cm="1">
        <f t="array" ref="BC51">_xll.BDP($B51 &amp; " id cusip",BC$14,"settle_dt=" &amp; $U$13)</f>
        <v>CA 30.4</v>
      </c>
      <c r="BD51" s="144" t="str" cm="1">
        <f t="array" ref="BD51">_xll.BDP($B51 &amp; " id cusip",BD$14,"settle_dt=" &amp; $U$13)</f>
        <v>CO 26.5</v>
      </c>
      <c r="BE51" s="144" cm="1">
        <f t="array" ref="BE51">_xll.BDP($B51 &amp; " id cusip",BE$14,"settle_dt=" &amp; $U$13)</f>
        <v>71</v>
      </c>
      <c r="BF51" s="144" t="str" cm="1">
        <f t="array" ref="BF51">_xll.BDP($B51 &amp; " id cusip",BF$14,"settle_dt=" &amp; $U$13)</f>
        <v>#N/A Field Not Applicable</v>
      </c>
      <c r="BG51" s="144" cm="1">
        <f t="array" ref="BG51">_xll.BDP($B51 &amp; " id cusip",BG$14,"settle_dt=" &amp; $U$13)</f>
        <v>593000</v>
      </c>
      <c r="BH51" s="144" cm="1">
        <f t="array" ref="BH51">_xll.BDP($B51 &amp; " id cusip",BH$14,"settle_dt=" &amp; $U$13)</f>
        <v>360</v>
      </c>
      <c r="BI51" s="144" t="str" cm="1">
        <f t="array" ref="BI51">_xll.BDP($B51 &amp; " id cusip",BI$14,"settle_dt=" &amp; $U$13)</f>
        <v>Mtge</v>
      </c>
      <c r="BJ51" s="144" cm="1">
        <f t="array" ref="BJ51">_xll.BDP($B51 &amp; " id cusip",BJ$14,"settle_dt=" &amp; $U$13)</f>
        <v>6.9870000000000001</v>
      </c>
      <c r="BK51" s="144" t="str" cm="1">
        <f t="array" ref="BK51">_xll.BDP($B51 &amp; " id cusip",BK$14,"settle_dt=" &amp; $U$13)</f>
        <v>FNARM</v>
      </c>
      <c r="BL51" s="122">
        <f>_xll.BDP($B51 &amp; " mtge","YLD_CNV_BID","SETTLE_DT=" &amp; $U$13,"PX_BID=" &amp; $D51, "MTG_PREPAY_SPEED=" &amp; AD51, "MTG_PREPAY_TYP=CPR")</f>
        <v>6.9630000000000001</v>
      </c>
      <c r="BM51" s="122">
        <f>_xll.BDP($B51 &amp; " mtge","YLD_CNV_BID","SETTLE_DT=" &amp; $U$13,"PX_BID=" &amp; $D51, "MTG_PREPAY_SPEED=" &amp; AE51, "MTG_PREPAY_TYP=CPR")</f>
        <v>6.98</v>
      </c>
      <c r="BN51" s="122">
        <f>_xll.BDP($B51 &amp; " mtge","YLD_CNV_BID","SETTLE_DT=" &amp; $U$13,"PX_BID=" &amp; $D51, "MTG_PREPAY_SPEED=" &amp; AF51, "MTG_PREPAY_TYP=CPR")</f>
        <v>6.7930000000000001</v>
      </c>
      <c r="BO51" s="122">
        <f>_xll.BDP($B51 &amp; " mtge","YLD_CNV_BID","SETTLE_DT=" &amp; $U$13,"PX_BID=" &amp; $D51, "MTG_PREPAY_SPEED=" &amp; AG51, "MTG_PREPAY_TYP=CPR")</f>
        <v>6.95</v>
      </c>
      <c r="BP51" s="122">
        <f>_xll.BDP($B51 &amp; " mtge","YLD_CNV_BID","SETTLE_DT=" &amp; $U$13,"PX_BID=" &amp; $D51, "MTG_PREPAY_SPEED=" &amp; AH51, "MTG_PREPAY_TYP=CPR")</f>
        <v>6.9539999999999997</v>
      </c>
      <c r="BQ51" s="122">
        <f>_xll.BDP($B51 &amp; " mtge","YLD_CNV_BID","SETTLE_DT=" &amp; $U$13,"PX_BID=" &amp; $D51, "MTG_PREPAY_SPEED=" &amp; AI51, "MTG_PREPAY_TYP=CPR")</f>
        <v>6.9610000000000003</v>
      </c>
      <c r="BR51" s="122"/>
    </row>
    <row r="52" spans="1:70" x14ac:dyDescent="0.25">
      <c r="A52" s="148" t="s">
        <v>104</v>
      </c>
      <c r="B52" s="138" t="s">
        <v>177</v>
      </c>
      <c r="C52" s="138">
        <v>1100000</v>
      </c>
      <c r="D52" s="138">
        <v>99.89398193359375</v>
      </c>
      <c r="E52" s="139"/>
      <c r="T52" s="6" t="str">
        <f t="shared" si="2"/>
        <v/>
      </c>
      <c r="U52" s="144" t="str" cm="1">
        <f t="array" ref="U52">_xll.BDP(B52 &amp; " id cusip","id cusip")</f>
        <v>31411GJU7</v>
      </c>
      <c r="V52" s="144" t="str" cm="1">
        <f t="array" ref="V52">_xll.BDP($B52 &amp; " id cusip",$V$14)</f>
        <v>FN 907575</v>
      </c>
      <c r="W52" s="144" t="str" cm="1">
        <f t="array" ref="W52">_xll.BDP($B52 &amp; " id cusip",W$14)</f>
        <v>MBS ARM</v>
      </c>
      <c r="X52" s="144" cm="1">
        <f t="array" ref="X52">_xll.BDP($B52 &amp; " id cusip",X$14)</f>
        <v>5.91</v>
      </c>
      <c r="Y52" s="144" cm="1">
        <f t="array" ref="Y52">_xll.BDP($B52 &amp; " id cusip",Y$14)</f>
        <v>6.5</v>
      </c>
      <c r="Z52" s="144" cm="1">
        <f t="array" ref="Z52">_xll.BDP($B52 &amp; " id cusip",Z$14)</f>
        <v>152</v>
      </c>
      <c r="AA52" s="144" cm="1">
        <f t="array" ref="AA52">_xll.BDP($B52 &amp; " id cusip",AA$14)</f>
        <v>208</v>
      </c>
      <c r="AB52" s="144" t="str" cm="1">
        <f t="array" ref="AB52">_xll.BDP($B52 &amp; " id cusip",AB$14)</f>
        <v>12/1/2036</v>
      </c>
      <c r="AC52" s="144" cm="1">
        <f t="array" ref="AC52">_xll.BDP($B52 &amp; " id cusip",AC$14,"settle_dt=" &amp; $U$13)</f>
        <v>2</v>
      </c>
      <c r="AD52" s="144" cm="1">
        <f t="array" ref="AD52">_xll.BDP($B52 &amp; " id cusip",AD$14,"settle_dt=" &amp; $U$13)</f>
        <v>17.71</v>
      </c>
      <c r="AE52" s="144" cm="1">
        <f t="array" ref="AE52">_xll.BDP($B52 &amp; " id cusip",AE$14,"settle_dt=" &amp; $U$13)</f>
        <v>11.2464111685</v>
      </c>
      <c r="AF52" s="144" cm="1">
        <f t="array" ref="AF52">_xll.BDP($B52 &amp; " id cusip",AF$14,"settle_dt=" &amp; $U$13)</f>
        <v>2.0792708164130147E-4</v>
      </c>
      <c r="AG52" s="144" cm="1">
        <f t="array" ref="AG52">_xll.BDP($B52 &amp; " id cusip",AG$14,"settle_dt=" &amp; $U$13)</f>
        <v>-3.2423943574499958E-5</v>
      </c>
      <c r="AH52" s="144" cm="1">
        <f t="array" ref="AH52">_xll.BDP($B52 &amp; " id cusip",AH$14,"settle_dt=" &amp; $U$13)</f>
        <v>1.3588399414810048E-2</v>
      </c>
      <c r="AI52" s="144" cm="1">
        <f t="array" ref="AI52">_xll.BDP($B52 &amp; " id cusip",AI$14,"settle_dt=" &amp; $U$13)</f>
        <v>0.40366419485750038</v>
      </c>
      <c r="AJ52" s="144" cm="1">
        <f t="array" ref="AJ52">_xll.BDP($B52 &amp; " id cusip",AJ$14,"settle_dt=" &amp; $U$13)</f>
        <v>2.003446E-2</v>
      </c>
      <c r="AK52" s="144" t="str" cm="1">
        <f t="array" ref="AK52">_xll.BDP($B52 &amp; " id cusip",AK$14,"settle_dt=" &amp; $U$13)</f>
        <v>3/1/2024</v>
      </c>
      <c r="AL52" s="144" cm="1">
        <f t="array" ref="AL52">_xll.BDP($B52 &amp; " id cusip",AL$14,"settle_dt=" &amp; $U$13)</f>
        <v>2.0119250000000002E-2</v>
      </c>
      <c r="AM52" s="144" cm="1">
        <f t="array" ref="AM52">_xll.BDP($B52 &amp; " id cusip",AM$14,"settle_dt=" &amp; $U$13)</f>
        <v>359</v>
      </c>
      <c r="AN52" s="144" t="str" cm="1">
        <f t="array" ref="AN52">_xll.BDP($B52 &amp; " id cusip",AN$14,"settle_dt=" &amp; $U$13)</f>
        <v>LB</v>
      </c>
      <c r="AO52" s="144" cm="1">
        <f t="array" ref="AO52">_xll.BDP($B52 &amp; " id cusip",AO$14,"settle_dt=" &amp; $U$13)</f>
        <v>208</v>
      </c>
      <c r="AP52" s="144" cm="1">
        <f t="array" ref="AP52">_xll.BDP($B52 &amp; " id cusip",AP$14,"settle_dt=" &amp; $U$13)</f>
        <v>240489</v>
      </c>
      <c r="AQ52" s="144" cm="1">
        <f t="array" ref="AQ52">_xll.BDP($B52 &amp; " id cusip",AQ$14,"settle_dt=" &amp; $U$13)</f>
        <v>253000</v>
      </c>
      <c r="AR52" s="144" cm="1">
        <f t="array" ref="AR52">_xll.BDP($B52 &amp; " id cusip",AR$14,"settle_dt=" &amp; $U$13)</f>
        <v>55</v>
      </c>
      <c r="AS52" s="144" cm="1">
        <f t="array" ref="AS52">_xll.BDP($B52 &amp; " id cusip",AS$14,"settle_dt=" &amp; $U$13)</f>
        <v>774</v>
      </c>
      <c r="AT52" s="144" t="str" cm="1">
        <f t="array" ref="AT52">_xll.BDP($B52 &amp; " id cusip",AT$14,"settle_dt=" &amp; $U$13)</f>
        <v>BANK OF AMERICA NA</v>
      </c>
      <c r="AU52" s="144" t="str" cm="1">
        <f t="array" ref="AU52">_xll.BDP($B52 &amp; " id cusip",AU$14,"settle_dt=" &amp; $U$13)</f>
        <v>CA 54%</v>
      </c>
      <c r="AV52" s="144" t="str" cm="1">
        <f t="array" ref="AV52">_xll.BDP($B52 &amp; " id cusip",AV$14,"settle_dt=" &amp; $U$13)</f>
        <v>ME 46%</v>
      </c>
      <c r="AW52" s="144" t="str" cm="1">
        <f t="array" ref="AW52">_xll.BDP($B52 &amp; " id cusip",AW$14,"settle_dt=" &amp; $U$13)</f>
        <v>IL 26%</v>
      </c>
      <c r="AX52" s="144" t="str" cm="1">
        <f t="array" ref="AX52">_xll.BDP($B52 &amp; " id cusip",AX$14,"settle_dt=" &amp; $U$13)</f>
        <v>#N/A Field Not Applicable</v>
      </c>
      <c r="AY52" s="144" cm="1">
        <f t="array" ref="AY52">_xll.BDP($B52 &amp; " id cusip",AY$14,"settle_dt=" &amp; $U$13)</f>
        <v>0</v>
      </c>
      <c r="AZ52" s="144" cm="1">
        <f t="array" ref="AZ52">_xll.BDP($B52 &amp; " id cusip",AZ$14,"settle_dt=" &amp; $U$13)</f>
        <v>0</v>
      </c>
      <c r="BA52" s="144" cm="1">
        <f t="array" ref="BA52">_xll.BDP($B52 &amp; " id cusip",BA$14,"settle_dt=" &amp; $U$13)</f>
        <v>0</v>
      </c>
      <c r="BB52" s="144" t="str" cm="1">
        <f t="array" ref="BB52">_xll.BDP($B52 &amp; " id cusip",BB$14,"settle_dt=" &amp; $U$13)</f>
        <v>CA 53.7</v>
      </c>
      <c r="BC52" s="144" t="str" cm="1">
        <f t="array" ref="BC52">_xll.BDP($B52 &amp; " id cusip",BC$14,"settle_dt=" &amp; $U$13)</f>
        <v>ME 46.3</v>
      </c>
      <c r="BD52" s="144" t="str" cm="1">
        <f t="array" ref="BD52">_xll.BDP($B52 &amp; " id cusip",BD$14,"settle_dt=" &amp; $U$13)</f>
        <v>FL 14.1</v>
      </c>
      <c r="BE52" s="144" cm="1">
        <f t="array" ref="BE52">_xll.BDP($B52 &amp; " id cusip",BE$14,"settle_dt=" &amp; $U$13)</f>
        <v>55</v>
      </c>
      <c r="BF52" s="144" t="str" cm="1">
        <f t="array" ref="BF52">_xll.BDP($B52 &amp; " id cusip",BF$14,"settle_dt=" &amp; $U$13)</f>
        <v>#N/A Field Not Applicable</v>
      </c>
      <c r="BG52" s="144" cm="1">
        <f t="array" ref="BG52">_xll.BDP($B52 &amp; " id cusip",BG$14,"settle_dt=" &amp; $U$13)</f>
        <v>253000</v>
      </c>
      <c r="BH52" s="144" cm="1">
        <f t="array" ref="BH52">_xll.BDP($B52 &amp; " id cusip",BH$14,"settle_dt=" &amp; $U$13)</f>
        <v>360</v>
      </c>
      <c r="BI52" s="144" t="str" cm="1">
        <f t="array" ref="BI52">_xll.BDP($B52 &amp; " id cusip",BI$14,"settle_dt=" &amp; $U$13)</f>
        <v>Mtge</v>
      </c>
      <c r="BJ52" s="144" cm="1">
        <f t="array" ref="BJ52">_xll.BDP($B52 &amp; " id cusip",BJ$14,"settle_dt=" &amp; $U$13)</f>
        <v>7.2290000000000001</v>
      </c>
      <c r="BK52" s="144" t="str" cm="1">
        <f t="array" ref="BK52">_xll.BDP($B52 &amp; " id cusip",BK$14,"settle_dt=" &amp; $U$13)</f>
        <v>FNARM</v>
      </c>
      <c r="BL52" s="122">
        <f>_xll.BDP($B52 &amp; " mtge","YLD_CNV_BID","SETTLE_DT=" &amp; $U$13,"PX_BID=" &amp; $D52, "MTG_PREPAY_SPEED=" &amp; AD52, "MTG_PREPAY_TYP=CPR")</f>
        <v>7.0359999999999996</v>
      </c>
      <c r="BM52" s="122">
        <f>_xll.BDP($B52 &amp; " mtge","YLD_CNV_BID","SETTLE_DT=" &amp; $U$13,"PX_BID=" &amp; $D52, "MTG_PREPAY_SPEED=" &amp; AE52, "MTG_PREPAY_TYP=CPR")</f>
        <v>7.109</v>
      </c>
      <c r="BN52" s="122">
        <f>_xll.BDP($B52 &amp; " mtge","YLD_CNV_BID","SETTLE_DT=" &amp; $U$13,"PX_BID=" &amp; $D52, "MTG_PREPAY_SPEED=" &amp; AF52, "MTG_PREPAY_TYP=CPR")</f>
        <v>7.2169999999999996</v>
      </c>
      <c r="BO52" s="122" t="str">
        <f>_xll.BDP($B52 &amp; " mtge","YLD_CNV_BID","SETTLE_DT=" &amp; $U$13,"PX_BID=" &amp; $D52, "MTG_PREPAY_SPEED=" &amp; AG52, "MTG_PREPAY_TYP=CPR")</f>
        <v>#N/A N/A</v>
      </c>
      <c r="BP52" s="122">
        <f>_xll.BDP($B52 &amp; " mtge","YLD_CNV_BID","SETTLE_DT=" &amp; $U$13,"PX_BID=" &amp; $D52, "MTG_PREPAY_SPEED=" &amp; AH52, "MTG_PREPAY_TYP=CPR")</f>
        <v>7.2169999999999996</v>
      </c>
      <c r="BQ52" s="122">
        <f>_xll.BDP($B52 &amp; " mtge","YLD_CNV_BID","SETTLE_DT=" &amp; $U$13,"PX_BID=" &amp; $D52, "MTG_PREPAY_SPEED=" &amp; AI52, "MTG_PREPAY_TYP=CPR")</f>
        <v>7.2130000000000001</v>
      </c>
      <c r="BR52" s="122"/>
    </row>
    <row r="53" spans="1:70" x14ac:dyDescent="0.25">
      <c r="A53" s="149"/>
      <c r="B53" s="137" t="s">
        <v>178</v>
      </c>
      <c r="C53" s="137">
        <v>1176894</v>
      </c>
      <c r="D53" s="137">
        <v>101.72831344604492</v>
      </c>
      <c r="E53" s="53"/>
      <c r="T53" s="6" t="str">
        <f t="shared" si="2"/>
        <v/>
      </c>
      <c r="U53" s="144" t="str" cm="1">
        <f t="array" ref="U53">_xll.BDP(B53 &amp; " id cusip","id cusip")</f>
        <v>3138AHPM2</v>
      </c>
      <c r="V53" s="144" t="str" cm="1">
        <f t="array" ref="V53">_xll.BDP($B53 &amp; " id cusip",$V$14)</f>
        <v>FN AI4027</v>
      </c>
      <c r="W53" s="144" t="str" cm="1">
        <f t="array" ref="W53">_xll.BDP($B53 &amp; " id cusip",W$14)</f>
        <v>MBS ARM</v>
      </c>
      <c r="X53" s="144" cm="1">
        <f t="array" ref="X53">_xll.BDP($B53 &amp; " id cusip",X$14)</f>
        <v>6</v>
      </c>
      <c r="Y53" s="144" cm="1">
        <f t="array" ref="Y53">_xll.BDP($B53 &amp; " id cusip",Y$14)</f>
        <v>6.5</v>
      </c>
      <c r="Z53" s="144" cm="1">
        <f t="array" ref="Z53">_xll.BDP($B53 &amp; " id cusip",Z$14)</f>
        <v>208</v>
      </c>
      <c r="AA53" s="144" cm="1">
        <f t="array" ref="AA53">_xll.BDP($B53 &amp; " id cusip",AA$14)</f>
        <v>152</v>
      </c>
      <c r="AB53" s="144" t="str" cm="1">
        <f t="array" ref="AB53">_xll.BDP($B53 &amp; " id cusip",AB$14)</f>
        <v>8/1/2041</v>
      </c>
      <c r="AC53" s="144" cm="1">
        <f t="array" ref="AC53">_xll.BDP($B53 &amp; " id cusip",AC$14,"settle_dt=" &amp; $U$13)</f>
        <v>6</v>
      </c>
      <c r="AD53" s="144" cm="1">
        <f t="array" ref="AD53">_xll.BDP($B53 &amp; " id cusip",AD$14,"settle_dt=" &amp; $U$13)</f>
        <v>25.46</v>
      </c>
      <c r="AE53" s="144" cm="1">
        <f t="array" ref="AE53">_xll.BDP($B53 &amp; " id cusip",AE$14,"settle_dt=" &amp; $U$13)</f>
        <v>12.0609634215</v>
      </c>
      <c r="AF53" s="144" cm="1">
        <f t="array" ref="AF53">_xll.BDP($B53 &amp; " id cusip",AF$14,"settle_dt=" &amp; $U$13)</f>
        <v>1.1313495852227629E-2</v>
      </c>
      <c r="AG53" s="144" cm="1">
        <f t="array" ref="AG53">_xll.BDP($B53 &amp; " id cusip",AG$14,"settle_dt=" &amp; $U$13)</f>
        <v>9.5868627384421146E-3</v>
      </c>
      <c r="AH53" s="144" cm="1">
        <f t="array" ref="AH53">_xll.BDP($B53 &amp; " id cusip",AH$14,"settle_dt=" &amp; $U$13)</f>
        <v>9.10640277507202E-3</v>
      </c>
      <c r="AI53" s="144" cm="1">
        <f t="array" ref="AI53">_xll.BDP($B53 &amp; " id cusip",AI$14,"settle_dt=" &amp; $U$13)</f>
        <v>0.29232973869001144</v>
      </c>
      <c r="AJ53" s="144" cm="1">
        <f t="array" ref="AJ53">_xll.BDP($B53 &amp; " id cusip",AJ$14,"settle_dt=" &amp; $U$13)</f>
        <v>1.7146620000000001E-2</v>
      </c>
      <c r="AK53" s="144" t="str" cm="1">
        <f t="array" ref="AK53">_xll.BDP($B53 &amp; " id cusip",AK$14,"settle_dt=" &amp; $U$13)</f>
        <v>3/1/2024</v>
      </c>
      <c r="AL53" s="144" cm="1">
        <f t="array" ref="AL53">_xll.BDP($B53 &amp; " id cusip",AL$14,"settle_dt=" &amp; $U$13)</f>
        <v>1.719128E-2</v>
      </c>
      <c r="AM53" s="144" cm="1">
        <f t="array" ref="AM53">_xll.BDP($B53 &amp; " id cusip",AM$14,"settle_dt=" &amp; $U$13)</f>
        <v>360</v>
      </c>
      <c r="AN53" s="144" t="str" cm="1">
        <f t="array" ref="AN53">_xll.BDP($B53 &amp; " id cusip",AN$14,"settle_dt=" &amp; $U$13)</f>
        <v>LB</v>
      </c>
      <c r="AO53" s="144" cm="1">
        <f t="array" ref="AO53">_xll.BDP($B53 &amp; " id cusip",AO$14,"settle_dt=" &amp; $U$13)</f>
        <v>152</v>
      </c>
      <c r="AP53" s="144" cm="1">
        <f t="array" ref="AP53">_xll.BDP($B53 &amp; " id cusip",AP$14,"settle_dt=" &amp; $U$13)</f>
        <v>231085</v>
      </c>
      <c r="AQ53" s="144" cm="1">
        <f t="array" ref="AQ53">_xll.BDP($B53 &amp; " id cusip",AQ$14,"settle_dt=" &amp; $U$13)</f>
        <v>351000</v>
      </c>
      <c r="AR53" s="144" cm="1">
        <f t="array" ref="AR53">_xll.BDP($B53 &amp; " id cusip",AR$14,"settle_dt=" &amp; $U$13)</f>
        <v>55</v>
      </c>
      <c r="AS53" s="144" cm="1">
        <f t="array" ref="AS53">_xll.BDP($B53 &amp; " id cusip",AS$14,"settle_dt=" &amp; $U$13)</f>
        <v>766</v>
      </c>
      <c r="AT53" s="144" t="str" cm="1">
        <f t="array" ref="AT53">_xll.BDP($B53 &amp; " id cusip",AT$14,"settle_dt=" &amp; $U$13)</f>
        <v>CITIMORTGAGE, INC.</v>
      </c>
      <c r="AU53" s="144" t="str" cm="1">
        <f t="array" ref="AU53">_xll.BDP($B53 &amp; " id cusip",AU$14,"settle_dt=" &amp; $U$13)</f>
        <v>PA 60%</v>
      </c>
      <c r="AV53" s="144" t="str" cm="1">
        <f t="array" ref="AV53">_xll.BDP($B53 &amp; " id cusip",AV$14,"settle_dt=" &amp; $U$13)</f>
        <v>GA 20%</v>
      </c>
      <c r="AW53" s="144" t="str" cm="1">
        <f t="array" ref="AW53">_xll.BDP($B53 &amp; " id cusip",AW$14,"settle_dt=" &amp; $U$13)</f>
        <v>CA 14%</v>
      </c>
      <c r="AX53" s="144" cm="1">
        <f t="array" ref="AX53">_xll.BDP($B53 &amp; " id cusip",AX$14,"settle_dt=" &amp; $U$13)</f>
        <v>25.319999999999997</v>
      </c>
      <c r="AY53" s="144" cm="1">
        <f t="array" ref="AY53">_xll.BDP($B53 &amp; " id cusip",AY$14,"settle_dt=" &amp; $U$13)</f>
        <v>0</v>
      </c>
      <c r="AZ53" s="144" cm="1">
        <f t="array" ref="AZ53">_xll.BDP($B53 &amp; " id cusip",AZ$14,"settle_dt=" &amp; $U$13)</f>
        <v>0</v>
      </c>
      <c r="BA53" s="144" cm="1">
        <f t="array" ref="BA53">_xll.BDP($B53 &amp; " id cusip",BA$14,"settle_dt=" &amp; $U$13)</f>
        <v>0</v>
      </c>
      <c r="BB53" s="144" t="str" cm="1">
        <f t="array" ref="BB53">_xll.BDP($B53 &amp; " id cusip",BB$14,"settle_dt=" &amp; $U$13)</f>
        <v>PA 60.0</v>
      </c>
      <c r="BC53" s="144" t="str" cm="1">
        <f t="array" ref="BC53">_xll.BDP($B53 &amp; " id cusip",BC$14,"settle_dt=" &amp; $U$13)</f>
        <v>GA 20.1</v>
      </c>
      <c r="BD53" s="144" t="str" cm="1">
        <f t="array" ref="BD53">_xll.BDP($B53 &amp; " id cusip",BD$14,"settle_dt=" &amp; $U$13)</f>
        <v>CA 13.7</v>
      </c>
      <c r="BE53" s="144" cm="1">
        <f t="array" ref="BE53">_xll.BDP($B53 &amp; " id cusip",BE$14,"settle_dt=" &amp; $U$13)</f>
        <v>55</v>
      </c>
      <c r="BF53" s="144" t="str" cm="1">
        <f t="array" ref="BF53">_xll.BDP($B53 &amp; " id cusip",BF$14,"settle_dt=" &amp; $U$13)</f>
        <v>#N/A Field Not Applicable</v>
      </c>
      <c r="BG53" s="144" cm="1">
        <f t="array" ref="BG53">_xll.BDP($B53 &amp; " id cusip",BG$14,"settle_dt=" &amp; $U$13)</f>
        <v>351000</v>
      </c>
      <c r="BH53" s="144" cm="1">
        <f t="array" ref="BH53">_xll.BDP($B53 &amp; " id cusip",BH$14,"settle_dt=" &amp; $U$13)</f>
        <v>360</v>
      </c>
      <c r="BI53" s="144" t="str" cm="1">
        <f t="array" ref="BI53">_xll.BDP($B53 &amp; " id cusip",BI$14,"settle_dt=" &amp; $U$13)</f>
        <v>Mtge</v>
      </c>
      <c r="BJ53" s="144" cm="1">
        <f t="array" ref="BJ53">_xll.BDP($B53 &amp; " id cusip",BJ$14,"settle_dt=" &amp; $U$13)</f>
        <v>7.1710000000000003</v>
      </c>
      <c r="BK53" s="144" t="str" cm="1">
        <f t="array" ref="BK53">_xll.BDP($B53 &amp; " id cusip",BK$14,"settle_dt=" &amp; $U$13)</f>
        <v>FNARM</v>
      </c>
      <c r="BL53" s="122">
        <f>_xll.BDP($B53 &amp; " mtge","YLD_CNV_BID","SETTLE_DT=" &amp; $U$13,"PX_BID=" &amp; $D53, "MTG_PREPAY_SPEED=" &amp; AD53, "MTG_PREPAY_TYP=CPR")</f>
        <v>6.5010000000000003</v>
      </c>
      <c r="BM53" s="122">
        <f>_xll.BDP($B53 &amp; " mtge","YLD_CNV_BID","SETTLE_DT=" &amp; $U$13,"PX_BID=" &amp; $D53, "MTG_PREPAY_SPEED=" &amp; AE53, "MTG_PREPAY_TYP=CPR")</f>
        <v>6.8869999999999996</v>
      </c>
      <c r="BN53" s="122">
        <f>_xll.BDP($B53 &amp; " mtge","YLD_CNV_BID","SETTLE_DT=" &amp; $U$13,"PX_BID=" &amp; $D53, "MTG_PREPAY_SPEED=" &amp; AF53, "MTG_PREPAY_TYP=CPR")</f>
        <v>7.16</v>
      </c>
      <c r="BO53" s="122">
        <f>_xll.BDP($B53 &amp; " mtge","YLD_CNV_BID","SETTLE_DT=" &amp; $U$13,"PX_BID=" &amp; $D53, "MTG_PREPAY_SPEED=" &amp; AG53, "MTG_PREPAY_TYP=CPR")</f>
        <v>7.16</v>
      </c>
      <c r="BP53" s="122">
        <f>_xll.BDP($B53 &amp; " mtge","YLD_CNV_BID","SETTLE_DT=" &amp; $U$13,"PX_BID=" &amp; $D53, "MTG_PREPAY_SPEED=" &amp; AH53, "MTG_PREPAY_TYP=CPR")</f>
        <v>7.16</v>
      </c>
      <c r="BQ53" s="122">
        <f>_xll.BDP($B53 &amp; " mtge","YLD_CNV_BID","SETTLE_DT=" &amp; $U$13,"PX_BID=" &amp; $D53, "MTG_PREPAY_SPEED=" &amp; AI53, "MTG_PREPAY_TYP=CPR")</f>
        <v>7.1550000000000002</v>
      </c>
      <c r="BR53" s="122"/>
    </row>
    <row r="54" spans="1:70" x14ac:dyDescent="0.25">
      <c r="A54" s="149"/>
      <c r="B54" s="137" t="s">
        <v>179</v>
      </c>
      <c r="C54" s="137">
        <v>1000000</v>
      </c>
      <c r="D54" s="137">
        <v>100.54645919799805</v>
      </c>
      <c r="E54" s="53"/>
      <c r="T54" s="6" t="str">
        <f t="shared" si="2"/>
        <v/>
      </c>
      <c r="U54" s="144" t="str" cm="1">
        <f t="array" ref="U54">_xll.BDP(B54 &amp; " id cusip","id cusip")</f>
        <v>3138ENCJ6</v>
      </c>
      <c r="V54" s="144" t="str" cm="1">
        <f t="array" ref="V54">_xll.BDP($B54 &amp; " id cusip",$V$14)</f>
        <v>FN AL5472</v>
      </c>
      <c r="W54" s="144" t="str" cm="1">
        <f t="array" ref="W54">_xll.BDP($B54 &amp; " id cusip",W$14)</f>
        <v>MBS ARM</v>
      </c>
      <c r="X54" s="144" cm="1">
        <f t="array" ref="X54">_xll.BDP($B54 &amp; " id cusip",X$14)</f>
        <v>5.5529999999999999</v>
      </c>
      <c r="Y54" s="144" cm="1">
        <f t="array" ref="Y54">_xll.BDP($B54 &amp; " id cusip",Y$14)</f>
        <v>6.2430000000000003</v>
      </c>
      <c r="Z54" s="144" cm="1">
        <f t="array" ref="Z54">_xll.BDP($B54 &amp; " id cusip",Z$14)</f>
        <v>242</v>
      </c>
      <c r="AA54" s="144" cm="1">
        <f t="array" ref="AA54">_xll.BDP($B54 &amp; " id cusip",AA$14)</f>
        <v>118</v>
      </c>
      <c r="AB54" s="144" t="str" cm="1">
        <f t="array" ref="AB54">_xll.BDP($B54 &amp; " id cusip",AB$14)</f>
        <v>6/1/2044</v>
      </c>
      <c r="AC54" s="144" cm="1">
        <f t="array" ref="AC54">_xll.BDP($B54 &amp; " id cusip",AC$14,"settle_dt=" &amp; $U$13)</f>
        <v>3</v>
      </c>
      <c r="AD54" s="144" cm="1">
        <f t="array" ref="AD54">_xll.BDP($B54 &amp; " id cusip",AD$14,"settle_dt=" &amp; $U$13)</f>
        <v>31.88</v>
      </c>
      <c r="AE54" s="144" cm="1">
        <f t="array" ref="AE54">_xll.BDP($B54 &amp; " id cusip",AE$14,"settle_dt=" &amp; $U$13)</f>
        <v>12.0609634215</v>
      </c>
      <c r="AF54" s="144" cm="1">
        <f t="array" ref="AF54">_xll.BDP($B54 &amp; " id cusip",AF$14,"settle_dt=" &amp; $U$13)</f>
        <v>1.991155612118245</v>
      </c>
      <c r="AG54" s="144" cm="1">
        <f t="array" ref="AG54">_xll.BDP($B54 &amp; " id cusip",AG$14,"settle_dt=" &amp; $U$13)</f>
        <v>8.1898173852097411</v>
      </c>
      <c r="AH54" s="144" cm="1">
        <f t="array" ref="AH54">_xll.BDP($B54 &amp; " id cusip",AH$14,"settle_dt=" &amp; $U$13)</f>
        <v>12.446481086446893</v>
      </c>
      <c r="AI54" s="144" cm="1">
        <f t="array" ref="AI54">_xll.BDP($B54 &amp; " id cusip",AI$14,"settle_dt=" &amp; $U$13)</f>
        <v>15.399790133223036</v>
      </c>
      <c r="AJ54" s="144" cm="1">
        <f t="array" ref="AJ54">_xll.BDP($B54 &amp; " id cusip",AJ$14,"settle_dt=" &amp; $U$13)</f>
        <v>1.8665129999999999E-2</v>
      </c>
      <c r="AK54" s="144" t="str" cm="1">
        <f t="array" ref="AK54">_xll.BDP($B54 &amp; " id cusip",AK$14,"settle_dt=" &amp; $U$13)</f>
        <v>3/1/2024</v>
      </c>
      <c r="AL54" s="144" cm="1">
        <f t="array" ref="AL54">_xll.BDP($B54 &amp; " id cusip",AL$14,"settle_dt=" &amp; $U$13)</f>
        <v>1.8734979999999998E-2</v>
      </c>
      <c r="AM54" s="144" cm="1">
        <f t="array" ref="AM54">_xll.BDP($B54 &amp; " id cusip",AM$14,"settle_dt=" &amp; $U$13)</f>
        <v>360</v>
      </c>
      <c r="AN54" s="144" t="str" cm="1">
        <f t="array" ref="AN54">_xll.BDP($B54 &amp; " id cusip",AN$14,"settle_dt=" &amp; $U$13)</f>
        <v>LB</v>
      </c>
      <c r="AO54" s="144" cm="1">
        <f t="array" ref="AO54">_xll.BDP($B54 &amp; " id cusip",AO$14,"settle_dt=" &amp; $U$13)</f>
        <v>118</v>
      </c>
      <c r="AP54" s="144" cm="1">
        <f t="array" ref="AP54">_xll.BDP($B54 &amp; " id cusip",AP$14,"settle_dt=" &amp; $U$13)</f>
        <v>205251</v>
      </c>
      <c r="AQ54" s="144" cm="1">
        <f t="array" ref="AQ54">_xll.BDP($B54 &amp; " id cusip",AQ$14,"settle_dt=" &amp; $U$13)</f>
        <v>246000</v>
      </c>
      <c r="AR54" s="144" cm="1">
        <f t="array" ref="AR54">_xll.BDP($B54 &amp; " id cusip",AR$14,"settle_dt=" &amp; $U$13)</f>
        <v>76</v>
      </c>
      <c r="AS54" s="144" cm="1">
        <f t="array" ref="AS54">_xll.BDP($B54 &amp; " id cusip",AS$14,"settle_dt=" &amp; $U$13)</f>
        <v>717</v>
      </c>
      <c r="AT54" s="144" t="str" cm="1">
        <f t="array" ref="AT54">_xll.BDP($B54 &amp; " id cusip",AT$14,"settle_dt=" &amp; $U$13)</f>
        <v>FANNIE MAE MEGA</v>
      </c>
      <c r="AU54" s="144" t="str" cm="1">
        <f t="array" ref="AU54">_xll.BDP($B54 &amp; " id cusip",AU$14,"settle_dt=" &amp; $U$13)</f>
        <v>IL 51%</v>
      </c>
      <c r="AV54" s="144" t="str" cm="1">
        <f t="array" ref="AV54">_xll.BDP($B54 &amp; " id cusip",AV$14,"settle_dt=" &amp; $U$13)</f>
        <v>VA 26%</v>
      </c>
      <c r="AW54" s="144" t="str" cm="1">
        <f t="array" ref="AW54">_xll.BDP($B54 &amp; " id cusip",AW$14,"settle_dt=" &amp; $U$13)</f>
        <v>GA 23%</v>
      </c>
      <c r="AX54" s="144" cm="1">
        <f t="array" ref="AX54">_xll.BDP($B54 &amp; " id cusip",AX$14,"settle_dt=" &amp; $U$13)</f>
        <v>25.95</v>
      </c>
      <c r="AY54" s="144" cm="1">
        <f t="array" ref="AY54">_xll.BDP($B54 &amp; " id cusip",AY$14,"settle_dt=" &amp; $U$13)</f>
        <v>0</v>
      </c>
      <c r="AZ54" s="144" cm="1">
        <f t="array" ref="AZ54">_xll.BDP($B54 &amp; " id cusip",AZ$14,"settle_dt=" &amp; $U$13)</f>
        <v>0</v>
      </c>
      <c r="BA54" s="144" cm="1">
        <f t="array" ref="BA54">_xll.BDP($B54 &amp; " id cusip",BA$14,"settle_dt=" &amp; $U$13)</f>
        <v>0</v>
      </c>
      <c r="BB54" s="144" t="str" cm="1">
        <f t="array" ref="BB54">_xll.BDP($B54 &amp; " id cusip",BB$14,"settle_dt=" &amp; $U$13)</f>
        <v>IL 51.3</v>
      </c>
      <c r="BC54" s="144" t="str" cm="1">
        <f t="array" ref="BC54">_xll.BDP($B54 &amp; " id cusip",BC$14,"settle_dt=" &amp; $U$13)</f>
        <v>VA 26.0</v>
      </c>
      <c r="BD54" s="144" t="str" cm="1">
        <f t="array" ref="BD54">_xll.BDP($B54 &amp; " id cusip",BD$14,"settle_dt=" &amp; $U$13)</f>
        <v>GA 22.8</v>
      </c>
      <c r="BE54" s="144" cm="1">
        <f t="array" ref="BE54">_xll.BDP($B54 &amp; " id cusip",BE$14,"settle_dt=" &amp; $U$13)</f>
        <v>76</v>
      </c>
      <c r="BF54" s="144" t="str" cm="1">
        <f t="array" ref="BF54">_xll.BDP($B54 &amp; " id cusip",BF$14,"settle_dt=" &amp; $U$13)</f>
        <v>#N/A Field Not Applicable</v>
      </c>
      <c r="BG54" s="144" cm="1">
        <f t="array" ref="BG54">_xll.BDP($B54 &amp; " id cusip",BG$14,"settle_dt=" &amp; $U$13)</f>
        <v>246000</v>
      </c>
      <c r="BH54" s="144" cm="1">
        <f t="array" ref="BH54">_xll.BDP($B54 &amp; " id cusip",BH$14,"settle_dt=" &amp; $U$13)</f>
        <v>360</v>
      </c>
      <c r="BI54" s="144" t="str" cm="1">
        <f t="array" ref="BI54">_xll.BDP($B54 &amp; " id cusip",BI$14,"settle_dt=" &amp; $U$13)</f>
        <v>Mtge</v>
      </c>
      <c r="BJ54" s="144" cm="1">
        <f t="array" ref="BJ54">_xll.BDP($B54 &amp; " id cusip",BJ$14,"settle_dt=" &amp; $U$13)</f>
        <v>7.0490000000000004</v>
      </c>
      <c r="BK54" s="144" t="str" cm="1">
        <f t="array" ref="BK54">_xll.BDP($B54 &amp; " id cusip",BK$14,"settle_dt=" &amp; $U$13)</f>
        <v>FNARM</v>
      </c>
      <c r="BL54" s="122">
        <f>_xll.BDP($B54 &amp; " mtge","YLD_CNV_BID","SETTLE_DT=" &amp; $U$13,"PX_BID=" &amp; $D54, "MTG_PREPAY_SPEED=" &amp; AD54, "MTG_PREPAY_TYP=CPR")</f>
        <v>6.7270000000000003</v>
      </c>
      <c r="BM54" s="122">
        <f>_xll.BDP($B54 &amp; " mtge","YLD_CNV_BID","SETTLE_DT=" &amp; $U$13,"PX_BID=" &amp; $D54, "MTG_PREPAY_SPEED=" &amp; AE54, "MTG_PREPAY_TYP=CPR")</f>
        <v>7.0359999999999996</v>
      </c>
      <c r="BN54" s="122">
        <f>_xll.BDP($B54 &amp; " mtge","YLD_CNV_BID","SETTLE_DT=" &amp; $U$13,"PX_BID=" &amp; $D54, "MTG_PREPAY_SPEED=" &amp; AF54, "MTG_PREPAY_TYP=CPR")</f>
        <v>7.157</v>
      </c>
      <c r="BO54" s="122">
        <f>_xll.BDP($B54 &amp; " mtge","YLD_CNV_BID","SETTLE_DT=" &amp; $U$13,"PX_BID=" &amp; $D54, "MTG_PREPAY_SPEED=" &amp; AG54, "MTG_PREPAY_TYP=CPR")</f>
        <v>7.0860000000000003</v>
      </c>
      <c r="BP54" s="122">
        <f>_xll.BDP($B54 &amp; " mtge","YLD_CNV_BID","SETTLE_DT=" &amp; $U$13,"PX_BID=" &amp; $D54, "MTG_PREPAY_SPEED=" &amp; AH54, "MTG_PREPAY_TYP=CPR")</f>
        <v>7.0309999999999997</v>
      </c>
      <c r="BQ54" s="122">
        <f>_xll.BDP($B54 &amp; " mtge","YLD_CNV_BID","SETTLE_DT=" &amp; $U$13,"PX_BID=" &amp; $D54, "MTG_PREPAY_SPEED=" &amp; AI54, "MTG_PREPAY_TYP=CPR")</f>
        <v>6.99</v>
      </c>
      <c r="BR54" s="122"/>
    </row>
    <row r="55" spans="1:70" x14ac:dyDescent="0.25">
      <c r="A55" s="149"/>
      <c r="B55" s="137" t="s">
        <v>180</v>
      </c>
      <c r="C55" s="137">
        <v>3000000</v>
      </c>
      <c r="D55" s="137">
        <v>99.841651916503906</v>
      </c>
      <c r="E55" s="53"/>
      <c r="T55" s="6" t="str">
        <f t="shared" si="2"/>
        <v/>
      </c>
      <c r="U55" s="144" t="str" cm="1">
        <f t="array" ref="U55">_xll.BDP(B55 &amp; " id cusip","id cusip")</f>
        <v>31414RP90</v>
      </c>
      <c r="V55" s="144" t="str" cm="1">
        <f t="array" ref="V55">_xll.BDP($B55 &amp; " id cusip",$V$14)</f>
        <v>FN 973948</v>
      </c>
      <c r="W55" s="144" t="str" cm="1">
        <f t="array" ref="W55">_xll.BDP($B55 &amp; " id cusip",W$14)</f>
        <v>MBS ARM</v>
      </c>
      <c r="X55" s="144" cm="1">
        <f t="array" ref="X55">_xll.BDP($B55 &amp; " id cusip",X$14)</f>
        <v>5.15</v>
      </c>
      <c r="Y55" s="144" cm="1">
        <f t="array" ref="Y55">_xll.BDP($B55 &amp; " id cusip",Y$14)</f>
        <v>6</v>
      </c>
      <c r="Z55" s="144" cm="1">
        <f t="array" ref="Z55">_xll.BDP($B55 &amp; " id cusip",Z$14)</f>
        <v>170</v>
      </c>
      <c r="AA55" s="144" cm="1">
        <f t="array" ref="AA55">_xll.BDP($B55 &amp; " id cusip",AA$14)</f>
        <v>190</v>
      </c>
      <c r="AB55" s="144" t="str" cm="1">
        <f t="array" ref="AB55">_xll.BDP($B55 &amp; " id cusip",AB$14)</f>
        <v>5/1/2038</v>
      </c>
      <c r="AC55" s="144" cm="1">
        <f t="array" ref="AC55">_xll.BDP($B55 &amp; " id cusip",AC$14,"settle_dt=" &amp; $U$13)</f>
        <v>1</v>
      </c>
      <c r="AD55" s="144" cm="1">
        <f t="array" ref="AD55">_xll.BDP($B55 &amp; " id cusip",AD$14,"settle_dt=" &amp; $U$13)</f>
        <v>25.17</v>
      </c>
      <c r="AE55" s="144" cm="1">
        <f t="array" ref="AE55">_xll.BDP($B55 &amp; " id cusip",AE$14,"settle_dt=" &amp; $U$13)</f>
        <v>10.0268698183</v>
      </c>
      <c r="AF55" s="144" cm="1">
        <f t="array" ref="AF55">_xll.BDP($B55 &amp; " id cusip",AF$14,"settle_dt=" &amp; $U$13)</f>
        <v>1.5624942684089316E-2</v>
      </c>
      <c r="AG55" s="144" cm="1">
        <f t="array" ref="AG55">_xll.BDP($B55 &amp; " id cusip",AG$14,"settle_dt=" &amp; $U$13)</f>
        <v>0.13379566964515366</v>
      </c>
      <c r="AH55" s="144" cm="1">
        <f t="array" ref="AH55">_xll.BDP($B55 &amp; " id cusip",AH$14,"settle_dt=" &amp; $U$13)</f>
        <v>0.18299770910842339</v>
      </c>
      <c r="AI55" s="144" cm="1">
        <f t="array" ref="AI55">_xll.BDP($B55 &amp; " id cusip",AI$14,"settle_dt=" &amp; $U$13)</f>
        <v>0.19499393587935065</v>
      </c>
      <c r="AJ55" s="144" cm="1">
        <f t="array" ref="AJ55">_xll.BDP($B55 &amp; " id cusip",AJ$14,"settle_dt=" &amp; $U$13)</f>
        <v>6.1540900000000001E-3</v>
      </c>
      <c r="AK55" s="144" t="str" cm="1">
        <f t="array" ref="AK55">_xll.BDP($B55 &amp; " id cusip",AK$14,"settle_dt=" &amp; $U$13)</f>
        <v>3/1/2024</v>
      </c>
      <c r="AL55" s="144" cm="1">
        <f t="array" ref="AL55">_xll.BDP($B55 &amp; " id cusip",AL$14,"settle_dt=" &amp; $U$13)</f>
        <v>6.1771100000000004E-3</v>
      </c>
      <c r="AM55" s="144" cm="1">
        <f t="array" ref="AM55">_xll.BDP($B55 &amp; " id cusip",AM$14,"settle_dt=" &amp; $U$13)</f>
        <v>360</v>
      </c>
      <c r="AN55" s="144" t="str" cm="1">
        <f t="array" ref="AN55">_xll.BDP($B55 &amp; " id cusip",AN$14,"settle_dt=" &amp; $U$13)</f>
        <v>LB</v>
      </c>
      <c r="AO55" s="144" cm="1">
        <f t="array" ref="AO55">_xll.BDP($B55 &amp; " id cusip",AO$14,"settle_dt=" &amp; $U$13)</f>
        <v>190</v>
      </c>
      <c r="AP55" s="144" cm="1">
        <f t="array" ref="AP55">_xll.BDP($B55 &amp; " id cusip",AP$14,"settle_dt=" &amp; $U$13)</f>
        <v>139000</v>
      </c>
      <c r="AQ55" s="144" cm="1">
        <f t="array" ref="AQ55">_xll.BDP($B55 &amp; " id cusip",AQ$14,"settle_dt=" &amp; $U$13)</f>
        <v>139000</v>
      </c>
      <c r="AR55" s="144" cm="1">
        <f t="array" ref="AR55">_xll.BDP($B55 &amp; " id cusip",AR$14,"settle_dt=" &amp; $U$13)</f>
        <v>65</v>
      </c>
      <c r="AS55" s="144" cm="1">
        <f t="array" ref="AS55">_xll.BDP($B55 &amp; " id cusip",AS$14,"settle_dt=" &amp; $U$13)</f>
        <v>676</v>
      </c>
      <c r="AT55" s="144" t="str" cm="1">
        <f t="array" ref="AT55">_xll.BDP($B55 &amp; " id cusip",AT$14,"settle_dt=" &amp; $U$13)</f>
        <v>WACHOVIA MORTGAGE, FSB</v>
      </c>
      <c r="AU55" s="144" t="str" cm="1">
        <f t="array" ref="AU55">_xll.BDP($B55 &amp; " id cusip",AU$14,"settle_dt=" &amp; $U$13)</f>
        <v>FL 100%</v>
      </c>
      <c r="AV55" s="144" t="str" cm="1">
        <f t="array" ref="AV55">_xll.BDP($B55 &amp; " id cusip",AV$14,"settle_dt=" &amp; $U$13)</f>
        <v>NC 40%</v>
      </c>
      <c r="AW55" s="144" t="str" cm="1">
        <f t="array" ref="AW55">_xll.BDP($B55 &amp; " id cusip",AW$14,"settle_dt=" &amp; $U$13)</f>
        <v>NC 15%</v>
      </c>
      <c r="AX55" s="144" cm="1">
        <f t="array" ref="AX55">_xll.BDP($B55 &amp; " id cusip",AX$14,"settle_dt=" &amp; $U$13)</f>
        <v>0</v>
      </c>
      <c r="AY55" s="144" cm="1">
        <f t="array" ref="AY55">_xll.BDP($B55 &amp; " id cusip",AY$14,"settle_dt=" &amp; $U$13)</f>
        <v>0</v>
      </c>
      <c r="AZ55" s="144" cm="1">
        <f t="array" ref="AZ55">_xll.BDP($B55 &amp; " id cusip",AZ$14,"settle_dt=" &amp; $U$13)</f>
        <v>0</v>
      </c>
      <c r="BA55" s="144" cm="1">
        <f t="array" ref="BA55">_xll.BDP($B55 &amp; " id cusip",BA$14,"settle_dt=" &amp; $U$13)</f>
        <v>0</v>
      </c>
      <c r="BB55" s="144" t="str" cm="1">
        <f t="array" ref="BB55">_xll.BDP($B55 &amp; " id cusip",BB$14,"settle_dt=" &amp; $U$13)</f>
        <v>FL 100.0</v>
      </c>
      <c r="BC55" s="144" t="str" cm="1">
        <f t="array" ref="BC55">_xll.BDP($B55 &amp; " id cusip",BC$14,"settle_dt=" &amp; $U$13)</f>
        <v>FL 19.6</v>
      </c>
      <c r="BD55" s="144" t="str" cm="1">
        <f t="array" ref="BD55">_xll.BDP($B55 &amp; " id cusip",BD$14,"settle_dt=" &amp; $U$13)</f>
        <v>VA 10.6</v>
      </c>
      <c r="BE55" s="144" cm="1">
        <f t="array" ref="BE55">_xll.BDP($B55 &amp; " id cusip",BE$14,"settle_dt=" &amp; $U$13)</f>
        <v>65</v>
      </c>
      <c r="BF55" s="144" t="str" cm="1">
        <f t="array" ref="BF55">_xll.BDP($B55 &amp; " id cusip",BF$14,"settle_dt=" &amp; $U$13)</f>
        <v>#N/A Field Not Applicable</v>
      </c>
      <c r="BG55" s="144" cm="1">
        <f t="array" ref="BG55">_xll.BDP($B55 &amp; " id cusip",BG$14,"settle_dt=" &amp; $U$13)</f>
        <v>139000</v>
      </c>
      <c r="BH55" s="144" cm="1">
        <f t="array" ref="BH55">_xll.BDP($B55 &amp; " id cusip",BH$14,"settle_dt=" &amp; $U$13)</f>
        <v>360</v>
      </c>
      <c r="BI55" s="144" t="str" cm="1">
        <f t="array" ref="BI55">_xll.BDP($B55 &amp; " id cusip",BI$14,"settle_dt=" &amp; $U$13)</f>
        <v>Mtge</v>
      </c>
      <c r="BJ55" s="144" cm="1">
        <f t="array" ref="BJ55">_xll.BDP($B55 &amp; " id cusip",BJ$14,"settle_dt=" &amp; $U$13)</f>
        <v>7.0970000000000004</v>
      </c>
      <c r="BK55" s="144" t="str" cm="1">
        <f t="array" ref="BK55">_xll.BDP($B55 &amp; " id cusip",BK$14,"settle_dt=" &amp; $U$13)</f>
        <v>FNARM</v>
      </c>
      <c r="BL55" s="122">
        <f>_xll.BDP($B55 &amp; " mtge","YLD_CNV_BID","SETTLE_DT=" &amp; $U$13,"PX_BID=" &amp; $D55, "MTG_PREPAY_SPEED=" &amp; AD55, "MTG_PREPAY_TYP=CPR")</f>
        <v>6.9459999999999997</v>
      </c>
      <c r="BM55" s="122">
        <f>_xll.BDP($B55 &amp; " mtge","YLD_CNV_BID","SETTLE_DT=" &amp; $U$13,"PX_BID=" &amp; $D55, "MTG_PREPAY_SPEED=" &amp; AE55, "MTG_PREPAY_TYP=CPR")</f>
        <v>7.0389999999999997</v>
      </c>
      <c r="BN55" s="122">
        <f>_xll.BDP($B55 &amp; " mtge","YLD_CNV_BID","SETTLE_DT=" &amp; $U$13,"PX_BID=" &amp; $D55, "MTG_PREPAY_SPEED=" &amp; AF55, "MTG_PREPAY_TYP=CPR")</f>
        <v>7.0860000000000003</v>
      </c>
      <c r="BO55" s="122">
        <f>_xll.BDP($B55 &amp; " mtge","YLD_CNV_BID","SETTLE_DT=" &amp; $U$13,"PX_BID=" &amp; $D55, "MTG_PREPAY_SPEED=" &amp; AG55, "MTG_PREPAY_TYP=CPR")</f>
        <v>7.0860000000000003</v>
      </c>
      <c r="BP55" s="122">
        <f>_xll.BDP($B55 &amp; " mtge","YLD_CNV_BID","SETTLE_DT=" &amp; $U$13,"PX_BID=" &amp; $D55, "MTG_PREPAY_SPEED=" &amp; AH55, "MTG_PREPAY_TYP=CPR")</f>
        <v>7.0860000000000003</v>
      </c>
      <c r="BQ55" s="122">
        <f>_xll.BDP($B55 &amp; " mtge","YLD_CNV_BID","SETTLE_DT=" &amp; $U$13,"PX_BID=" &amp; $D55, "MTG_PREPAY_SPEED=" &amp; AI55, "MTG_PREPAY_TYP=CPR")</f>
        <v>7.0860000000000003</v>
      </c>
      <c r="BR55" s="122"/>
    </row>
    <row r="56" spans="1:70" x14ac:dyDescent="0.25">
      <c r="A56" s="149"/>
      <c r="B56" s="137" t="s">
        <v>181</v>
      </c>
      <c r="C56" s="137">
        <v>1000000</v>
      </c>
      <c r="D56" s="137">
        <v>98.630405426025391</v>
      </c>
      <c r="E56" s="53"/>
      <c r="T56" s="6" t="str">
        <f t="shared" si="2"/>
        <v/>
      </c>
      <c r="U56" s="144" t="str" cm="1">
        <f t="array" ref="U56">_xll.BDP(B56 &amp; " id cusip","id cusip")</f>
        <v>3138X3CZ3</v>
      </c>
      <c r="V56" s="144" t="str" cm="1">
        <f t="array" ref="V56">_xll.BDP($B56 &amp; " id cusip",$V$14)</f>
        <v>FN AU3687</v>
      </c>
      <c r="W56" s="144" t="str" cm="1">
        <f t="array" ref="W56">_xll.BDP($B56 &amp; " id cusip",W$14)</f>
        <v>MBS ARM</v>
      </c>
      <c r="X56" s="144" cm="1">
        <f t="array" ref="X56">_xll.BDP($B56 &amp; " id cusip",X$14)</f>
        <v>5.82</v>
      </c>
      <c r="Y56" s="144" cm="1">
        <f t="array" ref="Y56">_xll.BDP($B56 &amp; " id cusip",Y$14)</f>
        <v>6.5</v>
      </c>
      <c r="Z56" s="144" cm="1">
        <f t="array" ref="Z56">_xll.BDP($B56 &amp; " id cusip",Z$14)</f>
        <v>237</v>
      </c>
      <c r="AA56" s="144" cm="1">
        <f t="array" ref="AA56">_xll.BDP($B56 &amp; " id cusip",AA$14)</f>
        <v>123</v>
      </c>
      <c r="AB56" s="144" t="str" cm="1">
        <f t="array" ref="AB56">_xll.BDP($B56 &amp; " id cusip",AB$14)</f>
        <v>2/1/2044</v>
      </c>
      <c r="AC56" s="144" cm="1">
        <f t="array" ref="AC56">_xll.BDP($B56 &amp; " id cusip",AC$14,"settle_dt=" &amp; $U$13)</f>
        <v>2</v>
      </c>
      <c r="AD56" s="144" cm="1">
        <f t="array" ref="AD56">_xll.BDP($B56 &amp; " id cusip",AD$14,"settle_dt=" &amp; $U$13)</f>
        <v>31.05</v>
      </c>
      <c r="AE56" s="144" cm="1">
        <f t="array" ref="AE56">_xll.BDP($B56 &amp; " id cusip",AE$14,"settle_dt=" &amp; $U$13)</f>
        <v>21.5015529149</v>
      </c>
      <c r="AF56" s="144" cm="1">
        <f t="array" ref="AF56">_xll.BDP($B56 &amp; " id cusip",AF$14,"settle_dt=" &amp; $U$13)</f>
        <v>7.4098124821841971E-3</v>
      </c>
      <c r="AG56" s="144" cm="1">
        <f t="array" ref="AG56">_xll.BDP($B56 &amp; " id cusip",AG$14,"settle_dt=" &amp; $U$13)</f>
        <v>7.0454736879832502E-3</v>
      </c>
      <c r="AH56" s="144" cm="1">
        <f t="array" ref="AH56">_xll.BDP($B56 &amp; " id cusip",AH$14,"settle_dt=" &amp; $U$13)</f>
        <v>9.3956540503703501E-3</v>
      </c>
      <c r="AI56" s="144" cm="1">
        <f t="array" ref="AI56">_xll.BDP($B56 &amp; " id cusip",AI$14,"settle_dt=" &amp; $U$13)</f>
        <v>8.1905690677785969E-3</v>
      </c>
      <c r="AJ56" s="144" cm="1">
        <f t="array" ref="AJ56">_xll.BDP($B56 &amp; " id cusip",AJ$14,"settle_dt=" &amp; $U$13)</f>
        <v>1.8075549999999999E-2</v>
      </c>
      <c r="AK56" s="144" t="str" cm="1">
        <f t="array" ref="AK56">_xll.BDP($B56 &amp; " id cusip",AK$14,"settle_dt=" &amp; $U$13)</f>
        <v>3/1/2024</v>
      </c>
      <c r="AL56" s="144" cm="1">
        <f t="array" ref="AL56">_xll.BDP($B56 &amp; " id cusip",AL$14,"settle_dt=" &amp; $U$13)</f>
        <v>1.8113150000000001E-2</v>
      </c>
      <c r="AM56" s="144" cm="1">
        <f t="array" ref="AM56">_xll.BDP($B56 &amp; " id cusip",AM$14,"settle_dt=" &amp; $U$13)</f>
        <v>358</v>
      </c>
      <c r="AN56" s="144" t="str" cm="1">
        <f t="array" ref="AN56">_xll.BDP($B56 &amp; " id cusip",AN$14,"settle_dt=" &amp; $U$13)</f>
        <v>LB</v>
      </c>
      <c r="AO56" s="144" cm="1">
        <f t="array" ref="AO56">_xll.BDP($B56 &amp; " id cusip",AO$14,"settle_dt=" &amp; $U$13)</f>
        <v>123</v>
      </c>
      <c r="AP56" s="144" cm="1">
        <f t="array" ref="AP56">_xll.BDP($B56 &amp; " id cusip",AP$14,"settle_dt=" &amp; $U$13)</f>
        <v>205236</v>
      </c>
      <c r="AQ56" s="144" cm="1">
        <f t="array" ref="AQ56">_xll.BDP($B56 &amp; " id cusip",AQ$14,"settle_dt=" &amp; $U$13)</f>
        <v>241000</v>
      </c>
      <c r="AR56" s="144" cm="1">
        <f t="array" ref="AR56">_xll.BDP($B56 &amp; " id cusip",AR$14,"settle_dt=" &amp; $U$13)</f>
        <v>76</v>
      </c>
      <c r="AS56" s="144" cm="1">
        <f t="array" ref="AS56">_xll.BDP($B56 &amp; " id cusip",AS$14,"settle_dt=" &amp; $U$13)</f>
        <v>795</v>
      </c>
      <c r="AT56" s="144" t="str" cm="1">
        <f t="array" ref="AT56">_xll.BDP($B56 &amp; " id cusip",AT$14,"settle_dt=" &amp; $U$13)</f>
        <v>CARDINAL FINANCIAL COMPANY, LI</v>
      </c>
      <c r="AU56" s="144" t="str" cm="1">
        <f t="array" ref="AU56">_xll.BDP($B56 &amp; " id cusip",AU$14,"settle_dt=" &amp; $U$13)</f>
        <v>NJ 62%</v>
      </c>
      <c r="AV56" s="144" t="str" cm="1">
        <f t="array" ref="AV56">_xll.BDP($B56 &amp; " id cusip",AV$14,"settle_dt=" &amp; $U$13)</f>
        <v>TX 38%</v>
      </c>
      <c r="AW56" s="144" t="str" cm="1">
        <f t="array" ref="AW56">_xll.BDP($B56 &amp; " id cusip",AW$14,"settle_dt=" &amp; $U$13)</f>
        <v>VA 1%</v>
      </c>
      <c r="AX56" s="144" cm="1">
        <f t="array" ref="AX56">_xll.BDP($B56 &amp; " id cusip",AX$14,"settle_dt=" &amp; $U$13)</f>
        <v>0</v>
      </c>
      <c r="AY56" s="144" cm="1">
        <f t="array" ref="AY56">_xll.BDP($B56 &amp; " id cusip",AY$14,"settle_dt=" &amp; $U$13)</f>
        <v>0</v>
      </c>
      <c r="AZ56" s="144" cm="1">
        <f t="array" ref="AZ56">_xll.BDP($B56 &amp; " id cusip",AZ$14,"settle_dt=" &amp; $U$13)</f>
        <v>0</v>
      </c>
      <c r="BA56" s="144" cm="1">
        <f t="array" ref="BA56">_xll.BDP($B56 &amp; " id cusip",BA$14,"settle_dt=" &amp; $U$13)</f>
        <v>0</v>
      </c>
      <c r="BB56" s="144" t="str" cm="1">
        <f t="array" ref="BB56">_xll.BDP($B56 &amp; " id cusip",BB$14,"settle_dt=" &amp; $U$13)</f>
        <v>NJ 62.4</v>
      </c>
      <c r="BC56" s="144" t="str" cm="1">
        <f t="array" ref="BC56">_xll.BDP($B56 &amp; " id cusip",BC$14,"settle_dt=" &amp; $U$13)</f>
        <v>TX 37.7</v>
      </c>
      <c r="BD56" s="144" t="str" cm="1">
        <f t="array" ref="BD56">_xll.BDP($B56 &amp; " id cusip",BD$14,"settle_dt=" &amp; $U$13)</f>
        <v>CA 9.3</v>
      </c>
      <c r="BE56" s="144" cm="1">
        <f t="array" ref="BE56">_xll.BDP($B56 &amp; " id cusip",BE$14,"settle_dt=" &amp; $U$13)</f>
        <v>76</v>
      </c>
      <c r="BF56" s="144" t="str" cm="1">
        <f t="array" ref="BF56">_xll.BDP($B56 &amp; " id cusip",BF$14,"settle_dt=" &amp; $U$13)</f>
        <v>#N/A Field Not Applicable</v>
      </c>
      <c r="BG56" s="144" cm="1">
        <f t="array" ref="BG56">_xll.BDP($B56 &amp; " id cusip",BG$14,"settle_dt=" &amp; $U$13)</f>
        <v>241000</v>
      </c>
      <c r="BH56" s="144" cm="1">
        <f t="array" ref="BH56">_xll.BDP($B56 &amp; " id cusip",BH$14,"settle_dt=" &amp; $U$13)</f>
        <v>360</v>
      </c>
      <c r="BI56" s="144" t="str" cm="1">
        <f t="array" ref="BI56">_xll.BDP($B56 &amp; " id cusip",BI$14,"settle_dt=" &amp; $U$13)</f>
        <v>Mtge</v>
      </c>
      <c r="BJ56" s="144" cm="1">
        <f t="array" ref="BJ56">_xll.BDP($B56 &amp; " id cusip",BJ$14,"settle_dt=" &amp; $U$13)</f>
        <v>7.0940000000000003</v>
      </c>
      <c r="BK56" s="144" t="str" cm="1">
        <f t="array" ref="BK56">_xll.BDP($B56 &amp; " id cusip",BK$14,"settle_dt=" &amp; $U$13)</f>
        <v>FNARM</v>
      </c>
      <c r="BL56" s="122">
        <f>_xll.BDP($B56 &amp; " mtge","YLD_CNV_BID","SETTLE_DT=" &amp; $U$13,"PX_BID=" &amp; $D56, "MTG_PREPAY_SPEED=" &amp; AD56, "MTG_PREPAY_TYP=CPR")</f>
        <v>7.1760000000000002</v>
      </c>
      <c r="BM56" s="122">
        <f>_xll.BDP($B56 &amp; " mtge","YLD_CNV_BID","SETTLE_DT=" &amp; $U$13,"PX_BID=" &amp; $D56, "MTG_PREPAY_SPEED=" &amp; AE56, "MTG_PREPAY_TYP=CPR")</f>
        <v>7.1369999999999996</v>
      </c>
      <c r="BN56" s="122">
        <f>_xll.BDP($B56 &amp; " mtge","YLD_CNV_BID","SETTLE_DT=" &amp; $U$13,"PX_BID=" &amp; $D56, "MTG_PREPAY_SPEED=" &amp; AF56, "MTG_PREPAY_TYP=CPR")</f>
        <v>7.0839999999999996</v>
      </c>
      <c r="BO56" s="122">
        <f>_xll.BDP($B56 &amp; " mtge","YLD_CNV_BID","SETTLE_DT=" &amp; $U$13,"PX_BID=" &amp; $D56, "MTG_PREPAY_SPEED=" &amp; AG56, "MTG_PREPAY_TYP=CPR")</f>
        <v>7.0839999999999996</v>
      </c>
      <c r="BP56" s="122">
        <f>_xll.BDP($B56 &amp; " mtge","YLD_CNV_BID","SETTLE_DT=" &amp; $U$13,"PX_BID=" &amp; $D56, "MTG_PREPAY_SPEED=" &amp; AH56, "MTG_PREPAY_TYP=CPR")</f>
        <v>7.0839999999999996</v>
      </c>
      <c r="BQ56" s="122">
        <f>_xll.BDP($B56 &amp; " mtge","YLD_CNV_BID","SETTLE_DT=" &amp; $U$13,"PX_BID=" &amp; $D56, "MTG_PREPAY_SPEED=" &amp; AI56, "MTG_PREPAY_TYP=CPR")</f>
        <v>7.0839999999999996</v>
      </c>
      <c r="BR56" s="122"/>
    </row>
    <row r="57" spans="1:70" x14ac:dyDescent="0.25">
      <c r="A57" s="149"/>
      <c r="B57" s="137" t="s">
        <v>182</v>
      </c>
      <c r="C57" s="137">
        <v>2275000</v>
      </c>
      <c r="D57" s="137">
        <v>98.169013977050781</v>
      </c>
      <c r="E57" s="53"/>
      <c r="T57" s="6" t="str">
        <f t="shared" si="2"/>
        <v/>
      </c>
      <c r="U57" s="144" t="str" cm="1">
        <f t="array" ref="U57">_xll.BDP(B57 &amp; " id cusip","id cusip")</f>
        <v>3138X2QA5</v>
      </c>
      <c r="V57" s="144" t="str" cm="1">
        <f t="array" ref="V57">_xll.BDP($B57 &amp; " id cusip",$V$14)</f>
        <v>FN AU3148</v>
      </c>
      <c r="W57" s="144" t="str" cm="1">
        <f t="array" ref="W57">_xll.BDP($B57 &amp; " id cusip",W$14)</f>
        <v>MBS ARM</v>
      </c>
      <c r="X57" s="144" cm="1">
        <f t="array" ref="X57">_xll.BDP($B57 &amp; " id cusip",X$14)</f>
        <v>5.78</v>
      </c>
      <c r="Y57" s="144" cm="1">
        <f t="array" ref="Y57">_xll.BDP($B57 &amp; " id cusip",Y$14)</f>
        <v>6.5</v>
      </c>
      <c r="Z57" s="144" cm="1">
        <f t="array" ref="Z57">_xll.BDP($B57 &amp; " id cusip",Z$14)</f>
        <v>232</v>
      </c>
      <c r="AA57" s="144" cm="1">
        <f t="array" ref="AA57">_xll.BDP($B57 &amp; " id cusip",AA$14)</f>
        <v>128</v>
      </c>
      <c r="AB57" s="144" t="str" cm="1">
        <f t="array" ref="AB57">_xll.BDP($B57 &amp; " id cusip",AB$14)</f>
        <v>7/1/2043</v>
      </c>
      <c r="AC57" s="144" cm="1">
        <f t="array" ref="AC57">_xll.BDP($B57 &amp; " id cusip",AC$14,"settle_dt=" &amp; $U$13)</f>
        <v>2</v>
      </c>
      <c r="AD57" s="144" cm="1">
        <f t="array" ref="AD57">_xll.BDP($B57 &amp; " id cusip",AD$14,"settle_dt=" &amp; $U$13)</f>
        <v>34.93</v>
      </c>
      <c r="AE57" s="144" cm="1">
        <f t="array" ref="AE57">_xll.BDP($B57 &amp; " id cusip",AE$14,"settle_dt=" &amp; $U$13)</f>
        <v>21.5015529149</v>
      </c>
      <c r="AF57" s="144" cm="1">
        <f t="array" ref="AF57">_xll.BDP($B57 &amp; " id cusip",AF$14,"settle_dt=" &amp; $U$13)</f>
        <v>0.60674109625922235</v>
      </c>
      <c r="AG57" s="144" cm="1">
        <f t="array" ref="AG57">_xll.BDP($B57 &amp; " id cusip",AG$14,"settle_dt=" &amp; $U$13)</f>
        <v>0.8493219751093406</v>
      </c>
      <c r="AH57" s="144" cm="1">
        <f t="array" ref="AH57">_xll.BDP($B57 &amp; " id cusip",AH$14,"settle_dt=" &amp; $U$13)</f>
        <v>0.57347308355317761</v>
      </c>
      <c r="AI57" s="144" cm="1">
        <f t="array" ref="AI57">_xll.BDP($B57 &amp; " id cusip",AI$14,"settle_dt=" &amp; $U$13)</f>
        <v>0.51239329574037651</v>
      </c>
      <c r="AJ57" s="144" cm="1">
        <f t="array" ref="AJ57">_xll.BDP($B57 &amp; " id cusip",AJ$14,"settle_dt=" &amp; $U$13)</f>
        <v>7.6977199999999999E-3</v>
      </c>
      <c r="AK57" s="144" t="str" cm="1">
        <f t="array" ref="AK57">_xll.BDP($B57 &amp; " id cusip",AK$14,"settle_dt=" &amp; $U$13)</f>
        <v>3/1/2024</v>
      </c>
      <c r="AL57" s="144" cm="1">
        <f t="array" ref="AL57">_xll.BDP($B57 &amp; " id cusip",AL$14,"settle_dt=" &amp; $U$13)</f>
        <v>7.7182099999999997E-3</v>
      </c>
      <c r="AM57" s="144" cm="1">
        <f t="array" ref="AM57">_xll.BDP($B57 &amp; " id cusip",AM$14,"settle_dt=" &amp; $U$13)</f>
        <v>359</v>
      </c>
      <c r="AN57" s="144" t="str" cm="1">
        <f t="array" ref="AN57">_xll.BDP($B57 &amp; " id cusip",AN$14,"settle_dt=" &amp; $U$13)</f>
        <v>LB</v>
      </c>
      <c r="AO57" s="144" cm="1">
        <f t="array" ref="AO57">_xll.BDP($B57 &amp; " id cusip",AO$14,"settle_dt=" &amp; $U$13)</f>
        <v>128</v>
      </c>
      <c r="AP57" s="144" cm="1">
        <f t="array" ref="AP57">_xll.BDP($B57 &amp; " id cusip",AP$14,"settle_dt=" &amp; $U$13)</f>
        <v>277324</v>
      </c>
      <c r="AQ57" s="144" cm="1">
        <f t="array" ref="AQ57">_xll.BDP($B57 &amp; " id cusip",AQ$14,"settle_dt=" &amp; $U$13)</f>
        <v>311000</v>
      </c>
      <c r="AR57" s="144" cm="1">
        <f t="array" ref="AR57">_xll.BDP($B57 &amp; " id cusip",AR$14,"settle_dt=" &amp; $U$13)</f>
        <v>76</v>
      </c>
      <c r="AS57" s="144" cm="1">
        <f t="array" ref="AS57">_xll.BDP($B57 &amp; " id cusip",AS$14,"settle_dt=" &amp; $U$13)</f>
        <v>785</v>
      </c>
      <c r="AT57" s="144" t="str" cm="1">
        <f t="array" ref="AT57">_xll.BDP($B57 &amp; " id cusip",AT$14,"settle_dt=" &amp; $U$13)</f>
        <v>JPMORGAN CHASE BANK, NATIONAL</v>
      </c>
      <c r="AU57" s="144" t="str" cm="1">
        <f t="array" ref="AU57">_xll.BDP($B57 &amp; " id cusip",AU$14,"settle_dt=" &amp; $U$13)</f>
        <v>TX 75%</v>
      </c>
      <c r="AV57" s="144" t="str" cm="1">
        <f t="array" ref="AV57">_xll.BDP($B57 &amp; " id cusip",AV$14,"settle_dt=" &amp; $U$13)</f>
        <v>MO 25%</v>
      </c>
      <c r="AW57" s="144" t="str" cm="1">
        <f t="array" ref="AW57">_xll.BDP($B57 &amp; " id cusip",AW$14,"settle_dt=" &amp; $U$13)</f>
        <v>NJ 7%</v>
      </c>
      <c r="AX57" s="144" cm="1">
        <f t="array" ref="AX57">_xll.BDP($B57 &amp; " id cusip",AX$14,"settle_dt=" &amp; $U$13)</f>
        <v>24.95</v>
      </c>
      <c r="AY57" s="144" cm="1">
        <f t="array" ref="AY57">_xll.BDP($B57 &amp; " id cusip",AY$14,"settle_dt=" &amp; $U$13)</f>
        <v>0</v>
      </c>
      <c r="AZ57" s="144" cm="1">
        <f t="array" ref="AZ57">_xll.BDP($B57 &amp; " id cusip",AZ$14,"settle_dt=" &amp; $U$13)</f>
        <v>0</v>
      </c>
      <c r="BA57" s="144" cm="1">
        <f t="array" ref="BA57">_xll.BDP($B57 &amp; " id cusip",BA$14,"settle_dt=" &amp; $U$13)</f>
        <v>0</v>
      </c>
      <c r="BB57" s="144" t="str" cm="1">
        <f t="array" ref="BB57">_xll.BDP($B57 &amp; " id cusip",BB$14,"settle_dt=" &amp; $U$13)</f>
        <v>TX 75.0</v>
      </c>
      <c r="BC57" s="144" t="str" cm="1">
        <f t="array" ref="BC57">_xll.BDP($B57 &amp; " id cusip",BC$14,"settle_dt=" &amp; $U$13)</f>
        <v>MO 24.9</v>
      </c>
      <c r="BD57" s="144" t="str" cm="1">
        <f t="array" ref="BD57">_xll.BDP($B57 &amp; " id cusip",BD$14,"settle_dt=" &amp; $U$13)</f>
        <v>NJ 9.7</v>
      </c>
      <c r="BE57" s="144" cm="1">
        <f t="array" ref="BE57">_xll.BDP($B57 &amp; " id cusip",BE$14,"settle_dt=" &amp; $U$13)</f>
        <v>76</v>
      </c>
      <c r="BF57" s="144" t="str" cm="1">
        <f t="array" ref="BF57">_xll.BDP($B57 &amp; " id cusip",BF$14,"settle_dt=" &amp; $U$13)</f>
        <v>#N/A Field Not Applicable</v>
      </c>
      <c r="BG57" s="144" cm="1">
        <f t="array" ref="BG57">_xll.BDP($B57 &amp; " id cusip",BG$14,"settle_dt=" &amp; $U$13)</f>
        <v>311000</v>
      </c>
      <c r="BH57" s="144" cm="1">
        <f t="array" ref="BH57">_xll.BDP($B57 &amp; " id cusip",BH$14,"settle_dt=" &amp; $U$13)</f>
        <v>360</v>
      </c>
      <c r="BI57" s="144" t="str" cm="1">
        <f t="array" ref="BI57">_xll.BDP($B57 &amp; " id cusip",BI$14,"settle_dt=" &amp; $U$13)</f>
        <v>Mtge</v>
      </c>
      <c r="BJ57" s="144" cm="1">
        <f t="array" ref="BJ57">_xll.BDP($B57 &amp; " id cusip",BJ$14,"settle_dt=" &amp; $U$13)</f>
        <v>6.883</v>
      </c>
      <c r="BK57" s="144" t="str" cm="1">
        <f t="array" ref="BK57">_xll.BDP($B57 &amp; " id cusip",BK$14,"settle_dt=" &amp; $U$13)</f>
        <v>FNARM</v>
      </c>
      <c r="BL57" s="122">
        <f>_xll.BDP($B57 &amp; " mtge","YLD_CNV_BID","SETTLE_DT=" &amp; $U$13,"PX_BID=" &amp; $D57, "MTG_PREPAY_SPEED=" &amp; AD57, "MTG_PREPAY_TYP=CPR")</f>
        <v>7.3250000000000002</v>
      </c>
      <c r="BM57" s="122">
        <f>_xll.BDP($B57 &amp; " mtge","YLD_CNV_BID","SETTLE_DT=" &amp; $U$13,"PX_BID=" &amp; $D57, "MTG_PREPAY_SPEED=" &amp; AE57, "MTG_PREPAY_TYP=CPR")</f>
        <v>7.1159999999999997</v>
      </c>
      <c r="BN57" s="122">
        <f>_xll.BDP($B57 &amp; " mtge","YLD_CNV_BID","SETTLE_DT=" &amp; $U$13,"PX_BID=" &amp; $D57, "MTG_PREPAY_SPEED=" &amp; AF57, "MTG_PREPAY_TYP=CPR")</f>
        <v>6.8730000000000002</v>
      </c>
      <c r="BO57" s="122">
        <f>_xll.BDP($B57 &amp; " mtge","YLD_CNV_BID","SETTLE_DT=" &amp; $U$13,"PX_BID=" &amp; $D57, "MTG_PREPAY_SPEED=" &amp; AG57, "MTG_PREPAY_TYP=CPR")</f>
        <v>6.875</v>
      </c>
      <c r="BP57" s="122">
        <f>_xll.BDP($B57 &amp; " mtge","YLD_CNV_BID","SETTLE_DT=" &amp; $U$13,"PX_BID=" &amp; $D57, "MTG_PREPAY_SPEED=" &amp; AH57, "MTG_PREPAY_TYP=CPR")</f>
        <v>6.8730000000000002</v>
      </c>
      <c r="BQ57" s="122">
        <f>_xll.BDP($B57 &amp; " mtge","YLD_CNV_BID","SETTLE_DT=" &amp; $U$13,"PX_BID=" &amp; $D57, "MTG_PREPAY_SPEED=" &amp; AI57, "MTG_PREPAY_TYP=CPR")</f>
        <v>6.8719999999999999</v>
      </c>
      <c r="BR57" s="122"/>
    </row>
    <row r="58" spans="1:70" x14ac:dyDescent="0.25">
      <c r="A58" s="149"/>
      <c r="B58" s="137" t="s">
        <v>183</v>
      </c>
      <c r="C58" s="137">
        <v>300000</v>
      </c>
      <c r="D58" s="137">
        <v>99.658164978027344</v>
      </c>
      <c r="E58" s="53"/>
      <c r="T58" s="6" t="str">
        <f t="shared" si="2"/>
        <v/>
      </c>
      <c r="U58" s="144" t="str" cm="1">
        <f t="array" ref="U58">_xll.BDP(B58 &amp; " id cusip","id cusip")</f>
        <v>3140FCE61</v>
      </c>
      <c r="V58" s="144" t="str" cm="1">
        <f t="array" ref="V58">_xll.BDP($B58 &amp; " id cusip",$V$14)</f>
        <v>FN BD4656</v>
      </c>
      <c r="W58" s="144" t="str" cm="1">
        <f t="array" ref="W58">_xll.BDP($B58 &amp; " id cusip",W$14)</f>
        <v>MBS ARM</v>
      </c>
      <c r="X58" s="144" cm="1">
        <f t="array" ref="X58">_xll.BDP($B58 &amp; " id cusip",X$14)</f>
        <v>5.86</v>
      </c>
      <c r="Y58" s="144" cm="1">
        <f t="array" ref="Y58">_xll.BDP($B58 &amp; " id cusip",Y$14)</f>
        <v>6.5</v>
      </c>
      <c r="Z58" s="144" cm="1">
        <f t="array" ref="Z58">_xll.BDP($B58 &amp; " id cusip",Z$14)</f>
        <v>271</v>
      </c>
      <c r="AA58" s="144" cm="1">
        <f t="array" ref="AA58">_xll.BDP($B58 &amp; " id cusip",AA$14)</f>
        <v>89</v>
      </c>
      <c r="AB58" s="144" t="str" cm="1">
        <f t="array" ref="AB58">_xll.BDP($B58 &amp; " id cusip",AB$14)</f>
        <v>10/1/2046</v>
      </c>
      <c r="AC58" s="144" cm="1">
        <f t="array" ref="AC58">_xll.BDP($B58 &amp; " id cusip",AC$14,"settle_dt=" &amp; $U$13)</f>
        <v>4</v>
      </c>
      <c r="AD58" s="144" cm="1">
        <f t="array" ref="AD58">_xll.BDP($B58 &amp; " id cusip",AD$14,"settle_dt=" &amp; $U$13)</f>
        <v>30.2</v>
      </c>
      <c r="AE58" s="144" cm="1">
        <f t="array" ref="AE58">_xll.BDP($B58 &amp; " id cusip",AE$14,"settle_dt=" &amp; $U$13)</f>
        <v>19.162170316699999</v>
      </c>
      <c r="AF58" s="144" cm="1">
        <f t="array" ref="AF58">_xll.BDP($B58 &amp; " id cusip",AF$14,"settle_dt=" &amp; $U$13)</f>
        <v>0.13806229928371438</v>
      </c>
      <c r="AG58" s="144" cm="1">
        <f t="array" ref="AG58">_xll.BDP($B58 &amp; " id cusip",AG$14,"settle_dt=" &amp; $U$13)</f>
        <v>0.13676025924942437</v>
      </c>
      <c r="AH58" s="144" cm="1">
        <f t="array" ref="AH58">_xll.BDP($B58 &amp; " id cusip",AH$14,"settle_dt=" &amp; $U$13)</f>
        <v>4.4441427805018581</v>
      </c>
      <c r="AI58" s="144" cm="1">
        <f t="array" ref="AI58">_xll.BDP($B58 &amp; " id cusip",AI$14,"settle_dt=" &amp; $U$13)</f>
        <v>5.4322508500470494</v>
      </c>
      <c r="AJ58" s="144" cm="1">
        <f t="array" ref="AJ58">_xll.BDP($B58 &amp; " id cusip",AJ$14,"settle_dt=" &amp; $U$13)</f>
        <v>5.7987410000000003E-2</v>
      </c>
      <c r="AK58" s="144" t="str" cm="1">
        <f t="array" ref="AK58">_xll.BDP($B58 &amp; " id cusip",AK$14,"settle_dt=" &amp; $U$13)</f>
        <v>3/1/2024</v>
      </c>
      <c r="AL58" s="144" cm="1">
        <f t="array" ref="AL58">_xll.BDP($B58 &amp; " id cusip",AL$14,"settle_dt=" &amp; $U$13)</f>
        <v>5.8088109999999998E-2</v>
      </c>
      <c r="AM58" s="144" cm="1">
        <f t="array" ref="AM58">_xll.BDP($B58 &amp; " id cusip",AM$14,"settle_dt=" &amp; $U$13)</f>
        <v>360</v>
      </c>
      <c r="AN58" s="144" t="str" cm="1">
        <f t="array" ref="AN58">_xll.BDP($B58 &amp; " id cusip",AN$14,"settle_dt=" &amp; $U$13)</f>
        <v>LB</v>
      </c>
      <c r="AO58" s="144" cm="1">
        <f t="array" ref="AO58">_xll.BDP($B58 &amp; " id cusip",AO$14,"settle_dt=" &amp; $U$13)</f>
        <v>89</v>
      </c>
      <c r="AP58" s="144" cm="1">
        <f t="array" ref="AP58">_xll.BDP($B58 &amp; " id cusip",AP$14,"settle_dt=" &amp; $U$13)</f>
        <v>266410</v>
      </c>
      <c r="AQ58" s="144" cm="1">
        <f t="array" ref="AQ58">_xll.BDP($B58 &amp; " id cusip",AQ$14,"settle_dt=" &amp; $U$13)</f>
        <v>361000</v>
      </c>
      <c r="AR58" s="144" cm="1">
        <f t="array" ref="AR58">_xll.BDP($B58 &amp; " id cusip",AR$14,"settle_dt=" &amp; $U$13)</f>
        <v>41</v>
      </c>
      <c r="AS58" s="144" cm="1">
        <f t="array" ref="AS58">_xll.BDP($B58 &amp; " id cusip",AS$14,"settle_dt=" &amp; $U$13)</f>
        <v>733</v>
      </c>
      <c r="AT58" s="144" t="str" cm="1">
        <f t="array" ref="AT58">_xll.BDP($B58 &amp; " id cusip",AT$14,"settle_dt=" &amp; $U$13)</f>
        <v>GUARANTEED RATE, INC.</v>
      </c>
      <c r="AU58" s="144" t="str" cm="1">
        <f t="array" ref="AU58">_xll.BDP($B58 &amp; " id cusip",AU$14,"settle_dt=" &amp; $U$13)</f>
        <v>IL 100%</v>
      </c>
      <c r="AV58" s="144" t="str" cm="1">
        <f t="array" ref="AV58">_xll.BDP($B58 &amp; " id cusip",AV$14,"settle_dt=" &amp; $U$13)</f>
        <v>VA 19%</v>
      </c>
      <c r="AW58" s="144" t="str" cm="1">
        <f t="array" ref="AW58">_xll.BDP($B58 &amp; " id cusip",AW$14,"settle_dt=" &amp; $U$13)</f>
        <v>VA 14%</v>
      </c>
      <c r="AX58" s="144" cm="1">
        <f t="array" ref="AX58">_xll.BDP($B58 &amp; " id cusip",AX$14,"settle_dt=" &amp; $U$13)</f>
        <v>0</v>
      </c>
      <c r="AY58" s="144" cm="1">
        <f t="array" ref="AY58">_xll.BDP($B58 &amp; " id cusip",AY$14,"settle_dt=" &amp; $U$13)</f>
        <v>0</v>
      </c>
      <c r="AZ58" s="144" cm="1">
        <f t="array" ref="AZ58">_xll.BDP($B58 &amp; " id cusip",AZ$14,"settle_dt=" &amp; $U$13)</f>
        <v>0</v>
      </c>
      <c r="BA58" s="144" cm="1">
        <f t="array" ref="BA58">_xll.BDP($B58 &amp; " id cusip",BA$14,"settle_dt=" &amp; $U$13)</f>
        <v>0</v>
      </c>
      <c r="BB58" s="144" t="str" cm="1">
        <f t="array" ref="BB58">_xll.BDP($B58 &amp; " id cusip",BB$14,"settle_dt=" &amp; $U$13)</f>
        <v>IL 100.0</v>
      </c>
      <c r="BC58" s="144" t="str" cm="1">
        <f t="array" ref="BC58">_xll.BDP($B58 &amp; " id cusip",BC$14,"settle_dt=" &amp; $U$13)</f>
        <v>MA 9.8</v>
      </c>
      <c r="BD58" s="144" t="str" cm="1">
        <f t="array" ref="BD58">_xll.BDP($B58 &amp; " id cusip",BD$14,"settle_dt=" &amp; $U$13)</f>
        <v>FL 4.6</v>
      </c>
      <c r="BE58" s="144" cm="1">
        <f t="array" ref="BE58">_xll.BDP($B58 &amp; " id cusip",BE$14,"settle_dt=" &amp; $U$13)</f>
        <v>41</v>
      </c>
      <c r="BF58" s="144" t="str" cm="1">
        <f t="array" ref="BF58">_xll.BDP($B58 &amp; " id cusip",BF$14,"settle_dt=" &amp; $U$13)</f>
        <v>#N/A Field Not Applicable</v>
      </c>
      <c r="BG58" s="144" cm="1">
        <f t="array" ref="BG58">_xll.BDP($B58 &amp; " id cusip",BG$14,"settle_dt=" &amp; $U$13)</f>
        <v>361000</v>
      </c>
      <c r="BH58" s="144" cm="1">
        <f t="array" ref="BH58">_xll.BDP($B58 &amp; " id cusip",BH$14,"settle_dt=" &amp; $U$13)</f>
        <v>360</v>
      </c>
      <c r="BI58" s="144" t="str" cm="1">
        <f t="array" ref="BI58">_xll.BDP($B58 &amp; " id cusip",BI$14,"settle_dt=" &amp; $U$13)</f>
        <v>Mtge</v>
      </c>
      <c r="BJ58" s="144" cm="1">
        <f t="array" ref="BJ58">_xll.BDP($B58 &amp; " id cusip",BJ$14,"settle_dt=" &amp; $U$13)</f>
        <v>7.1120000000000001</v>
      </c>
      <c r="BK58" s="144" t="str" cm="1">
        <f t="array" ref="BK58">_xll.BDP($B58 &amp; " id cusip",BK$14,"settle_dt=" &amp; $U$13)</f>
        <v>FNARM</v>
      </c>
      <c r="BL58" s="122">
        <f>_xll.BDP($B58 &amp; " mtge","YLD_CNV_BID","SETTLE_DT=" &amp; $U$13,"PX_BID=" &amp; $D58, "MTG_PREPAY_SPEED=" &amp; AD58, "MTG_PREPAY_TYP=CPR")</f>
        <v>6.8890000000000002</v>
      </c>
      <c r="BM58" s="122">
        <f>_xll.BDP($B58 &amp; " mtge","YLD_CNV_BID","SETTLE_DT=" &amp; $U$13,"PX_BID=" &amp; $D58, "MTG_PREPAY_SPEED=" &amp; AE58, "MTG_PREPAY_TYP=CPR")</f>
        <v>6.9870000000000001</v>
      </c>
      <c r="BN58" s="122">
        <f>_xll.BDP($B58 &amp; " mtge","YLD_CNV_BID","SETTLE_DT=" &amp; $U$13,"PX_BID=" &amp; $D58, "MTG_PREPAY_SPEED=" &amp; AF58, "MTG_PREPAY_TYP=CPR")</f>
        <v>7.1280000000000001</v>
      </c>
      <c r="BO58" s="122">
        <f>_xll.BDP($B58 &amp; " mtge","YLD_CNV_BID","SETTLE_DT=" &amp; $U$13,"PX_BID=" &amp; $D58, "MTG_PREPAY_SPEED=" &amp; AG58, "MTG_PREPAY_TYP=CPR")</f>
        <v>7.1280000000000001</v>
      </c>
      <c r="BP58" s="122">
        <f>_xll.BDP($B58 &amp; " mtge","YLD_CNV_BID","SETTLE_DT=" &amp; $U$13,"PX_BID=" &amp; $D58, "MTG_PREPAY_SPEED=" &amp; AH58, "MTG_PREPAY_TYP=CPR")</f>
        <v>7.1</v>
      </c>
      <c r="BQ58" s="122">
        <f>_xll.BDP($B58 &amp; " mtge","YLD_CNV_BID","SETTLE_DT=" &amp; $U$13,"PX_BID=" &amp; $D58, "MTG_PREPAY_SPEED=" &amp; AI58, "MTG_PREPAY_TYP=CPR")</f>
        <v>7.093</v>
      </c>
      <c r="BR58" s="122"/>
    </row>
    <row r="59" spans="1:70" x14ac:dyDescent="0.25">
      <c r="A59" s="149"/>
      <c r="B59" s="137" t="s">
        <v>184</v>
      </c>
      <c r="C59" s="137">
        <v>500000</v>
      </c>
      <c r="D59" s="137">
        <v>100.64052581787109</v>
      </c>
      <c r="E59" s="53"/>
      <c r="T59" s="6" t="str">
        <f t="shared" si="2"/>
        <v/>
      </c>
      <c r="U59" s="144" t="str" cm="1">
        <f t="array" ref="U59">_xll.BDP(B59 &amp; " id cusip","id cusip")</f>
        <v>3138MDX31</v>
      </c>
      <c r="V59" s="144" t="str" cm="1">
        <f t="array" ref="V59">_xll.BDP($B59 &amp; " id cusip",$V$14)</f>
        <v>FN AP9697</v>
      </c>
      <c r="W59" s="144" t="str" cm="1">
        <f t="array" ref="W59">_xll.BDP($B59 &amp; " id cusip",W$14)</f>
        <v>MBS ARM</v>
      </c>
      <c r="X59" s="144" cm="1">
        <f t="array" ref="X59">_xll.BDP($B59 &amp; " id cusip",X$14)</f>
        <v>5.915</v>
      </c>
      <c r="Y59" s="144" cm="1">
        <f t="array" ref="Y59">_xll.BDP($B59 &amp; " id cusip",Y$14)</f>
        <v>6.5</v>
      </c>
      <c r="Z59" s="144" cm="1">
        <f t="array" ref="Z59">_xll.BDP($B59 &amp; " id cusip",Z$14)</f>
        <v>221</v>
      </c>
      <c r="AA59" s="144" cm="1">
        <f t="array" ref="AA59">_xll.BDP($B59 &amp; " id cusip",AA$14)</f>
        <v>139</v>
      </c>
      <c r="AB59" s="144" t="str" cm="1">
        <f t="array" ref="AB59">_xll.BDP($B59 &amp; " id cusip",AB$14)</f>
        <v>10/1/2042</v>
      </c>
      <c r="AC59" s="144" cm="1">
        <f t="array" ref="AC59">_xll.BDP($B59 &amp; " id cusip",AC$14,"settle_dt=" &amp; $U$13)</f>
        <v>8</v>
      </c>
      <c r="AD59" s="144" cm="1">
        <f t="array" ref="AD59">_xll.BDP($B59 &amp; " id cusip",AD$14,"settle_dt=" &amp; $U$13)</f>
        <v>23.78</v>
      </c>
      <c r="AE59" s="144" cm="1">
        <f t="array" ref="AE59">_xll.BDP($B59 &amp; " id cusip",AE$14,"settle_dt=" &amp; $U$13)</f>
        <v>21.5015529149</v>
      </c>
      <c r="AF59" s="144" cm="1">
        <f t="array" ref="AF59">_xll.BDP($B59 &amp; " id cusip",AF$14,"settle_dt=" &amp; $U$13)</f>
        <v>0.32343820419810099</v>
      </c>
      <c r="AG59" s="144" cm="1">
        <f t="array" ref="AG59">_xll.BDP($B59 &amp; " id cusip",AG$14,"settle_dt=" &amp; $U$13)</f>
        <v>0.75277399930034905</v>
      </c>
      <c r="AH59" s="144" cm="1">
        <f t="array" ref="AH59">_xll.BDP($B59 &amp; " id cusip",AH$14,"settle_dt=" &amp; $U$13)</f>
        <v>0.73446902797695834</v>
      </c>
      <c r="AI59" s="144" cm="1">
        <f t="array" ref="AI59">_xll.BDP($B59 &amp; " id cusip",AI$14,"settle_dt=" &amp; $U$13)</f>
        <v>7.0147568006621031</v>
      </c>
      <c r="AJ59" s="144" cm="1">
        <f t="array" ref="AJ59">_xll.BDP($B59 &amp; " id cusip",AJ$14,"settle_dt=" &amp; $U$13)</f>
        <v>3.2939749999999997E-2</v>
      </c>
      <c r="AK59" s="144" t="str" cm="1">
        <f t="array" ref="AK59">_xll.BDP($B59 &amp; " id cusip",AK$14,"settle_dt=" &amp; $U$13)</f>
        <v>3/1/2024</v>
      </c>
      <c r="AL59" s="144" cm="1">
        <f t="array" ref="AL59">_xll.BDP($B59 &amp; " id cusip",AL$14,"settle_dt=" &amp; $U$13)</f>
        <v>3.3025829999999999E-2</v>
      </c>
      <c r="AM59" s="144" cm="1">
        <f t="array" ref="AM59">_xll.BDP($B59 &amp; " id cusip",AM$14,"settle_dt=" &amp; $U$13)</f>
        <v>358</v>
      </c>
      <c r="AN59" s="144" t="str" cm="1">
        <f t="array" ref="AN59">_xll.BDP($B59 &amp; " id cusip",AN$14,"settle_dt=" &amp; $U$13)</f>
        <v>LB</v>
      </c>
      <c r="AO59" s="144" cm="1">
        <f t="array" ref="AO59">_xll.BDP($B59 &amp; " id cusip",AO$14,"settle_dt=" &amp; $U$13)</f>
        <v>139</v>
      </c>
      <c r="AP59" s="144" cm="1">
        <f t="array" ref="AP59">_xll.BDP($B59 &amp; " id cusip",AP$14,"settle_dt=" &amp; $U$13)</f>
        <v>342486</v>
      </c>
      <c r="AQ59" s="144" cm="1">
        <f t="array" ref="AQ59">_xll.BDP($B59 &amp; " id cusip",AQ$14,"settle_dt=" &amp; $U$13)</f>
        <v>465000</v>
      </c>
      <c r="AR59" s="144" cm="1">
        <f t="array" ref="AR59">_xll.BDP($B59 &amp; " id cusip",AR$14,"settle_dt=" &amp; $U$13)</f>
        <v>61</v>
      </c>
      <c r="AS59" s="144" cm="1">
        <f t="array" ref="AS59">_xll.BDP($B59 &amp; " id cusip",AS$14,"settle_dt=" &amp; $U$13)</f>
        <v>770</v>
      </c>
      <c r="AT59" s="144" t="str" cm="1">
        <f t="array" ref="AT59">_xll.BDP($B59 &amp; " id cusip",AT$14,"settle_dt=" &amp; $U$13)</f>
        <v>WELLS FARGO BANK, N.A.</v>
      </c>
      <c r="AU59" s="144" t="str" cm="1">
        <f t="array" ref="AU59">_xll.BDP($B59 &amp; " id cusip",AU$14,"settle_dt=" &amp; $U$13)</f>
        <v>NY 41%</v>
      </c>
      <c r="AV59" s="144" t="str" cm="1">
        <f t="array" ref="AV59">_xll.BDP($B59 &amp; " id cusip",AV$14,"settle_dt=" &amp; $U$13)</f>
        <v>CA 37%</v>
      </c>
      <c r="AW59" s="144" t="str" cm="1">
        <f t="array" ref="AW59">_xll.BDP($B59 &amp; " id cusip",AW$14,"settle_dt=" &amp; $U$13)</f>
        <v>OH 13%</v>
      </c>
      <c r="AX59" s="144" cm="1">
        <f t="array" ref="AX59">_xll.BDP($B59 &amp; " id cusip",AX$14,"settle_dt=" &amp; $U$13)</f>
        <v>0</v>
      </c>
      <c r="AY59" s="144" cm="1">
        <f t="array" ref="AY59">_xll.BDP($B59 &amp; " id cusip",AY$14,"settle_dt=" &amp; $U$13)</f>
        <v>0</v>
      </c>
      <c r="AZ59" s="144" cm="1">
        <f t="array" ref="AZ59">_xll.BDP($B59 &amp; " id cusip",AZ$14,"settle_dt=" &amp; $U$13)</f>
        <v>0</v>
      </c>
      <c r="BA59" s="144" cm="1">
        <f t="array" ref="BA59">_xll.BDP($B59 &amp; " id cusip",BA$14,"settle_dt=" &amp; $U$13)</f>
        <v>0</v>
      </c>
      <c r="BB59" s="144" t="str" cm="1">
        <f t="array" ref="BB59">_xll.BDP($B59 &amp; " id cusip",BB$14,"settle_dt=" &amp; $U$13)</f>
        <v>NY 40.6</v>
      </c>
      <c r="BC59" s="144" t="str" cm="1">
        <f t="array" ref="BC59">_xll.BDP($B59 &amp; " id cusip",BC$14,"settle_dt=" &amp; $U$13)</f>
        <v>CA 36.9</v>
      </c>
      <c r="BD59" s="144" t="str" cm="1">
        <f t="array" ref="BD59">_xll.BDP($B59 &amp; " id cusip",BD$14,"settle_dt=" &amp; $U$13)</f>
        <v>OH 13.3</v>
      </c>
      <c r="BE59" s="144" cm="1">
        <f t="array" ref="BE59">_xll.BDP($B59 &amp; " id cusip",BE$14,"settle_dt=" &amp; $U$13)</f>
        <v>61</v>
      </c>
      <c r="BF59" s="144" t="str" cm="1">
        <f t="array" ref="BF59">_xll.BDP($B59 &amp; " id cusip",BF$14,"settle_dt=" &amp; $U$13)</f>
        <v>#N/A Field Not Applicable</v>
      </c>
      <c r="BG59" s="144" cm="1">
        <f t="array" ref="BG59">_xll.BDP($B59 &amp; " id cusip",BG$14,"settle_dt=" &amp; $U$13)</f>
        <v>465000</v>
      </c>
      <c r="BH59" s="144" cm="1">
        <f t="array" ref="BH59">_xll.BDP($B59 &amp; " id cusip",BH$14,"settle_dt=" &amp; $U$13)</f>
        <v>360</v>
      </c>
      <c r="BI59" s="144" t="str" cm="1">
        <f t="array" ref="BI59">_xll.BDP($B59 &amp; " id cusip",BI$14,"settle_dt=" &amp; $U$13)</f>
        <v>Mtge</v>
      </c>
      <c r="BJ59" s="144" cm="1">
        <f t="array" ref="BJ59">_xll.BDP($B59 &amp; " id cusip",BJ$14,"settle_dt=" &amp; $U$13)</f>
        <v>6.9649999999999999</v>
      </c>
      <c r="BK59" s="144" t="str" cm="1">
        <f t="array" ref="BK59">_xll.BDP($B59 &amp; " id cusip",BK$14,"settle_dt=" &amp; $U$13)</f>
        <v>FNARM</v>
      </c>
      <c r="BL59" s="122">
        <f>_xll.BDP($B59 &amp; " mtge","YLD_CNV_BID","SETTLE_DT=" &amp; $U$13,"PX_BID=" &amp; $D59, "MTG_PREPAY_SPEED=" &amp; AD59, "MTG_PREPAY_TYP=CPR")</f>
        <v>6.609</v>
      </c>
      <c r="BM59" s="122">
        <f>_xll.BDP($B59 &amp; " mtge","YLD_CNV_BID","SETTLE_DT=" &amp; $U$13,"PX_BID=" &amp; $D59, "MTG_PREPAY_SPEED=" &amp; AE59, "MTG_PREPAY_TYP=CPR")</f>
        <v>6.65</v>
      </c>
      <c r="BN59" s="122">
        <f>_xll.BDP($B59 &amp; " mtge","YLD_CNV_BID","SETTLE_DT=" &amp; $U$13,"PX_BID=" &amp; $D59, "MTG_PREPAY_SPEED=" &amp; AF59, "MTG_PREPAY_TYP=CPR")</f>
        <v>6.9589999999999996</v>
      </c>
      <c r="BO59" s="122">
        <f>_xll.BDP($B59 &amp; " mtge","YLD_CNV_BID","SETTLE_DT=" &amp; $U$13,"PX_BID=" &amp; $D59, "MTG_PREPAY_SPEED=" &amp; AG59, "MTG_PREPAY_TYP=CPR")</f>
        <v>6.9539999999999997</v>
      </c>
      <c r="BP59" s="122">
        <f>_xll.BDP($B59 &amp; " mtge","YLD_CNV_BID","SETTLE_DT=" &amp; $U$13,"PX_BID=" &amp; $D59, "MTG_PREPAY_SPEED=" &amp; AH59, "MTG_PREPAY_TYP=CPR")</f>
        <v>6.9550000000000001</v>
      </c>
      <c r="BQ59" s="122">
        <f>_xll.BDP($B59 &amp; " mtge","YLD_CNV_BID","SETTLE_DT=" &amp; $U$13,"PX_BID=" &amp; $D59, "MTG_PREPAY_SPEED=" &amp; AI59, "MTG_PREPAY_TYP=CPR")</f>
        <v>6.875</v>
      </c>
      <c r="BR59" s="122"/>
    </row>
    <row r="60" spans="1:70" x14ac:dyDescent="0.25">
      <c r="A60" s="149"/>
      <c r="B60" s="137" t="s">
        <v>185</v>
      </c>
      <c r="C60" s="137">
        <v>2000000</v>
      </c>
      <c r="D60" s="137">
        <v>99.796260833740234</v>
      </c>
      <c r="E60" s="53"/>
      <c r="T60" s="6" t="str">
        <f t="shared" si="2"/>
        <v/>
      </c>
      <c r="U60" s="144" t="str" cm="1">
        <f t="array" ref="U60">_xll.BDP(B60 &amp; " id cusip","id cusip")</f>
        <v>3138A2C72</v>
      </c>
      <c r="V60" s="144" t="str" cm="1">
        <f t="array" ref="V60">_xll.BDP($B60 &amp; " id cusip",$V$14)</f>
        <v>FN AH0993</v>
      </c>
      <c r="W60" s="144" t="str" cm="1">
        <f t="array" ref="W60">_xll.BDP($B60 &amp; " id cusip",W$14)</f>
        <v>MBS ARM</v>
      </c>
      <c r="X60" s="144" cm="1">
        <f t="array" ref="X60">_xll.BDP($B60 &amp; " id cusip",X$14)</f>
        <v>6.3250000000000002</v>
      </c>
      <c r="Y60" s="144" cm="1">
        <f t="array" ref="Y60">_xll.BDP($B60 &amp; " id cusip",Y$14)</f>
        <v>6.75</v>
      </c>
      <c r="Z60" s="144" cm="1">
        <f t="array" ref="Z60">_xll.BDP($B60 &amp; " id cusip",Z$14)</f>
        <v>203</v>
      </c>
      <c r="AA60" s="144" cm="1">
        <f t="array" ref="AA60">_xll.BDP($B60 &amp; " id cusip",AA$14)</f>
        <v>157</v>
      </c>
      <c r="AB60" s="144" t="str" cm="1">
        <f t="array" ref="AB60">_xll.BDP($B60 &amp; " id cusip",AB$14)</f>
        <v>2/1/2041</v>
      </c>
      <c r="AC60" s="144" cm="1">
        <f t="array" ref="AC60">_xll.BDP($B60 &amp; " id cusip",AC$14,"settle_dt=" &amp; $U$13)</f>
        <v>3</v>
      </c>
      <c r="AD60" s="144" cm="1">
        <f t="array" ref="AD60">_xll.BDP($B60 &amp; " id cusip",AD$14,"settle_dt=" &amp; $U$13)</f>
        <v>28.75</v>
      </c>
      <c r="AE60" s="144" cm="1">
        <f t="array" ref="AE60">_xll.BDP($B60 &amp; " id cusip",AE$14,"settle_dt=" &amp; $U$13)</f>
        <v>12.0609634215</v>
      </c>
      <c r="AF60" s="144" cm="1">
        <f t="array" ref="AF60">_xll.BDP($B60 &amp; " id cusip",AF$14,"settle_dt=" &amp; $U$13)</f>
        <v>-1.456504010510784E-4</v>
      </c>
      <c r="AG60" s="144" cm="1">
        <f t="array" ref="AG60">_xll.BDP($B60 &amp; " id cusip",AG$14,"settle_dt=" &amp; $U$13)</f>
        <v>-3.3695234513686501E-5</v>
      </c>
      <c r="AH60" s="144" cm="1">
        <f t="array" ref="AH60">_xll.BDP($B60 &amp; " id cusip",AH$14,"settle_dt=" &amp; $U$13)</f>
        <v>-9.68870799145094E-6</v>
      </c>
      <c r="AI60" s="144" cm="1">
        <f t="array" ref="AI60">_xll.BDP($B60 &amp; " id cusip",AI$14,"settle_dt=" &amp; $U$13)</f>
        <v>2.1216636181264903E-5</v>
      </c>
      <c r="AJ60" s="144" cm="1">
        <f t="array" ref="AJ60">_xll.BDP($B60 &amp; " id cusip",AJ$14,"settle_dt=" &amp; $U$13)</f>
        <v>8.2009200000000004E-3</v>
      </c>
      <c r="AK60" s="144" t="str" cm="1">
        <f t="array" ref="AK60">_xll.BDP($B60 &amp; " id cusip",AK$14,"settle_dt=" &amp; $U$13)</f>
        <v>3/1/2024</v>
      </c>
      <c r="AL60" s="144" cm="1">
        <f t="array" ref="AL60">_xll.BDP($B60 &amp; " id cusip",AL$14,"settle_dt=" &amp; $U$13)</f>
        <v>8.2225300000000005E-3</v>
      </c>
      <c r="AM60" s="144" cm="1">
        <f t="array" ref="AM60">_xll.BDP($B60 &amp; " id cusip",AM$14,"settle_dt=" &amp; $U$13)</f>
        <v>360</v>
      </c>
      <c r="AN60" s="144" t="str" cm="1">
        <f t="array" ref="AN60">_xll.BDP($B60 &amp; " id cusip",AN$14,"settle_dt=" &amp; $U$13)</f>
        <v>LB</v>
      </c>
      <c r="AO60" s="144" cm="1">
        <f t="array" ref="AO60">_xll.BDP($B60 &amp; " id cusip",AO$14,"settle_dt=" &amp; $U$13)</f>
        <v>157</v>
      </c>
      <c r="AP60" s="144" cm="1">
        <f t="array" ref="AP60">_xll.BDP($B60 &amp; " id cusip",AP$14,"settle_dt=" &amp; $U$13)</f>
        <v>212266</v>
      </c>
      <c r="AQ60" s="144" cm="1">
        <f t="array" ref="AQ60">_xll.BDP($B60 &amp; " id cusip",AQ$14,"settle_dt=" &amp; $U$13)</f>
        <v>263000</v>
      </c>
      <c r="AR60" s="144" cm="1">
        <f t="array" ref="AR60">_xll.BDP($B60 &amp; " id cusip",AR$14,"settle_dt=" &amp; $U$13)</f>
        <v>72</v>
      </c>
      <c r="AS60" s="144" cm="1">
        <f t="array" ref="AS60">_xll.BDP($B60 &amp; " id cusip",AS$14,"settle_dt=" &amp; $U$13)</f>
        <v>778</v>
      </c>
      <c r="AT60" s="144" t="str" cm="1">
        <f t="array" ref="AT60">_xll.BDP($B60 &amp; " id cusip",AT$14,"settle_dt=" &amp; $U$13)</f>
        <v>WELLS FARGO BANK, N.A.</v>
      </c>
      <c r="AU60" s="144" t="str" cm="1">
        <f t="array" ref="AU60">_xll.BDP($B60 &amp; " id cusip",AU$14,"settle_dt=" &amp; $U$13)</f>
        <v>NY 74%</v>
      </c>
      <c r="AV60" s="144" t="str" cm="1">
        <f t="array" ref="AV60">_xll.BDP($B60 &amp; " id cusip",AV$14,"settle_dt=" &amp; $U$13)</f>
        <v>WA 26%</v>
      </c>
      <c r="AW60" s="144" t="str" cm="1">
        <f t="array" ref="AW60">_xll.BDP($B60 &amp; " id cusip",AW$14,"settle_dt=" &amp; $U$13)</f>
        <v>MN 0%</v>
      </c>
      <c r="AX60" s="144" cm="1">
        <f t="array" ref="AX60">_xll.BDP($B60 &amp; " id cusip",AX$14,"settle_dt=" &amp; $U$13)</f>
        <v>0</v>
      </c>
      <c r="AY60" s="144" cm="1">
        <f t="array" ref="AY60">_xll.BDP($B60 &amp; " id cusip",AY$14,"settle_dt=" &amp; $U$13)</f>
        <v>0</v>
      </c>
      <c r="AZ60" s="144" cm="1">
        <f t="array" ref="AZ60">_xll.BDP($B60 &amp; " id cusip",AZ$14,"settle_dt=" &amp; $U$13)</f>
        <v>0</v>
      </c>
      <c r="BA60" s="144" cm="1">
        <f t="array" ref="BA60">_xll.BDP($B60 &amp; " id cusip",BA$14,"settle_dt=" &amp; $U$13)</f>
        <v>0</v>
      </c>
      <c r="BB60" s="144" t="str" cm="1">
        <f t="array" ref="BB60">_xll.BDP($B60 &amp; " id cusip",BB$14,"settle_dt=" &amp; $U$13)</f>
        <v>NY 74.4</v>
      </c>
      <c r="BC60" s="144" t="str" cm="1">
        <f t="array" ref="BC60">_xll.BDP($B60 &amp; " id cusip",BC$14,"settle_dt=" &amp; $U$13)</f>
        <v>WA 25.6</v>
      </c>
      <c r="BD60" s="144" t="str" cm="1">
        <f t="array" ref="BD60">_xll.BDP($B60 &amp; " id cusip",BD$14,"settle_dt=" &amp; $U$13)</f>
        <v>TX 7.3</v>
      </c>
      <c r="BE60" s="144" cm="1">
        <f t="array" ref="BE60">_xll.BDP($B60 &amp; " id cusip",BE$14,"settle_dt=" &amp; $U$13)</f>
        <v>72</v>
      </c>
      <c r="BF60" s="144" t="str" cm="1">
        <f t="array" ref="BF60">_xll.BDP($B60 &amp; " id cusip",BF$14,"settle_dt=" &amp; $U$13)</f>
        <v>#N/A Field Not Applicable</v>
      </c>
      <c r="BG60" s="144" cm="1">
        <f t="array" ref="BG60">_xll.BDP($B60 &amp; " id cusip",BG$14,"settle_dt=" &amp; $U$13)</f>
        <v>263000</v>
      </c>
      <c r="BH60" s="144" cm="1">
        <f t="array" ref="BH60">_xll.BDP($B60 &amp; " id cusip",BH$14,"settle_dt=" &amp; $U$13)</f>
        <v>360</v>
      </c>
      <c r="BI60" s="144" t="str" cm="1">
        <f t="array" ref="BI60">_xll.BDP($B60 &amp; " id cusip",BI$14,"settle_dt=" &amp; $U$13)</f>
        <v>Mtge</v>
      </c>
      <c r="BJ60" s="144" cm="1">
        <f t="array" ref="BJ60">_xll.BDP($B60 &amp; " id cusip",BJ$14,"settle_dt=" &amp; $U$13)</f>
        <v>7.4109999999999996</v>
      </c>
      <c r="BK60" s="144" t="str" cm="1">
        <f t="array" ref="BK60">_xll.BDP($B60 &amp; " id cusip",BK$14,"settle_dt=" &amp; $U$13)</f>
        <v>FNARM</v>
      </c>
      <c r="BL60" s="122">
        <f>_xll.BDP($B60 &amp; " mtge","YLD_CNV_BID","SETTLE_DT=" &amp; $U$13,"PX_BID=" &amp; $D60, "MTG_PREPAY_SPEED=" &amp; AD60, "MTG_PREPAY_TYP=CPR")</f>
        <v>7.08</v>
      </c>
      <c r="BM60" s="122">
        <f>_xll.BDP($B60 &amp; " mtge","YLD_CNV_BID","SETTLE_DT=" &amp; $U$13,"PX_BID=" &amp; $D60, "MTG_PREPAY_SPEED=" &amp; AE60, "MTG_PREPAY_TYP=CPR")</f>
        <v>7.28</v>
      </c>
      <c r="BN60" s="122" t="str">
        <f>_xll.BDP($B60 &amp; " mtge","YLD_CNV_BID","SETTLE_DT=" &amp; $U$13,"PX_BID=" &amp; $D60, "MTG_PREPAY_SPEED=" &amp; AF60, "MTG_PREPAY_TYP=CPR")</f>
        <v>#N/A N/A</v>
      </c>
      <c r="BO60" s="122" t="str">
        <f>_xll.BDP($B60 &amp; " mtge","YLD_CNV_BID","SETTLE_DT=" &amp; $U$13,"PX_BID=" &amp; $D60, "MTG_PREPAY_SPEED=" &amp; AG60, "MTG_PREPAY_TYP=CPR")</f>
        <v>#N/A N/A</v>
      </c>
      <c r="BP60" s="122" t="str">
        <f>_xll.BDP($B60 &amp; " mtge","YLD_CNV_BID","SETTLE_DT=" &amp; $U$13,"PX_BID=" &amp; $D60, "MTG_PREPAY_SPEED=" &amp; AH60, "MTG_PREPAY_TYP=CPR")</f>
        <v>#N/A N/A</v>
      </c>
      <c r="BQ60" s="122">
        <f>_xll.BDP($B60 &amp; " mtge","YLD_CNV_BID","SETTLE_DT=" &amp; $U$13,"PX_BID=" &amp; $D60, "MTG_PREPAY_SPEED=" &amp; AI60, "MTG_PREPAY_TYP=CPR")</f>
        <v>7.3810000000000002</v>
      </c>
      <c r="BR60" s="122"/>
    </row>
    <row r="61" spans="1:70" x14ac:dyDescent="0.25">
      <c r="A61" s="149"/>
      <c r="B61" s="137" t="s">
        <v>186</v>
      </c>
      <c r="C61" s="137">
        <v>250000</v>
      </c>
      <c r="D61" s="137">
        <v>101.54716873168945</v>
      </c>
      <c r="E61" s="53"/>
      <c r="T61" s="6" t="str">
        <f t="shared" si="2"/>
        <v/>
      </c>
      <c r="U61" s="144" t="str" cm="1">
        <f t="array" ref="U61">_xll.BDP(B61 &amp; " id cusip","id cusip")</f>
        <v>3138EPRX4</v>
      </c>
      <c r="V61" s="144" t="str" cm="1">
        <f t="array" ref="V61">_xll.BDP($B61 &amp; " id cusip",$V$14)</f>
        <v>FN AL6801</v>
      </c>
      <c r="W61" s="144" t="str" cm="1">
        <f t="array" ref="W61">_xll.BDP($B61 &amp; " id cusip",W$14)</f>
        <v>MBS ARM</v>
      </c>
      <c r="X61" s="144" cm="1">
        <f t="array" ref="X61">_xll.BDP($B61 &amp; " id cusip",X$14)</f>
        <v>5.2569999999999997</v>
      </c>
      <c r="Y61" s="144" cm="1">
        <f t="array" ref="Y61">_xll.BDP($B61 &amp; " id cusip",Y$14)</f>
        <v>5.9180000000000001</v>
      </c>
      <c r="Z61" s="144" cm="1">
        <f t="array" ref="Z61">_xll.BDP($B61 &amp; " id cusip",Z$14)</f>
        <v>253</v>
      </c>
      <c r="AA61" s="144" cm="1">
        <f t="array" ref="AA61">_xll.BDP($B61 &amp; " id cusip",AA$14)</f>
        <v>107</v>
      </c>
      <c r="AB61" s="144" t="str" cm="1">
        <f t="array" ref="AB61">_xll.BDP($B61 &amp; " id cusip",AB$14)</f>
        <v>5/1/2045</v>
      </c>
      <c r="AC61" s="144" cm="1">
        <f t="array" ref="AC61">_xll.BDP($B61 &amp; " id cusip",AC$14,"settle_dt=" &amp; $U$13)</f>
        <v>8</v>
      </c>
      <c r="AD61" s="144" cm="1">
        <f t="array" ref="AD61">_xll.BDP($B61 &amp; " id cusip",AD$14,"settle_dt=" &amp; $U$13)</f>
        <v>27.03</v>
      </c>
      <c r="AE61" s="144" cm="1">
        <f t="array" ref="AE61">_xll.BDP($B61 &amp; " id cusip",AE$14,"settle_dt=" &amp; $U$13)</f>
        <v>19.162170316699999</v>
      </c>
      <c r="AF61" s="144" cm="1">
        <f t="array" ref="AF61">_xll.BDP($B61 &amp; " id cusip",AF$14,"settle_dt=" &amp; $U$13)</f>
        <v>0.28501382296325373</v>
      </c>
      <c r="AG61" s="144" cm="1">
        <f t="array" ref="AG61">_xll.BDP($B61 &amp; " id cusip",AG$14,"settle_dt=" &amp; $U$13)</f>
        <v>0.2872685329423863</v>
      </c>
      <c r="AH61" s="144" cm="1">
        <f t="array" ref="AH61">_xll.BDP($B61 &amp; " id cusip",AH$14,"settle_dt=" &amp; $U$13)</f>
        <v>0.27325675732480237</v>
      </c>
      <c r="AI61" s="144" cm="1">
        <f t="array" ref="AI61">_xll.BDP($B61 &amp; " id cusip",AI$14,"settle_dt=" &amp; $U$13)</f>
        <v>20.506558851698443</v>
      </c>
      <c r="AJ61" s="144" cm="1">
        <f t="array" ref="AJ61">_xll.BDP($B61 &amp; " id cusip",AJ$14,"settle_dt=" &amp; $U$13)</f>
        <v>4.8255010000000001E-2</v>
      </c>
      <c r="AK61" s="144" t="str" cm="1">
        <f t="array" ref="AK61">_xll.BDP($B61 &amp; " id cusip",AK$14,"settle_dt=" &amp; $U$13)</f>
        <v>3/1/2024</v>
      </c>
      <c r="AL61" s="144" cm="1">
        <f t="array" ref="AL61">_xll.BDP($B61 &amp; " id cusip",AL$14,"settle_dt=" &amp; $U$13)</f>
        <v>4.836232E-2</v>
      </c>
      <c r="AM61" s="144" cm="1">
        <f t="array" ref="AM61">_xll.BDP($B61 &amp; " id cusip",AM$14,"settle_dt=" &amp; $U$13)</f>
        <v>359</v>
      </c>
      <c r="AN61" s="144" t="str" cm="1">
        <f t="array" ref="AN61">_xll.BDP($B61 &amp; " id cusip",AN$14,"settle_dt=" &amp; $U$13)</f>
        <v>LB</v>
      </c>
      <c r="AO61" s="144" cm="1">
        <f t="array" ref="AO61">_xll.BDP($B61 &amp; " id cusip",AO$14,"settle_dt=" &amp; $U$13)</f>
        <v>107</v>
      </c>
      <c r="AP61" s="144" cm="1">
        <f t="array" ref="AP61">_xll.BDP($B61 &amp; " id cusip",AP$14,"settle_dt=" &amp; $U$13)</f>
        <v>279931</v>
      </c>
      <c r="AQ61" s="144" cm="1">
        <f t="array" ref="AQ61">_xll.BDP($B61 &amp; " id cusip",AQ$14,"settle_dt=" &amp; $U$13)</f>
        <v>403000</v>
      </c>
      <c r="AR61" s="144" cm="1">
        <f t="array" ref="AR61">_xll.BDP($B61 &amp; " id cusip",AR$14,"settle_dt=" &amp; $U$13)</f>
        <v>74</v>
      </c>
      <c r="AS61" s="144" cm="1">
        <f t="array" ref="AS61">_xll.BDP($B61 &amp; " id cusip",AS$14,"settle_dt=" &amp; $U$13)</f>
        <v>755</v>
      </c>
      <c r="AT61" s="144" t="str" cm="1">
        <f t="array" ref="AT61">_xll.BDP($B61 &amp; " id cusip",AT$14,"settle_dt=" &amp; $U$13)</f>
        <v>FANNIE MAE MEGA</v>
      </c>
      <c r="AU61" s="144" t="str" cm="1">
        <f t="array" ref="AU61">_xll.BDP($B61 &amp; " id cusip",AU$14,"settle_dt=" &amp; $U$13)</f>
        <v>FL 34%</v>
      </c>
      <c r="AV61" s="144" t="str" cm="1">
        <f t="array" ref="AV61">_xll.BDP($B61 &amp; " id cusip",AV$14,"settle_dt=" &amp; $U$13)</f>
        <v>CA 17%</v>
      </c>
      <c r="AW61" s="144" t="str" cm="1">
        <f t="array" ref="AW61">_xll.BDP($B61 &amp; " id cusip",AW$14,"settle_dt=" &amp; $U$13)</f>
        <v>VA 17%</v>
      </c>
      <c r="AX61" s="144" cm="1">
        <f t="array" ref="AX61">_xll.BDP($B61 &amp; " id cusip",AX$14,"settle_dt=" &amp; $U$13)</f>
        <v>1.81</v>
      </c>
      <c r="AY61" s="144" cm="1">
        <f t="array" ref="AY61">_xll.BDP($B61 &amp; " id cusip",AY$14,"settle_dt=" &amp; $U$13)</f>
        <v>0</v>
      </c>
      <c r="AZ61" s="144" cm="1">
        <f t="array" ref="AZ61">_xll.BDP($B61 &amp; " id cusip",AZ$14,"settle_dt=" &amp; $U$13)</f>
        <v>0</v>
      </c>
      <c r="BA61" s="144" cm="1">
        <f t="array" ref="BA61">_xll.BDP($B61 &amp; " id cusip",BA$14,"settle_dt=" &amp; $U$13)</f>
        <v>0</v>
      </c>
      <c r="BB61" s="144" t="str" cm="1">
        <f t="array" ref="BB61">_xll.BDP($B61 &amp; " id cusip",BB$14,"settle_dt=" &amp; $U$13)</f>
        <v>FL 33.9</v>
      </c>
      <c r="BC61" s="144" t="str" cm="1">
        <f t="array" ref="BC61">_xll.BDP($B61 &amp; " id cusip",BC$14,"settle_dt=" &amp; $U$13)</f>
        <v>CA 17.3</v>
      </c>
      <c r="BD61" s="144" t="str" cm="1">
        <f t="array" ref="BD61">_xll.BDP($B61 &amp; " id cusip",BD$14,"settle_dt=" &amp; $U$13)</f>
        <v>VA 17.2</v>
      </c>
      <c r="BE61" s="144" cm="1">
        <f t="array" ref="BE61">_xll.BDP($B61 &amp; " id cusip",BE$14,"settle_dt=" &amp; $U$13)</f>
        <v>74</v>
      </c>
      <c r="BF61" s="144" t="str" cm="1">
        <f t="array" ref="BF61">_xll.BDP($B61 &amp; " id cusip",BF$14,"settle_dt=" &amp; $U$13)</f>
        <v>#N/A Field Not Applicable</v>
      </c>
      <c r="BG61" s="144" cm="1">
        <f t="array" ref="BG61">_xll.BDP($B61 &amp; " id cusip",BG$14,"settle_dt=" &amp; $U$13)</f>
        <v>403000</v>
      </c>
      <c r="BH61" s="144" cm="1">
        <f t="array" ref="BH61">_xll.BDP($B61 &amp; " id cusip",BH$14,"settle_dt=" &amp; $U$13)</f>
        <v>360</v>
      </c>
      <c r="BI61" s="144" t="str" cm="1">
        <f t="array" ref="BI61">_xll.BDP($B61 &amp; " id cusip",BI$14,"settle_dt=" &amp; $U$13)</f>
        <v>Mtge</v>
      </c>
      <c r="BJ61" s="144" cm="1">
        <f t="array" ref="BJ61">_xll.BDP($B61 &amp; " id cusip",BJ$14,"settle_dt=" &amp; $U$13)</f>
        <v>7.0659999999999998</v>
      </c>
      <c r="BK61" s="144" t="str" cm="1">
        <f t="array" ref="BK61">_xll.BDP($B61 &amp; " id cusip",BK$14,"settle_dt=" &amp; $U$13)</f>
        <v>FNARM</v>
      </c>
      <c r="BL61" s="122">
        <f>_xll.BDP($B61 &amp; " mtge","YLD_CNV_BID","SETTLE_DT=" &amp; $U$13,"PX_BID=" &amp; $D61, "MTG_PREPAY_SPEED=" &amp; AD61, "MTG_PREPAY_TYP=CPR")</f>
        <v>6.3730000000000002</v>
      </c>
      <c r="BM61" s="122">
        <f>_xll.BDP($B61 &amp; " mtge","YLD_CNV_BID","SETTLE_DT=" &amp; $U$13,"PX_BID=" &amp; $D61, "MTG_PREPAY_SPEED=" &amp; AE61, "MTG_PREPAY_TYP=CPR")</f>
        <v>6.6050000000000004</v>
      </c>
      <c r="BN61" s="122">
        <f>_xll.BDP($B61 &amp; " mtge","YLD_CNV_BID","SETTLE_DT=" &amp; $U$13,"PX_BID=" &amp; $D61, "MTG_PREPAY_SPEED=" &amp; AF61, "MTG_PREPAY_TYP=CPR")</f>
        <v>7.056</v>
      </c>
      <c r="BO61" s="122">
        <f>_xll.BDP($B61 &amp; " mtge","YLD_CNV_BID","SETTLE_DT=" &amp; $U$13,"PX_BID=" &amp; $D61, "MTG_PREPAY_SPEED=" &amp; AG61, "MTG_PREPAY_TYP=CPR")</f>
        <v>7.056</v>
      </c>
      <c r="BP61" s="122">
        <f>_xll.BDP($B61 &amp; " mtge","YLD_CNV_BID","SETTLE_DT=" &amp; $U$13,"PX_BID=" &amp; $D61, "MTG_PREPAY_SPEED=" &amp; AH61, "MTG_PREPAY_TYP=CPR")</f>
        <v>7.056</v>
      </c>
      <c r="BQ61" s="122">
        <f>_xll.BDP($B61 &amp; " mtge","YLD_CNV_BID","SETTLE_DT=" &amp; $U$13,"PX_BID=" &amp; $D61, "MTG_PREPAY_SPEED=" &amp; AI61, "MTG_PREPAY_TYP=CPR")</f>
        <v>6.5670000000000002</v>
      </c>
      <c r="BR61" s="122"/>
    </row>
    <row r="62" spans="1:70" x14ac:dyDescent="0.25">
      <c r="A62" s="149"/>
      <c r="B62" s="141" t="s">
        <v>187</v>
      </c>
      <c r="C62" s="137">
        <v>161000</v>
      </c>
      <c r="D62" s="137">
        <v>100.62992858886719</v>
      </c>
      <c r="E62" s="53"/>
      <c r="T62" s="6" t="str">
        <f t="shared" si="2"/>
        <v/>
      </c>
      <c r="U62" s="144" t="str" cm="1">
        <f t="array" ref="U62">_xll.BDP(B62 &amp; " id cusip","id cusip")</f>
        <v>3138ERWF3</v>
      </c>
      <c r="V62" s="144" t="str" cm="1">
        <f t="array" ref="V62">_xll.BDP($B62 &amp; " id cusip",$V$14)</f>
        <v>FN AL9645</v>
      </c>
      <c r="W62" s="144" t="str" cm="1">
        <f t="array" ref="W62">_xll.BDP($B62 &amp; " id cusip",W$14)</f>
        <v>MBS ARM</v>
      </c>
      <c r="X62" s="144" cm="1">
        <f t="array" ref="X62">_xll.BDP($B62 &amp; " id cusip",X$14)</f>
        <v>5.7270000000000003</v>
      </c>
      <c r="Y62" s="144" cm="1">
        <f t="array" ref="Y62">_xll.BDP($B62 &amp; " id cusip",Y$14)</f>
        <v>6.4219999999999997</v>
      </c>
      <c r="Z62" s="144" cm="1">
        <f t="array" ref="Z62">_xll.BDP($B62 &amp; " id cusip",Z$14)</f>
        <v>227</v>
      </c>
      <c r="AA62" s="144" cm="1">
        <f t="array" ref="AA62">_xll.BDP($B62 &amp; " id cusip",AA$14)</f>
        <v>133</v>
      </c>
      <c r="AB62" s="144" t="str" cm="1">
        <f t="array" ref="AB62">_xll.BDP($B62 &amp; " id cusip",AB$14)</f>
        <v>7/1/2044</v>
      </c>
      <c r="AC62" s="144" cm="1">
        <f t="array" ref="AC62">_xll.BDP($B62 &amp; " id cusip",AC$14,"settle_dt=" &amp; $U$13)</f>
        <v>398</v>
      </c>
      <c r="AD62" s="144" cm="1">
        <f t="array" ref="AD62">_xll.BDP($B62 &amp; " id cusip",AD$14,"settle_dt=" &amp; $U$13)</f>
        <v>34.43</v>
      </c>
      <c r="AE62" s="144" cm="1">
        <f t="array" ref="AE62">_xll.BDP($B62 &amp; " id cusip",AE$14,"settle_dt=" &amp; $U$13)</f>
        <v>21.5015529149</v>
      </c>
      <c r="AF62" s="144" cm="1">
        <f t="array" ref="AF62">_xll.BDP($B62 &amp; " id cusip",AF$14,"settle_dt=" &amp; $U$13)</f>
        <v>1.1513584225388507</v>
      </c>
      <c r="AG62" s="144" cm="1">
        <f t="array" ref="AG62">_xll.BDP($B62 &amp; " id cusip",AG$14,"settle_dt=" &amp; $U$13)</f>
        <v>4.6869763148258414</v>
      </c>
      <c r="AH62" s="144" cm="1">
        <f t="array" ref="AH62">_xll.BDP($B62 &amp; " id cusip",AH$14,"settle_dt=" &amp; $U$13)</f>
        <v>21.055861993263271</v>
      </c>
      <c r="AI62" s="144" cm="1">
        <f t="array" ref="AI62">_xll.BDP($B62 &amp; " id cusip",AI$14,"settle_dt=" &amp; $U$13)</f>
        <v>15.08912876953854</v>
      </c>
      <c r="AJ62" s="144" cm="1">
        <f t="array" ref="AJ62">_xll.BDP($B62 &amp; " id cusip",AJ$14,"settle_dt=" &amp; $U$13)</f>
        <v>3.8168750000000001E-2</v>
      </c>
      <c r="AK62" s="144" t="str" cm="1">
        <f t="array" ref="AK62">_xll.BDP($B62 &amp; " id cusip",AK$14,"settle_dt=" &amp; $U$13)</f>
        <v>3/1/2024</v>
      </c>
      <c r="AL62" s="144" cm="1">
        <f t="array" ref="AL62">_xll.BDP($B62 &amp; " id cusip",AL$14,"settle_dt=" &amp; $U$13)</f>
        <v>3.8292279999999998E-2</v>
      </c>
      <c r="AM62" s="144" cm="1">
        <f t="array" ref="AM62">_xll.BDP($B62 &amp; " id cusip",AM$14,"settle_dt=" &amp; $U$13)</f>
        <v>312</v>
      </c>
      <c r="AN62" s="144" t="str" cm="1">
        <f t="array" ref="AN62">_xll.BDP($B62 &amp; " id cusip",AN$14,"settle_dt=" &amp; $U$13)</f>
        <v>LB</v>
      </c>
      <c r="AO62" s="144" cm="1">
        <f t="array" ref="AO62">_xll.BDP($B62 &amp; " id cusip",AO$14,"settle_dt=" &amp; $U$13)</f>
        <v>133</v>
      </c>
      <c r="AP62" s="144" cm="1">
        <f t="array" ref="AP62">_xll.BDP($B62 &amp; " id cusip",AP$14,"settle_dt=" &amp; $U$13)</f>
        <v>283671</v>
      </c>
      <c r="AQ62" s="144" cm="1">
        <f t="array" ref="AQ62">_xll.BDP($B62 &amp; " id cusip",AQ$14,"settle_dt=" &amp; $U$13)</f>
        <v>625000</v>
      </c>
      <c r="AR62" s="144" cm="1">
        <f t="array" ref="AR62">_xll.BDP($B62 &amp; " id cusip",AR$14,"settle_dt=" &amp; $U$13)</f>
        <v>60</v>
      </c>
      <c r="AS62" s="144" cm="1">
        <f t="array" ref="AS62">_xll.BDP($B62 &amp; " id cusip",AS$14,"settle_dt=" &amp; $U$13)</f>
        <v>769</v>
      </c>
      <c r="AT62" s="144" t="str" cm="1">
        <f t="array" ref="AT62">_xll.BDP($B62 &amp; " id cusip",AT$14,"settle_dt=" &amp; $U$13)</f>
        <v>FANNIE MAE MEGA</v>
      </c>
      <c r="AU62" s="144" t="str" cm="1">
        <f t="array" ref="AU62">_xll.BDP($B62 &amp; " id cusip",AU$14,"settle_dt=" &amp; $U$13)</f>
        <v>CA 22%</v>
      </c>
      <c r="AV62" s="144" t="str" cm="1">
        <f t="array" ref="AV62">_xll.BDP($B62 &amp; " id cusip",AV$14,"settle_dt=" &amp; $U$13)</f>
        <v>NY 15%</v>
      </c>
      <c r="AW62" s="144" t="str" cm="1">
        <f t="array" ref="AW62">_xll.BDP($B62 &amp; " id cusip",AW$14,"settle_dt=" &amp; $U$13)</f>
        <v>MD 7%</v>
      </c>
      <c r="AX62" s="144" cm="1">
        <f t="array" ref="AX62">_xll.BDP($B62 &amp; " id cusip",AX$14,"settle_dt=" &amp; $U$13)</f>
        <v>17.34</v>
      </c>
      <c r="AY62" s="144" cm="1">
        <f t="array" ref="AY62">_xll.BDP($B62 &amp; " id cusip",AY$14,"settle_dt=" &amp; $U$13)</f>
        <v>0.31</v>
      </c>
      <c r="AZ62" s="144" cm="1">
        <f t="array" ref="AZ62">_xll.BDP($B62 &amp; " id cusip",AZ$14,"settle_dt=" &amp; $U$13)</f>
        <v>0</v>
      </c>
      <c r="BA62" s="144" cm="1">
        <f t="array" ref="BA62">_xll.BDP($B62 &amp; " id cusip",BA$14,"settle_dt=" &amp; $U$13)</f>
        <v>0</v>
      </c>
      <c r="BB62" s="144" t="str" cm="1">
        <f t="array" ref="BB62">_xll.BDP($B62 &amp; " id cusip",BB$14,"settle_dt=" &amp; $U$13)</f>
        <v>CA 21.8</v>
      </c>
      <c r="BC62" s="144" t="str" cm="1">
        <f t="array" ref="BC62">_xll.BDP($B62 &amp; " id cusip",BC$14,"settle_dt=" &amp; $U$13)</f>
        <v>NY 15.1</v>
      </c>
      <c r="BD62" s="144" t="str" cm="1">
        <f t="array" ref="BD62">_xll.BDP($B62 &amp; " id cusip",BD$14,"settle_dt=" &amp; $U$13)</f>
        <v>MD 6.6</v>
      </c>
      <c r="BE62" s="144" cm="1">
        <f t="array" ref="BE62">_xll.BDP($B62 &amp; " id cusip",BE$14,"settle_dt=" &amp; $U$13)</f>
        <v>60</v>
      </c>
      <c r="BF62" s="144" t="str" cm="1">
        <f t="array" ref="BF62">_xll.BDP($B62 &amp; " id cusip",BF$14,"settle_dt=" &amp; $U$13)</f>
        <v>#N/A Field Not Applicable</v>
      </c>
      <c r="BG62" s="144" cm="1">
        <f t="array" ref="BG62">_xll.BDP($B62 &amp; " id cusip",BG$14,"settle_dt=" &amp; $U$13)</f>
        <v>625000</v>
      </c>
      <c r="BH62" s="144" cm="1">
        <f t="array" ref="BH62">_xll.BDP($B62 &amp; " id cusip",BH$14,"settle_dt=" &amp; $U$13)</f>
        <v>360</v>
      </c>
      <c r="BI62" s="144" t="str" cm="1">
        <f t="array" ref="BI62">_xll.BDP($B62 &amp; " id cusip",BI$14,"settle_dt=" &amp; $U$13)</f>
        <v>Mtge</v>
      </c>
      <c r="BJ62" s="144" cm="1">
        <f t="array" ref="BJ62">_xll.BDP($B62 &amp; " id cusip",BJ$14,"settle_dt=" &amp; $U$13)</f>
        <v>6.6340000000000003</v>
      </c>
      <c r="BK62" s="144" t="str" cm="1">
        <f t="array" ref="BK62">_xll.BDP($B62 &amp; " id cusip",BK$14,"settle_dt=" &amp; $U$13)</f>
        <v>FNARM</v>
      </c>
      <c r="BL62" s="122">
        <f>_xll.BDP($B62 &amp; " mtge","YLD_CNV_BID","SETTLE_DT=" &amp; $U$13,"PX_BID=" &amp; $D62, "MTG_PREPAY_SPEED=" &amp; AD62, "MTG_PREPAY_TYP=CPR")</f>
        <v>6.3159999999999998</v>
      </c>
      <c r="BM62" s="122">
        <f>_xll.BDP($B62 &amp; " mtge","YLD_CNV_BID","SETTLE_DT=" &amp; $U$13,"PX_BID=" &amp; $D62, "MTG_PREPAY_SPEED=" &amp; AE62, "MTG_PREPAY_TYP=CPR")</f>
        <v>6.6</v>
      </c>
      <c r="BN62" s="122">
        <f>_xll.BDP($B62 &amp; " mtge","YLD_CNV_BID","SETTLE_DT=" &amp; $U$13,"PX_BID=" &amp; $D62, "MTG_PREPAY_SPEED=" &amp; AF62, "MTG_PREPAY_TYP=CPR")</f>
        <v>6.9580000000000002</v>
      </c>
      <c r="BO62" s="122">
        <f>_xll.BDP($B62 &amp; " mtge","YLD_CNV_BID","SETTLE_DT=" &amp; $U$13,"PX_BID=" &amp; $D62, "MTG_PREPAY_SPEED=" &amp; AG62, "MTG_PREPAY_TYP=CPR")</f>
        <v>6.9059999999999997</v>
      </c>
      <c r="BP62" s="122">
        <f>_xll.BDP($B62 &amp; " mtge","YLD_CNV_BID","SETTLE_DT=" &amp; $U$13,"PX_BID=" &amp; $D62, "MTG_PREPAY_SPEED=" &amp; AH62, "MTG_PREPAY_TYP=CPR")</f>
        <v>6.61</v>
      </c>
      <c r="BQ62" s="122">
        <f>_xll.BDP($B62 &amp; " mtge","YLD_CNV_BID","SETTLE_DT=" &amp; $U$13,"PX_BID=" &amp; $D62, "MTG_PREPAY_SPEED=" &amp; AI62, "MTG_PREPAY_TYP=CPR")</f>
        <v>6.726</v>
      </c>
      <c r="BR62" s="122"/>
    </row>
    <row r="63" spans="1:70" x14ac:dyDescent="0.25">
      <c r="A63" s="149"/>
      <c r="B63" s="137" t="s">
        <v>188</v>
      </c>
      <c r="C63" s="137">
        <v>193000</v>
      </c>
      <c r="D63" s="137">
        <v>99.767147064208984</v>
      </c>
      <c r="E63" s="53"/>
      <c r="T63" s="6" t="str">
        <f t="shared" si="2"/>
        <v/>
      </c>
      <c r="U63" s="144" t="str" cm="1">
        <f t="array" ref="U63">_xll.BDP(B63 &amp; " id cusip","id cusip")</f>
        <v>3138WVX30</v>
      </c>
      <c r="V63" s="144" t="str" cm="1">
        <f t="array" ref="V63">_xll.BDP($B63 &amp; " id cusip",$V$14)</f>
        <v>FN AT7897</v>
      </c>
      <c r="W63" s="144" t="str" cm="1">
        <f t="array" ref="W63">_xll.BDP($B63 &amp; " id cusip",W$14)</f>
        <v>MBS ARM</v>
      </c>
      <c r="X63" s="144" cm="1">
        <f t="array" ref="X63">_xll.BDP($B63 &amp; " id cusip",X$14)</f>
        <v>5.7949999999999999</v>
      </c>
      <c r="Y63" s="144" cm="1">
        <f t="array" ref="Y63">_xll.BDP($B63 &amp; " id cusip",Y$14)</f>
        <v>6.5</v>
      </c>
      <c r="Z63" s="144" cm="1">
        <f t="array" ref="Z63">_xll.BDP($B63 &amp; " id cusip",Z$14)</f>
        <v>230</v>
      </c>
      <c r="AA63" s="144" cm="1">
        <f t="array" ref="AA63">_xll.BDP($B63 &amp; " id cusip",AA$14)</f>
        <v>129</v>
      </c>
      <c r="AB63" s="144" t="str" cm="1">
        <f t="array" ref="AB63">_xll.BDP($B63 &amp; " id cusip",AB$14)</f>
        <v>8/1/2043</v>
      </c>
      <c r="AC63" s="144" cm="1">
        <f t="array" ref="AC63">_xll.BDP($B63 &amp; " id cusip",AC$14,"settle_dt=" &amp; $U$13)</f>
        <v>7</v>
      </c>
      <c r="AD63" s="144" cm="1">
        <f t="array" ref="AD63">_xll.BDP($B63 &amp; " id cusip",AD$14,"settle_dt=" &amp; $U$13)</f>
        <v>27.56</v>
      </c>
      <c r="AE63" s="144" cm="1">
        <f t="array" ref="AE63">_xll.BDP($B63 &amp; " id cusip",AE$14,"settle_dt=" &amp; $U$13)</f>
        <v>12.762791428600002</v>
      </c>
      <c r="AF63" s="144" cm="1">
        <f t="array" ref="AF63">_xll.BDP($B63 &amp; " id cusip",AF$14,"settle_dt=" &amp; $U$13)</f>
        <v>17.873945824416737</v>
      </c>
      <c r="AG63" s="144" cm="1">
        <f t="array" ref="AG63">_xll.BDP($B63 &amp; " id cusip",AG$14,"settle_dt=" &amp; $U$13)</f>
        <v>11.939514091053937</v>
      </c>
      <c r="AH63" s="144" cm="1">
        <f t="array" ref="AH63">_xll.BDP($B63 &amp; " id cusip",AH$14,"settle_dt=" &amp; $U$13)</f>
        <v>10.808563160260153</v>
      </c>
      <c r="AI63" s="144" cm="1">
        <f t="array" ref="AI63">_xll.BDP($B63 &amp; " id cusip",AI$14,"settle_dt=" &amp; $U$13)</f>
        <v>5.7677172466590099</v>
      </c>
      <c r="AJ63" s="144" cm="1">
        <f t="array" ref="AJ63">_xll.BDP($B63 &amp; " id cusip",AJ$14,"settle_dt=" &amp; $U$13)</f>
        <v>2.4795049999999999E-2</v>
      </c>
      <c r="AK63" s="144" t="str" cm="1">
        <f t="array" ref="AK63">_xll.BDP($B63 &amp; " id cusip",AK$14,"settle_dt=" &amp; $U$13)</f>
        <v>3/1/2024</v>
      </c>
      <c r="AL63" s="144" cm="1">
        <f t="array" ref="AL63">_xll.BDP($B63 &amp; " id cusip",AL$14,"settle_dt=" &amp; $U$13)</f>
        <v>2.5260390000000001E-2</v>
      </c>
      <c r="AM63" s="144" cm="1">
        <f t="array" ref="AM63">_xll.BDP($B63 &amp; " id cusip",AM$14,"settle_dt=" &amp; $U$13)</f>
        <v>358</v>
      </c>
      <c r="AN63" s="144" t="str" cm="1">
        <f t="array" ref="AN63">_xll.BDP($B63 &amp; " id cusip",AN$14,"settle_dt=" &amp; $U$13)</f>
        <v>LB</v>
      </c>
      <c r="AO63" s="144" cm="1">
        <f t="array" ref="AO63">_xll.BDP($B63 &amp; " id cusip",AO$14,"settle_dt=" &amp; $U$13)</f>
        <v>129</v>
      </c>
      <c r="AP63" s="144" cm="1">
        <f t="array" ref="AP63">_xll.BDP($B63 &amp; " id cusip",AP$14,"settle_dt=" &amp; $U$13)</f>
        <v>412351</v>
      </c>
      <c r="AQ63" s="144" cm="1">
        <f t="array" ref="AQ63">_xll.BDP($B63 &amp; " id cusip",AQ$14,"settle_dt=" &amp; $U$13)</f>
        <v>561000</v>
      </c>
      <c r="AR63" s="144" cm="1">
        <f t="array" ref="AR63">_xll.BDP($B63 &amp; " id cusip",AR$14,"settle_dt=" &amp; $U$13)</f>
        <v>59</v>
      </c>
      <c r="AS63" s="144" cm="1">
        <f t="array" ref="AS63">_xll.BDP($B63 &amp; " id cusip",AS$14,"settle_dt=" &amp; $U$13)</f>
        <v>788</v>
      </c>
      <c r="AT63" s="144" t="str" cm="1">
        <f t="array" ref="AT63">_xll.BDP($B63 &amp; " id cusip",AT$14,"settle_dt=" &amp; $U$13)</f>
        <v>WELLS FARGO BANK, N.A.</v>
      </c>
      <c r="AU63" s="144" t="str" cm="1">
        <f t="array" ref="AU63">_xll.BDP($B63 &amp; " id cusip",AU$14,"settle_dt=" &amp; $U$13)</f>
        <v>NY 42%</v>
      </c>
      <c r="AV63" s="144" t="str" cm="1">
        <f t="array" ref="AV63">_xll.BDP($B63 &amp; " id cusip",AV$14,"settle_dt=" &amp; $U$13)</f>
        <v>VA 32%</v>
      </c>
      <c r="AW63" s="144" t="str" cm="1">
        <f t="array" ref="AW63">_xll.BDP($B63 &amp; " id cusip",AW$14,"settle_dt=" &amp; $U$13)</f>
        <v>WA 19%</v>
      </c>
      <c r="AX63" s="144" cm="1">
        <f t="array" ref="AX63">_xll.BDP($B63 &amp; " id cusip",AX$14,"settle_dt=" &amp; $U$13)</f>
        <v>18.739999999999998</v>
      </c>
      <c r="AY63" s="144" cm="1">
        <f t="array" ref="AY63">_xll.BDP($B63 &amp; " id cusip",AY$14,"settle_dt=" &amp; $U$13)</f>
        <v>0</v>
      </c>
      <c r="AZ63" s="144" cm="1">
        <f t="array" ref="AZ63">_xll.BDP($B63 &amp; " id cusip",AZ$14,"settle_dt=" &amp; $U$13)</f>
        <v>0</v>
      </c>
      <c r="BA63" s="144" cm="1">
        <f t="array" ref="BA63">_xll.BDP($B63 &amp; " id cusip",BA$14,"settle_dt=" &amp; $U$13)</f>
        <v>0</v>
      </c>
      <c r="BB63" s="144" t="str" cm="1">
        <f t="array" ref="BB63">_xll.BDP($B63 &amp; " id cusip",BB$14,"settle_dt=" &amp; $U$13)</f>
        <v>NY 42.5</v>
      </c>
      <c r="BC63" s="144" t="str" cm="1">
        <f t="array" ref="BC63">_xll.BDP($B63 &amp; " id cusip",BC$14,"settle_dt=" &amp; $U$13)</f>
        <v>VA 32.4</v>
      </c>
      <c r="BD63" s="144" t="str" cm="1">
        <f t="array" ref="BD63">_xll.BDP($B63 &amp; " id cusip",BD$14,"settle_dt=" &amp; $U$13)</f>
        <v>WA 18.7</v>
      </c>
      <c r="BE63" s="144" cm="1">
        <f t="array" ref="BE63">_xll.BDP($B63 &amp; " id cusip",BE$14,"settle_dt=" &amp; $U$13)</f>
        <v>59</v>
      </c>
      <c r="BF63" s="144" t="str" cm="1">
        <f t="array" ref="BF63">_xll.BDP($B63 &amp; " id cusip",BF$14,"settle_dt=" &amp; $U$13)</f>
        <v>#N/A Field Not Applicable</v>
      </c>
      <c r="BG63" s="144" cm="1">
        <f t="array" ref="BG63">_xll.BDP($B63 &amp; " id cusip",BG$14,"settle_dt=" &amp; $U$13)</f>
        <v>561000</v>
      </c>
      <c r="BH63" s="144" cm="1">
        <f t="array" ref="BH63">_xll.BDP($B63 &amp; " id cusip",BH$14,"settle_dt=" &amp; $U$13)</f>
        <v>359</v>
      </c>
      <c r="BI63" s="144" t="str" cm="1">
        <f t="array" ref="BI63">_xll.BDP($B63 &amp; " id cusip",BI$14,"settle_dt=" &amp; $U$13)</f>
        <v>Mtge</v>
      </c>
      <c r="BJ63" s="144" cm="1">
        <f t="array" ref="BJ63">_xll.BDP($B63 &amp; " id cusip",BJ$14,"settle_dt=" &amp; $U$13)</f>
        <v>6.8010000000000002</v>
      </c>
      <c r="BK63" s="144" t="str" cm="1">
        <f t="array" ref="BK63">_xll.BDP($B63 &amp; " id cusip",BK$14,"settle_dt=" &amp; $U$13)</f>
        <v>FNARM</v>
      </c>
      <c r="BL63" s="122">
        <f>_xll.BDP($B63 &amp; " mtge","YLD_CNV_BID","SETTLE_DT=" &amp; $U$13,"PX_BID=" &amp; $D63, "MTG_PREPAY_SPEED=" &amp; AD63, "MTG_PREPAY_TYP=CPR")</f>
        <v>6.6970000000000001</v>
      </c>
      <c r="BM63" s="122">
        <f>_xll.BDP($B63 &amp; " mtge","YLD_CNV_BID","SETTLE_DT=" &amp; $U$13,"PX_BID=" &amp; $D63, "MTG_PREPAY_SPEED=" &amp; AE63, "MTG_PREPAY_TYP=CPR")</f>
        <v>6.7750000000000004</v>
      </c>
      <c r="BN63" s="122">
        <f>_xll.BDP($B63 &amp; " mtge","YLD_CNV_BID","SETTLE_DT=" &amp; $U$13,"PX_BID=" &amp; $D63, "MTG_PREPAY_SPEED=" &amp; AF63, "MTG_PREPAY_TYP=CPR")</f>
        <v>6.75</v>
      </c>
      <c r="BO63" s="122">
        <f>_xll.BDP($B63 &amp; " mtge","YLD_CNV_BID","SETTLE_DT=" &amp; $U$13,"PX_BID=" &amp; $D63, "MTG_PREPAY_SPEED=" &amp; AG63, "MTG_PREPAY_TYP=CPR")</f>
        <v>6.7789999999999999</v>
      </c>
      <c r="BP63" s="122">
        <f>_xll.BDP($B63 &amp; " mtge","YLD_CNV_BID","SETTLE_DT=" &amp; $U$13,"PX_BID=" &amp; $D63, "MTG_PREPAY_SPEED=" &amp; AH63, "MTG_PREPAY_TYP=CPR")</f>
        <v>6.7839999999999998</v>
      </c>
      <c r="BQ63" s="122">
        <f>_xll.BDP($B63 &amp; " mtge","YLD_CNV_BID","SETTLE_DT=" &amp; $U$13,"PX_BID=" &amp; $D63, "MTG_PREPAY_SPEED=" &amp; AI63, "MTG_PREPAY_TYP=CPR")</f>
        <v>6.806</v>
      </c>
      <c r="BR63" s="122"/>
    </row>
    <row r="64" spans="1:70" x14ac:dyDescent="0.25">
      <c r="A64" s="149"/>
      <c r="B64" s="137" t="s">
        <v>189</v>
      </c>
      <c r="C64" s="137">
        <v>1252000</v>
      </c>
      <c r="D64" s="137">
        <v>101.22550964355469</v>
      </c>
      <c r="E64" s="53"/>
      <c r="T64" s="6" t="str">
        <f t="shared" si="2"/>
        <v/>
      </c>
      <c r="U64" s="144" t="str" cm="1">
        <f t="array" ref="U64">_xll.BDP(B64 &amp; " id cusip","id cusip")</f>
        <v>3138EGRJ5</v>
      </c>
      <c r="V64" s="144" t="str" cm="1">
        <f t="array" ref="V64">_xll.BDP($B64 &amp; " id cusip",$V$14)</f>
        <v>FN AL0488</v>
      </c>
      <c r="W64" s="144" t="str" cm="1">
        <f t="array" ref="W64">_xll.BDP($B64 &amp; " id cusip",W$14)</f>
        <v>MBS ARM</v>
      </c>
      <c r="X64" s="144" cm="1">
        <f t="array" ref="X64">_xll.BDP($B64 &amp; " id cusip",X$14)</f>
        <v>5.7969999999999997</v>
      </c>
      <c r="Y64" s="144" cm="1">
        <f t="array" ref="Y64">_xll.BDP($B64 &amp; " id cusip",Y$14)</f>
        <v>6.2549999999999999</v>
      </c>
      <c r="Z64" s="144" cm="1">
        <f t="array" ref="Z64">_xll.BDP($B64 &amp; " id cusip",Z$14)</f>
        <v>207</v>
      </c>
      <c r="AA64" s="144" cm="1">
        <f t="array" ref="AA64">_xll.BDP($B64 &amp; " id cusip",AA$14)</f>
        <v>153</v>
      </c>
      <c r="AB64" s="144" t="str" cm="1">
        <f t="array" ref="AB64">_xll.BDP($B64 &amp; " id cusip",AB$14)</f>
        <v>7/1/2041</v>
      </c>
      <c r="AC64" s="144" cm="1">
        <f t="array" ref="AC64">_xll.BDP($B64 &amp; " id cusip",AC$14,"settle_dt=" &amp; $U$13)</f>
        <v>6</v>
      </c>
      <c r="AD64" s="144" cm="1">
        <f t="array" ref="AD64">_xll.BDP($B64 &amp; " id cusip",AD$14,"settle_dt=" &amp; $U$13)</f>
        <v>34.9</v>
      </c>
      <c r="AE64" s="144" cm="1">
        <f t="array" ref="AE64">_xll.BDP($B64 &amp; " id cusip",AE$14,"settle_dt=" &amp; $U$13)</f>
        <v>12.0609634215</v>
      </c>
      <c r="AF64" s="144" cm="1">
        <f t="array" ref="AF64">_xll.BDP($B64 &amp; " id cusip",AF$14,"settle_dt=" &amp; $U$13)</f>
        <v>8.1293252934281028</v>
      </c>
      <c r="AG64" s="144" cm="1">
        <f t="array" ref="AG64">_xll.BDP($B64 &amp; " id cusip",AG$14,"settle_dt=" &amp; $U$13)</f>
        <v>7.0351586499601604</v>
      </c>
      <c r="AH64" s="144" cm="1">
        <f t="array" ref="AH64">_xll.BDP($B64 &amp; " id cusip",AH$14,"settle_dt=" &amp; $U$13)</f>
        <v>6.9234850187422374</v>
      </c>
      <c r="AI64" s="144" cm="1">
        <f t="array" ref="AI64">_xll.BDP($B64 &amp; " id cusip",AI$14,"settle_dt=" &amp; $U$13)</f>
        <v>64.235286511658657</v>
      </c>
      <c r="AJ64" s="144" cm="1">
        <f t="array" ref="AJ64">_xll.BDP($B64 &amp; " id cusip",AJ$14,"settle_dt=" &amp; $U$13)</f>
        <v>2.9699499999999998E-3</v>
      </c>
      <c r="AK64" s="144" t="str" cm="1">
        <f t="array" ref="AK64">_xll.BDP($B64 &amp; " id cusip",AK$14,"settle_dt=" &amp; $U$13)</f>
        <v>3/1/2024</v>
      </c>
      <c r="AL64" s="144" cm="1">
        <f t="array" ref="AL64">_xll.BDP($B64 &amp; " id cusip",AL$14,"settle_dt=" &amp; $U$13)</f>
        <v>2.9990300000000002E-3</v>
      </c>
      <c r="AM64" s="144" cm="1">
        <f t="array" ref="AM64">_xll.BDP($B64 &amp; " id cusip",AM$14,"settle_dt=" &amp; $U$13)</f>
        <v>357</v>
      </c>
      <c r="AN64" s="144" t="str" cm="1">
        <f t="array" ref="AN64">_xll.BDP($B64 &amp; " id cusip",AN$14,"settle_dt=" &amp; $U$13)</f>
        <v>LB</v>
      </c>
      <c r="AO64" s="144" cm="1">
        <f t="array" ref="AO64">_xll.BDP($B64 &amp; " id cusip",AO$14,"settle_dt=" &amp; $U$13)</f>
        <v>153</v>
      </c>
      <c r="AP64" s="144" cm="1">
        <f t="array" ref="AP64">_xll.BDP($B64 &amp; " id cusip",AP$14,"settle_dt=" &amp; $U$13)</f>
        <v>109167</v>
      </c>
      <c r="AQ64" s="144" cm="1">
        <f t="array" ref="AQ64">_xll.BDP($B64 &amp; " id cusip",AQ$14,"settle_dt=" &amp; $U$13)</f>
        <v>182000</v>
      </c>
      <c r="AR64" s="144" cm="1">
        <f t="array" ref="AR64">_xll.BDP($B64 &amp; " id cusip",AR$14,"settle_dt=" &amp; $U$13)</f>
        <v>70</v>
      </c>
      <c r="AS64" s="144" cm="1">
        <f t="array" ref="AS64">_xll.BDP($B64 &amp; " id cusip",AS$14,"settle_dt=" &amp; $U$13)</f>
        <v>775</v>
      </c>
      <c r="AT64" s="144" t="str" cm="1">
        <f t="array" ref="AT64">_xll.BDP($B64 &amp; " id cusip",AT$14,"settle_dt=" &amp; $U$13)</f>
        <v>FANNIE MAE MEGA</v>
      </c>
      <c r="AU64" s="144" t="str" cm="1">
        <f t="array" ref="AU64">_xll.BDP($B64 &amp; " id cusip",AU$14,"settle_dt=" &amp; $U$13)</f>
        <v>AZ 36%</v>
      </c>
      <c r="AV64" s="144" t="str" cm="1">
        <f t="array" ref="AV64">_xll.BDP($B64 &amp; " id cusip",AV$14,"settle_dt=" &amp; $U$13)</f>
        <v>FL 25%</v>
      </c>
      <c r="AW64" s="144" t="str" cm="1">
        <f t="array" ref="AW64">_xll.BDP($B64 &amp; " id cusip",AW$14,"settle_dt=" &amp; $U$13)</f>
        <v>PA 19%</v>
      </c>
      <c r="AX64" s="144" cm="1">
        <f t="array" ref="AX64">_xll.BDP($B64 &amp; " id cusip",AX$14,"settle_dt=" &amp; $U$13)</f>
        <v>80.61</v>
      </c>
      <c r="AY64" s="144" cm="1">
        <f t="array" ref="AY64">_xll.BDP($B64 &amp; " id cusip",AY$14,"settle_dt=" &amp; $U$13)</f>
        <v>0</v>
      </c>
      <c r="AZ64" s="144" cm="1">
        <f t="array" ref="AZ64">_xll.BDP($B64 &amp; " id cusip",AZ$14,"settle_dt=" &amp; $U$13)</f>
        <v>0</v>
      </c>
      <c r="BA64" s="144" cm="1">
        <f t="array" ref="BA64">_xll.BDP($B64 &amp; " id cusip",BA$14,"settle_dt=" &amp; $U$13)</f>
        <v>0</v>
      </c>
      <c r="BB64" s="144" t="str" cm="1">
        <f t="array" ref="BB64">_xll.BDP($B64 &amp; " id cusip",BB$14,"settle_dt=" &amp; $U$13)</f>
        <v>AZ 36.2</v>
      </c>
      <c r="BC64" s="144" t="str" cm="1">
        <f t="array" ref="BC64">_xll.BDP($B64 &amp; " id cusip",BC$14,"settle_dt=" &amp; $U$13)</f>
        <v>FL 24.9</v>
      </c>
      <c r="BD64" s="144" t="str" cm="1">
        <f t="array" ref="BD64">_xll.BDP($B64 &amp; " id cusip",BD$14,"settle_dt=" &amp; $U$13)</f>
        <v>PA 19.4</v>
      </c>
      <c r="BE64" s="144" cm="1">
        <f t="array" ref="BE64">_xll.BDP($B64 &amp; " id cusip",BE$14,"settle_dt=" &amp; $U$13)</f>
        <v>70</v>
      </c>
      <c r="BF64" s="144" t="str" cm="1">
        <f t="array" ref="BF64">_xll.BDP($B64 &amp; " id cusip",BF$14,"settle_dt=" &amp; $U$13)</f>
        <v>#N/A Field Not Applicable</v>
      </c>
      <c r="BG64" s="144" cm="1">
        <f t="array" ref="BG64">_xll.BDP($B64 &amp; " id cusip",BG$14,"settle_dt=" &amp; $U$13)</f>
        <v>182000</v>
      </c>
      <c r="BH64" s="144" cm="1">
        <f t="array" ref="BH64">_xll.BDP($B64 &amp; " id cusip",BH$14,"settle_dt=" &amp; $U$13)</f>
        <v>360</v>
      </c>
      <c r="BI64" s="144" t="str" cm="1">
        <f t="array" ref="BI64">_xll.BDP($B64 &amp; " id cusip",BI$14,"settle_dt=" &amp; $U$13)</f>
        <v>Mtge</v>
      </c>
      <c r="BJ64" s="144" cm="1">
        <f t="array" ref="BJ64">_xll.BDP($B64 &amp; " id cusip",BJ$14,"settle_dt=" &amp; $U$13)</f>
        <v>7.1849999999999996</v>
      </c>
      <c r="BK64" s="144" t="str" cm="1">
        <f t="array" ref="BK64">_xll.BDP($B64 &amp; " id cusip",BK$14,"settle_dt=" &amp; $U$13)</f>
        <v>FNARM</v>
      </c>
      <c r="BL64" s="122">
        <f>_xll.BDP($B64 &amp; " mtge","YLD_CNV_BID","SETTLE_DT=" &amp; $U$13,"PX_BID=" &amp; $D64, "MTG_PREPAY_SPEED=" &amp; AD64, "MTG_PREPAY_TYP=CPR")</f>
        <v>6.5149999999999997</v>
      </c>
      <c r="BM64" s="122">
        <f>_xll.BDP($B64 &amp; " mtge","YLD_CNV_BID","SETTLE_DT=" &amp; $U$13,"PX_BID=" &amp; $D64, "MTG_PREPAY_SPEED=" &amp; AE64, "MTG_PREPAY_TYP=CPR")</f>
        <v>7.0720000000000001</v>
      </c>
      <c r="BN64" s="122">
        <f>_xll.BDP($B64 &amp; " mtge","YLD_CNV_BID","SETTLE_DT=" &amp; $U$13,"PX_BID=" &amp; $D64, "MTG_PREPAY_SPEED=" &amp; AF64, "MTG_PREPAY_TYP=CPR")</f>
        <v>7.1479999999999997</v>
      </c>
      <c r="BO64" s="122">
        <f>_xll.BDP($B64 &amp; " mtge","YLD_CNV_BID","SETTLE_DT=" &amp; $U$13,"PX_BID=" &amp; $D64, "MTG_PREPAY_SPEED=" &amp; AG64, "MTG_PREPAY_TYP=CPR")</f>
        <v>7.1680000000000001</v>
      </c>
      <c r="BP64" s="122">
        <f>_xll.BDP($B64 &amp; " mtge","YLD_CNV_BID","SETTLE_DT=" &amp; $U$13,"PX_BID=" &amp; $D64, "MTG_PREPAY_SPEED=" &amp; AH64, "MTG_PREPAY_TYP=CPR")</f>
        <v>7.17</v>
      </c>
      <c r="BQ64" s="122">
        <f>_xll.BDP($B64 &amp; " mtge","YLD_CNV_BID","SETTLE_DT=" &amp; $U$13,"PX_BID=" &amp; $D64, "MTG_PREPAY_SPEED=" &amp; AI64, "MTG_PREPAY_TYP=CPR")</f>
        <v>5.452</v>
      </c>
      <c r="BR64" s="122"/>
    </row>
    <row r="65" spans="1:70" x14ac:dyDescent="0.25">
      <c r="A65" s="149"/>
      <c r="B65" s="137" t="s">
        <v>190</v>
      </c>
      <c r="C65" s="137">
        <v>500000</v>
      </c>
      <c r="D65" s="137">
        <v>99.370994567871094</v>
      </c>
      <c r="E65" s="53"/>
      <c r="T65" s="6" t="str">
        <f t="shared" si="2"/>
        <v/>
      </c>
      <c r="U65" s="144" t="str" cm="1">
        <f t="array" ref="U65">_xll.BDP(B65 &amp; " id cusip","id cusip")</f>
        <v>3138EKS48</v>
      </c>
      <c r="V65" s="144" t="str" cm="1">
        <f t="array" ref="V65">_xll.BDP($B65 &amp; " id cusip",$V$14)</f>
        <v>FN AL3238</v>
      </c>
      <c r="W65" s="144" t="str" cm="1">
        <f t="array" ref="W65">_xll.BDP($B65 &amp; " id cusip",W$14)</f>
        <v>MBS ARM</v>
      </c>
      <c r="X65" s="144" cm="1">
        <f t="array" ref="X65">_xll.BDP($B65 &amp; " id cusip",X$14)</f>
        <v>5.8479999999999999</v>
      </c>
      <c r="Y65" s="144" cm="1">
        <f t="array" ref="Y65">_xll.BDP($B65 &amp; " id cusip",Y$14)</f>
        <v>6.5</v>
      </c>
      <c r="Z65" s="144" cm="1">
        <f t="array" ref="Z65">_xll.BDP($B65 &amp; " id cusip",Z$14)</f>
        <v>225</v>
      </c>
      <c r="AA65" s="144" cm="1">
        <f t="array" ref="AA65">_xll.BDP($B65 &amp; " id cusip",AA$14)</f>
        <v>135</v>
      </c>
      <c r="AB65" s="144" t="str" cm="1">
        <f t="array" ref="AB65">_xll.BDP($B65 &amp; " id cusip",AB$14)</f>
        <v>3/1/2043</v>
      </c>
      <c r="AC65" s="144" cm="1">
        <f t="array" ref="AC65">_xll.BDP($B65 &amp; " id cusip",AC$14,"settle_dt=" &amp; $U$13)</f>
        <v>4</v>
      </c>
      <c r="AD65" s="144" cm="1">
        <f t="array" ref="AD65">_xll.BDP($B65 &amp; " id cusip",AD$14,"settle_dt=" &amp; $U$13)</f>
        <v>35.81</v>
      </c>
      <c r="AE65" s="144" cm="1">
        <f t="array" ref="AE65">_xll.BDP($B65 &amp; " id cusip",AE$14,"settle_dt=" &amp; $U$13)</f>
        <v>21.5015529149</v>
      </c>
      <c r="AF65" s="144" cm="1">
        <f t="array" ref="AF65">_xll.BDP($B65 &amp; " id cusip",AF$14,"settle_dt=" &amp; $U$13)</f>
        <v>10.14027672684772</v>
      </c>
      <c r="AG65" s="144" cm="1">
        <f t="array" ref="AG65">_xll.BDP($B65 &amp; " id cusip",AG$14,"settle_dt=" &amp; $U$13)</f>
        <v>93.527164671051011</v>
      </c>
      <c r="AH65" s="144" cm="1">
        <f t="array" ref="AH65">_xll.BDP($B65 &amp; " id cusip",AH$14,"settle_dt=" &amp; $U$13)</f>
        <v>75.790533420252217</v>
      </c>
      <c r="AI65" s="144" cm="1">
        <f t="array" ref="AI65">_xll.BDP($B65 &amp; " id cusip",AI$14,"settle_dt=" &amp; $U$13)</f>
        <v>51.099719152007836</v>
      </c>
      <c r="AJ65" s="144" cm="1">
        <f t="array" ref="AJ65">_xll.BDP($B65 &amp; " id cusip",AJ$14,"settle_dt=" &amp; $U$13)</f>
        <v>5.4138199999999997E-3</v>
      </c>
      <c r="AK65" s="144" t="str" cm="1">
        <f t="array" ref="AK65">_xll.BDP($B65 &amp; " id cusip",AK$14,"settle_dt=" &amp; $U$13)</f>
        <v>3/1/2024</v>
      </c>
      <c r="AL65" s="144" cm="1">
        <f t="array" ref="AL65">_xll.BDP($B65 &amp; " id cusip",AL$14,"settle_dt=" &amp; $U$13)</f>
        <v>5.47468E-3</v>
      </c>
      <c r="AM65" s="144" cm="1">
        <f t="array" ref="AM65">_xll.BDP($B65 &amp; " id cusip",AM$14,"settle_dt=" &amp; $U$13)</f>
        <v>357</v>
      </c>
      <c r="AN65" s="144" t="str" cm="1">
        <f t="array" ref="AN65">_xll.BDP($B65 &amp; " id cusip",AN$14,"settle_dt=" &amp; $U$13)</f>
        <v>LB</v>
      </c>
      <c r="AO65" s="144" cm="1">
        <f t="array" ref="AO65">_xll.BDP($B65 &amp; " id cusip",AO$14,"settle_dt=" &amp; $U$13)</f>
        <v>135</v>
      </c>
      <c r="AP65" s="144" cm="1">
        <f t="array" ref="AP65">_xll.BDP($B65 &amp; " id cusip",AP$14,"settle_dt=" &amp; $U$13)</f>
        <v>357587</v>
      </c>
      <c r="AQ65" s="144" cm="1">
        <f t="array" ref="AQ65">_xll.BDP($B65 &amp; " id cusip",AQ$14,"settle_dt=" &amp; $U$13)</f>
        <v>417000</v>
      </c>
      <c r="AR65" s="144" cm="1">
        <f t="array" ref="AR65">_xll.BDP($B65 &amp; " id cusip",AR$14,"settle_dt=" &amp; $U$13)</f>
        <v>68</v>
      </c>
      <c r="AS65" s="144" cm="1">
        <f t="array" ref="AS65">_xll.BDP($B65 &amp; " id cusip",AS$14,"settle_dt=" &amp; $U$13)</f>
        <v>756</v>
      </c>
      <c r="AT65" s="144" t="str" cm="1">
        <f t="array" ref="AT65">_xll.BDP($B65 &amp; " id cusip",AT$14,"settle_dt=" &amp; $U$13)</f>
        <v>FANNIE MAE MEGA</v>
      </c>
      <c r="AU65" s="144" t="str" cm="1">
        <f t="array" ref="AU65">_xll.BDP($B65 &amp; " id cusip",AU$14,"settle_dt=" &amp; $U$13)</f>
        <v>FL 61%</v>
      </c>
      <c r="AV65" s="144" t="str" cm="1">
        <f t="array" ref="AV65">_xll.BDP($B65 &amp; " id cusip",AV$14,"settle_dt=" &amp; $U$13)</f>
        <v>MO 38%</v>
      </c>
      <c r="AW65" s="144" t="str" cm="1">
        <f t="array" ref="AW65">_xll.BDP($B65 &amp; " id cusip",AW$14,"settle_dt=" &amp; $U$13)</f>
        <v>MA 1%</v>
      </c>
      <c r="AX65" s="144" cm="1">
        <f t="array" ref="AX65">_xll.BDP($B65 &amp; " id cusip",AX$14,"settle_dt=" &amp; $U$13)</f>
        <v>0</v>
      </c>
      <c r="AY65" s="144" cm="1">
        <f t="array" ref="AY65">_xll.BDP($B65 &amp; " id cusip",AY$14,"settle_dt=" &amp; $U$13)</f>
        <v>0</v>
      </c>
      <c r="AZ65" s="144" cm="1">
        <f t="array" ref="AZ65">_xll.BDP($B65 &amp; " id cusip",AZ$14,"settle_dt=" &amp; $U$13)</f>
        <v>0</v>
      </c>
      <c r="BA65" s="144" cm="1">
        <f t="array" ref="BA65">_xll.BDP($B65 &amp; " id cusip",BA$14,"settle_dt=" &amp; $U$13)</f>
        <v>0</v>
      </c>
      <c r="BB65" s="144" t="str" cm="1">
        <f t="array" ref="BB65">_xll.BDP($B65 &amp; " id cusip",BB$14,"settle_dt=" &amp; $U$13)</f>
        <v>FL 60.6</v>
      </c>
      <c r="BC65" s="144" t="str" cm="1">
        <f t="array" ref="BC65">_xll.BDP($B65 &amp; " id cusip",BC$14,"settle_dt=" &amp; $U$13)</f>
        <v>MO 38.2</v>
      </c>
      <c r="BD65" s="144" t="str" cm="1">
        <f t="array" ref="BD65">_xll.BDP($B65 &amp; " id cusip",BD$14,"settle_dt=" &amp; $U$13)</f>
        <v>MA 1.2</v>
      </c>
      <c r="BE65" s="144" cm="1">
        <f t="array" ref="BE65">_xll.BDP($B65 &amp; " id cusip",BE$14,"settle_dt=" &amp; $U$13)</f>
        <v>68</v>
      </c>
      <c r="BF65" s="144" t="str" cm="1">
        <f t="array" ref="BF65">_xll.BDP($B65 &amp; " id cusip",BF$14,"settle_dt=" &amp; $U$13)</f>
        <v>#N/A Field Not Applicable</v>
      </c>
      <c r="BG65" s="144" cm="1">
        <f t="array" ref="BG65">_xll.BDP($B65 &amp; " id cusip",BG$14,"settle_dt=" &amp; $U$13)</f>
        <v>417000</v>
      </c>
      <c r="BH65" s="144" cm="1">
        <f t="array" ref="BH65">_xll.BDP($B65 &amp; " id cusip",BH$14,"settle_dt=" &amp; $U$13)</f>
        <v>360</v>
      </c>
      <c r="BI65" s="144" t="str" cm="1">
        <f t="array" ref="BI65">_xll.BDP($B65 &amp; " id cusip",BI$14,"settle_dt=" &amp; $U$13)</f>
        <v>Mtge</v>
      </c>
      <c r="BJ65" s="144" cm="1">
        <f t="array" ref="BJ65">_xll.BDP($B65 &amp; " id cusip",BJ$14,"settle_dt=" &amp; $U$13)</f>
        <v>6.7839999999999998</v>
      </c>
      <c r="BK65" s="144" t="str" cm="1">
        <f t="array" ref="BK65">_xll.BDP($B65 &amp; " id cusip",BK$14,"settle_dt=" &amp; $U$13)</f>
        <v>FNARM</v>
      </c>
      <c r="BL65" s="122">
        <f>_xll.BDP($B65 &amp; " mtge","YLD_CNV_BID","SETTLE_DT=" &amp; $U$13,"PX_BID=" &amp; $D65, "MTG_PREPAY_SPEED=" &amp; AD65, "MTG_PREPAY_TYP=CPR")</f>
        <v>6.94</v>
      </c>
      <c r="BM65" s="122">
        <f>_xll.BDP($B65 &amp; " mtge","YLD_CNV_BID","SETTLE_DT=" &amp; $U$13,"PX_BID=" &amp; $D65, "MTG_PREPAY_SPEED=" &amp; AE65, "MTG_PREPAY_TYP=CPR")</f>
        <v>7.0369999999999999</v>
      </c>
      <c r="BN65" s="122">
        <f>_xll.BDP($B65 &amp; " mtge","YLD_CNV_BID","SETTLE_DT=" &amp; $U$13,"PX_BID=" &amp; $D65, "MTG_PREPAY_SPEED=" &amp; AF65, "MTG_PREPAY_TYP=CPR")</f>
        <v>7.11</v>
      </c>
      <c r="BO65" s="122">
        <f>_xll.BDP($B65 &amp; " mtge","YLD_CNV_BID","SETTLE_DT=" &amp; $U$13,"PX_BID=" &amp; $D65, "MTG_PREPAY_SPEED=" &amp; AG65, "MTG_PREPAY_TYP=CPR")</f>
        <v>6.65</v>
      </c>
      <c r="BP65" s="122">
        <f>_xll.BDP($B65 &amp; " mtge","YLD_CNV_BID","SETTLE_DT=" &amp; $U$13,"PX_BID=" &amp; $D65, "MTG_PREPAY_SPEED=" &amp; AH65, "MTG_PREPAY_TYP=CPR")</f>
        <v>6.6820000000000004</v>
      </c>
      <c r="BQ65" s="122">
        <f>_xll.BDP($B65 &amp; " mtge","YLD_CNV_BID","SETTLE_DT=" &amp; $U$13,"PX_BID=" &amp; $D65, "MTG_PREPAY_SPEED=" &amp; AI65, "MTG_PREPAY_TYP=CPR")</f>
        <v>6.8360000000000003</v>
      </c>
      <c r="BR65" s="122"/>
    </row>
    <row r="66" spans="1:70" x14ac:dyDescent="0.25">
      <c r="A66" s="148" t="s">
        <v>104</v>
      </c>
      <c r="B66" s="138" t="s">
        <v>191</v>
      </c>
      <c r="C66" s="138">
        <v>250000</v>
      </c>
      <c r="D66" s="138">
        <v>100.01510238647461</v>
      </c>
      <c r="E66" s="139"/>
      <c r="T66" s="6" t="str">
        <f t="shared" si="2"/>
        <v/>
      </c>
      <c r="U66" s="144" t="str" cm="1">
        <f t="array" ref="U66">_xll.BDP(B66 &amp; " id cusip","id cusip")</f>
        <v>31408GBS5</v>
      </c>
      <c r="V66" s="144" t="str" cm="1">
        <f t="array" ref="V66">_xll.BDP($B66 &amp; " id cusip",$V$14)</f>
        <v>FN 850649</v>
      </c>
      <c r="W66" s="144" t="str" cm="1">
        <f t="array" ref="W66">_xll.BDP($B66 &amp; " id cusip",W$14)</f>
        <v>MBS ARM</v>
      </c>
      <c r="X66" s="144" cm="1">
        <f t="array" ref="X66">_xll.BDP($B66 &amp; " id cusip",X$14)</f>
        <v>6.2320000000000002</v>
      </c>
      <c r="Y66" s="144" cm="1">
        <f t="array" ref="Y66">_xll.BDP($B66 &amp; " id cusip",Y$14)</f>
        <v>6.75</v>
      </c>
      <c r="Z66" s="144" cm="1">
        <f t="array" ref="Z66">_xll.BDP($B66 &amp; " id cusip",Z$14)</f>
        <v>142</v>
      </c>
      <c r="AA66" s="144" cm="1">
        <f t="array" ref="AA66">_xll.BDP($B66 &amp; " id cusip",AA$14)</f>
        <v>218</v>
      </c>
      <c r="AB66" s="144" t="str" cm="1">
        <f t="array" ref="AB66">_xll.BDP($B66 &amp; " id cusip",AB$14)</f>
        <v>2/1/2036</v>
      </c>
      <c r="AC66" s="144" cm="1">
        <f t="array" ref="AC66">_xll.BDP($B66 &amp; " id cusip",AC$14,"settle_dt=" &amp; $U$13)</f>
        <v>4</v>
      </c>
      <c r="AD66" s="144" cm="1">
        <f t="array" ref="AD66">_xll.BDP($B66 &amp; " id cusip",AD$14,"settle_dt=" &amp; $U$13)</f>
        <v>20.64</v>
      </c>
      <c r="AE66" s="144" cm="1">
        <f t="array" ref="AE66">_xll.BDP($B66 &amp; " id cusip",AE$14,"settle_dt=" &amp; $U$13)</f>
        <v>11.762373414500001</v>
      </c>
      <c r="AF66" s="144" cm="1">
        <f t="array" ref="AF66">_xll.BDP($B66 &amp; " id cusip",AF$14,"settle_dt=" &amp; $U$13)</f>
        <v>-8.4840628982174593E-4</v>
      </c>
      <c r="AG66" s="144" cm="1">
        <f t="array" ref="AG66">_xll.BDP($B66 &amp; " id cusip",AG$14,"settle_dt=" &amp; $U$13)</f>
        <v>-3.8492333542805568E-5</v>
      </c>
      <c r="AH66" s="144" cm="1">
        <f t="array" ref="AH66">_xll.BDP($B66 &amp; " id cusip",AH$14,"settle_dt=" &amp; $U$13)</f>
        <v>-1.5499805716689963E-4</v>
      </c>
      <c r="AI66" s="144" cm="1">
        <f t="array" ref="AI66">_xll.BDP($B66 &amp; " id cusip",AI$14,"settle_dt=" &amp; $U$13)</f>
        <v>-6.5018853323550729E-5</v>
      </c>
      <c r="AJ66" s="144" cm="1">
        <f t="array" ref="AJ66">_xll.BDP($B66 &amp; " id cusip",AJ$14,"settle_dt=" &amp; $U$13)</f>
        <v>8.1829599999999995E-3</v>
      </c>
      <c r="AK66" s="144" t="str" cm="1">
        <f t="array" ref="AK66">_xll.BDP($B66 &amp; " id cusip",AK$14,"settle_dt=" &amp; $U$13)</f>
        <v>3/1/2024</v>
      </c>
      <c r="AL66" s="144" cm="1">
        <f t="array" ref="AL66">_xll.BDP($B66 &amp; " id cusip",AL$14,"settle_dt=" &amp; $U$13)</f>
        <v>8.2205400000000001E-3</v>
      </c>
      <c r="AM66" s="144" cm="1">
        <f t="array" ref="AM66">_xll.BDP($B66 &amp; " id cusip",AM$14,"settle_dt=" &amp; $U$13)</f>
        <v>360</v>
      </c>
      <c r="AN66" s="144" t="str" cm="1">
        <f t="array" ref="AN66">_xll.BDP($B66 &amp; " id cusip",AN$14,"settle_dt=" &amp; $U$13)</f>
        <v>LB</v>
      </c>
      <c r="AO66" s="144" cm="1">
        <f t="array" ref="AO66">_xll.BDP($B66 &amp; " id cusip",AO$14,"settle_dt=" &amp; $U$13)</f>
        <v>218</v>
      </c>
      <c r="AP66" s="144" cm="1">
        <f t="array" ref="AP66">_xll.BDP($B66 &amp; " id cusip",AP$14,"settle_dt=" &amp; $U$13)</f>
        <v>185265</v>
      </c>
      <c r="AQ66" s="144" cm="1">
        <f t="array" ref="AQ66">_xll.BDP($B66 &amp; " id cusip",AQ$14,"settle_dt=" &amp; $U$13)</f>
        <v>236000</v>
      </c>
      <c r="AR66" s="144" cm="1">
        <f t="array" ref="AR66">_xll.BDP($B66 &amp; " id cusip",AR$14,"settle_dt=" &amp; $U$13)</f>
        <v>81</v>
      </c>
      <c r="AS66" s="144" cm="1">
        <f t="array" ref="AS66">_xll.BDP($B66 &amp; " id cusip",AS$14,"settle_dt=" &amp; $U$13)</f>
        <v>711</v>
      </c>
      <c r="AT66" s="144" t="str" cm="1">
        <f t="array" ref="AT66">_xll.BDP($B66 &amp; " id cusip",AT$14,"settle_dt=" &amp; $U$13)</f>
        <v>GMAC MORTGAGE CORPORATION</v>
      </c>
      <c r="AU66" s="144" t="str" cm="1">
        <f t="array" ref="AU66">_xll.BDP($B66 &amp; " id cusip",AU$14,"settle_dt=" &amp; $U$13)</f>
        <v>MI 34%</v>
      </c>
      <c r="AV66" s="144" t="str" cm="1">
        <f t="array" ref="AV66">_xll.BDP($B66 &amp; " id cusip",AV$14,"settle_dt=" &amp; $U$13)</f>
        <v>CA 29%</v>
      </c>
      <c r="AW66" s="144" t="str" cm="1">
        <f t="array" ref="AW66">_xll.BDP($B66 &amp; " id cusip",AW$14,"settle_dt=" &amp; $U$13)</f>
        <v>SC 20%</v>
      </c>
      <c r="AX66" s="144" t="str" cm="1">
        <f t="array" ref="AX66">_xll.BDP($B66 &amp; " id cusip",AX$14,"settle_dt=" &amp; $U$13)</f>
        <v>#N/A Field Not Applicable</v>
      </c>
      <c r="AY66" s="144" cm="1">
        <f t="array" ref="AY66">_xll.BDP($B66 &amp; " id cusip",AY$14,"settle_dt=" &amp; $U$13)</f>
        <v>0</v>
      </c>
      <c r="AZ66" s="144" cm="1">
        <f t="array" ref="AZ66">_xll.BDP($B66 &amp; " id cusip",AZ$14,"settle_dt=" &amp; $U$13)</f>
        <v>0</v>
      </c>
      <c r="BA66" s="144" cm="1">
        <f t="array" ref="BA66">_xll.BDP($B66 &amp; " id cusip",BA$14,"settle_dt=" &amp; $U$13)</f>
        <v>0</v>
      </c>
      <c r="BB66" s="144" t="str" cm="1">
        <f t="array" ref="BB66">_xll.BDP($B66 &amp; " id cusip",BB$14,"settle_dt=" &amp; $U$13)</f>
        <v>MI 34.0</v>
      </c>
      <c r="BC66" s="144" t="str" cm="1">
        <f t="array" ref="BC66">_xll.BDP($B66 &amp; " id cusip",BC$14,"settle_dt=" &amp; $U$13)</f>
        <v>CA 28.8</v>
      </c>
      <c r="BD66" s="144" t="str" cm="1">
        <f t="array" ref="BD66">_xll.BDP($B66 &amp; " id cusip",BD$14,"settle_dt=" &amp; $U$13)</f>
        <v>SC 19.8</v>
      </c>
      <c r="BE66" s="144" cm="1">
        <f t="array" ref="BE66">_xll.BDP($B66 &amp; " id cusip",BE$14,"settle_dt=" &amp; $U$13)</f>
        <v>81</v>
      </c>
      <c r="BF66" s="144" t="str" cm="1">
        <f t="array" ref="BF66">_xll.BDP($B66 &amp; " id cusip",BF$14,"settle_dt=" &amp; $U$13)</f>
        <v>#N/A Field Not Applicable</v>
      </c>
      <c r="BG66" s="144" cm="1">
        <f t="array" ref="BG66">_xll.BDP($B66 &amp; " id cusip",BG$14,"settle_dt=" &amp; $U$13)</f>
        <v>236000</v>
      </c>
      <c r="BH66" s="144" cm="1">
        <f t="array" ref="BH66">_xll.BDP($B66 &amp; " id cusip",BH$14,"settle_dt=" &amp; $U$13)</f>
        <v>360</v>
      </c>
      <c r="BI66" s="144" t="str" cm="1">
        <f t="array" ref="BI66">_xll.BDP($B66 &amp; " id cusip",BI$14,"settle_dt=" &amp; $U$13)</f>
        <v>Mtge</v>
      </c>
      <c r="BJ66" s="144" cm="1">
        <f t="array" ref="BJ66">_xll.BDP($B66 &amp; " id cusip",BJ$14,"settle_dt=" &amp; $U$13)</f>
        <v>7.367</v>
      </c>
      <c r="BK66" s="144" t="str" cm="1">
        <f t="array" ref="BK66">_xll.BDP($B66 &amp; " id cusip",BK$14,"settle_dt=" &amp; $U$13)</f>
        <v>FNARM</v>
      </c>
      <c r="BL66" s="122">
        <f>_xll.BDP($B66 &amp; " mtge","YLD_CNV_BID","SETTLE_DT=" &amp; $U$13,"PX_BID=" &amp; $D66, "MTG_PREPAY_SPEED=" &amp; AD66, "MTG_PREPAY_TYP=CPR")</f>
        <v>7.1040000000000001</v>
      </c>
      <c r="BM66" s="122">
        <f>_xll.BDP($B66 &amp; " mtge","YLD_CNV_BID","SETTLE_DT=" &amp; $U$13,"PX_BID=" &amp; $D66, "MTG_PREPAY_SPEED=" &amp; AE66, "MTG_PREPAY_TYP=CPR")</f>
        <v>7.2220000000000004</v>
      </c>
      <c r="BN66" s="122" t="str">
        <f>_xll.BDP($B66 &amp; " mtge","YLD_CNV_BID","SETTLE_DT=" &amp; $U$13,"PX_BID=" &amp; $D66, "MTG_PREPAY_SPEED=" &amp; AF66, "MTG_PREPAY_TYP=CPR")</f>
        <v>#N/A N/A</v>
      </c>
      <c r="BO66" s="122" t="str">
        <f>_xll.BDP($B66 &amp; " mtge","YLD_CNV_BID","SETTLE_DT=" &amp; $U$13,"PX_BID=" &amp; $D66, "MTG_PREPAY_SPEED=" &amp; AG66, "MTG_PREPAY_TYP=CPR")</f>
        <v>#N/A N/A</v>
      </c>
      <c r="BP66" s="122" t="str">
        <f>_xll.BDP($B66 &amp; " mtge","YLD_CNV_BID","SETTLE_DT=" &amp; $U$13,"PX_BID=" &amp; $D66, "MTG_PREPAY_SPEED=" &amp; AH66, "MTG_PREPAY_TYP=CPR")</f>
        <v>#N/A N/A</v>
      </c>
      <c r="BQ66" s="122" t="str">
        <f>_xll.BDP($B66 &amp; " mtge","YLD_CNV_BID","SETTLE_DT=" &amp; $U$13,"PX_BID=" &amp; $D66, "MTG_PREPAY_SPEED=" &amp; AI66, "MTG_PREPAY_TYP=CPR")</f>
        <v>#N/A N/A</v>
      </c>
      <c r="BR66" s="122"/>
    </row>
    <row r="67" spans="1:70" x14ac:dyDescent="0.25">
      <c r="A67" s="149"/>
      <c r="B67" s="137" t="s">
        <v>192</v>
      </c>
      <c r="C67" s="137">
        <v>2000000</v>
      </c>
      <c r="D67" s="137">
        <v>100.15545272827148</v>
      </c>
      <c r="E67" s="53"/>
      <c r="T67" s="6" t="str">
        <f t="shared" si="2"/>
        <v/>
      </c>
      <c r="U67" s="144" t="str" cm="1">
        <f t="array" ref="U67">_xll.BDP(B67 &amp; " id cusip","id cusip")</f>
        <v>3138ELHU0</v>
      </c>
      <c r="V67" s="144" t="str" cm="1">
        <f t="array" ref="V67">_xll.BDP($B67 &amp; " id cusip",$V$14)</f>
        <v>FN AL3842</v>
      </c>
      <c r="W67" s="144" t="str" cm="1">
        <f t="array" ref="W67">_xll.BDP($B67 &amp; " id cusip",W$14)</f>
        <v>MBS ARM</v>
      </c>
      <c r="X67" s="144" cm="1">
        <f t="array" ref="X67">_xll.BDP($B67 &amp; " id cusip",X$14)</f>
        <v>5.26</v>
      </c>
      <c r="Y67" s="144" cm="1">
        <f t="array" ref="Y67">_xll.BDP($B67 &amp; " id cusip",Y$14)</f>
        <v>6</v>
      </c>
      <c r="Z67" s="144" cm="1">
        <f t="array" ref="Z67">_xll.BDP($B67 &amp; " id cusip",Z$14)</f>
        <v>230</v>
      </c>
      <c r="AA67" s="144" cm="1">
        <f t="array" ref="AA67">_xll.BDP($B67 &amp; " id cusip",AA$14)</f>
        <v>130</v>
      </c>
      <c r="AB67" s="144" t="str" cm="1">
        <f t="array" ref="AB67">_xll.BDP($B67 &amp; " id cusip",AB$14)</f>
        <v>7/1/2043</v>
      </c>
      <c r="AC67" s="144" cm="1">
        <f t="array" ref="AC67">_xll.BDP($B67 &amp; " id cusip",AC$14,"settle_dt=" &amp; $U$13)</f>
        <v>1</v>
      </c>
      <c r="AD67" s="144" cm="1">
        <f t="array" ref="AD67">_xll.BDP($B67 &amp; " id cusip",AD$14,"settle_dt=" &amp; $U$13)</f>
        <v>46.13</v>
      </c>
      <c r="AE67" s="144" cm="1">
        <f t="array" ref="AE67">_xll.BDP($B67 &amp; " id cusip",AE$14,"settle_dt=" &amp; $U$13)</f>
        <v>21.5015529149</v>
      </c>
      <c r="AF67" s="144" cm="1">
        <f t="array" ref="AF67">_xll.BDP($B67 &amp; " id cusip",AF$14,"settle_dt=" &amp; $U$13)</f>
        <v>1.0426689601306105E-2</v>
      </c>
      <c r="AG67" s="144" cm="1">
        <f t="array" ref="AG67">_xll.BDP($B67 &amp; " id cusip",AG$14,"settle_dt=" &amp; $U$13)</f>
        <v>3.750404195002055E-3</v>
      </c>
      <c r="AH67" s="144" cm="1">
        <f t="array" ref="AH67">_xll.BDP($B67 &amp; " id cusip",AH$14,"settle_dt=" &amp; $U$13)</f>
        <v>1.7577214488029291E-3</v>
      </c>
      <c r="AI67" s="144" cm="1">
        <f t="array" ref="AI67">_xll.BDP($B67 &amp; " id cusip",AI$14,"settle_dt=" &amp; $U$13)</f>
        <v>1.4756418427303686</v>
      </c>
      <c r="AJ67" s="144" cm="1">
        <f t="array" ref="AJ67">_xll.BDP($B67 &amp; " id cusip",AJ$14,"settle_dt=" &amp; $U$13)</f>
        <v>9.7692000000000005E-4</v>
      </c>
      <c r="AK67" s="144" t="str" cm="1">
        <f t="array" ref="AK67">_xll.BDP($B67 &amp; " id cusip",AK$14,"settle_dt=" &amp; $U$13)</f>
        <v>3/1/2024</v>
      </c>
      <c r="AL67" s="144" cm="1">
        <f t="array" ref="AL67">_xll.BDP($B67 &amp; " id cusip",AL$14,"settle_dt=" &amp; $U$13)</f>
        <v>9.7919000000000001E-4</v>
      </c>
      <c r="AM67" s="144" cm="1">
        <f t="array" ref="AM67">_xll.BDP($B67 &amp; " id cusip",AM$14,"settle_dt=" &amp; $U$13)</f>
        <v>360</v>
      </c>
      <c r="AN67" s="144" t="str" cm="1">
        <f t="array" ref="AN67">_xll.BDP($B67 &amp; " id cusip",AN$14,"settle_dt=" &amp; $U$13)</f>
        <v>LB</v>
      </c>
      <c r="AO67" s="144" cm="1">
        <f t="array" ref="AO67">_xll.BDP($B67 &amp; " id cusip",AO$14,"settle_dt=" &amp; $U$13)</f>
        <v>130</v>
      </c>
      <c r="AP67" s="144" cm="1">
        <f t="array" ref="AP67">_xll.BDP($B67 &amp; " id cusip",AP$14,"settle_dt=" &amp; $U$13)</f>
        <v>90000</v>
      </c>
      <c r="AQ67" s="144" cm="1">
        <f t="array" ref="AQ67">_xll.BDP($B67 &amp; " id cusip",AQ$14,"settle_dt=" &amp; $U$13)</f>
        <v>90000</v>
      </c>
      <c r="AR67" s="144" cm="1">
        <f t="array" ref="AR67">_xll.BDP($B67 &amp; " id cusip",AR$14,"settle_dt=" &amp; $U$13)</f>
        <v>25</v>
      </c>
      <c r="AS67" s="144" cm="1">
        <f t="array" ref="AS67">_xll.BDP($B67 &amp; " id cusip",AS$14,"settle_dt=" &amp; $U$13)</f>
        <v>784</v>
      </c>
      <c r="AT67" s="144" t="str" cm="1">
        <f t="array" ref="AT67">_xll.BDP($B67 &amp; " id cusip",AT$14,"settle_dt=" &amp; $U$13)</f>
        <v>FANNIE MAE MEGA</v>
      </c>
      <c r="AU67" s="144" t="str" cm="1">
        <f t="array" ref="AU67">_xll.BDP($B67 &amp; " id cusip",AU$14,"settle_dt=" &amp; $U$13)</f>
        <v>CO 100%</v>
      </c>
      <c r="AV67" s="144" t="str" cm="1">
        <f t="array" ref="AV67">_xll.BDP($B67 &amp; " id cusip",AV$14,"settle_dt=" &amp; $U$13)</f>
        <v>CA 12%</v>
      </c>
      <c r="AW67" s="144" t="str" cm="1">
        <f t="array" ref="AW67">_xll.BDP($B67 &amp; " id cusip",AW$14,"settle_dt=" &amp; $U$13)</f>
        <v>TX 17%</v>
      </c>
      <c r="AX67" s="144" cm="1">
        <f t="array" ref="AX67">_xll.BDP($B67 &amp; " id cusip",AX$14,"settle_dt=" &amp; $U$13)</f>
        <v>100</v>
      </c>
      <c r="AY67" s="144" cm="1">
        <f t="array" ref="AY67">_xll.BDP($B67 &amp; " id cusip",AY$14,"settle_dt=" &amp; $U$13)</f>
        <v>0</v>
      </c>
      <c r="AZ67" s="144" cm="1">
        <f t="array" ref="AZ67">_xll.BDP($B67 &amp; " id cusip",AZ$14,"settle_dt=" &amp; $U$13)</f>
        <v>0</v>
      </c>
      <c r="BA67" s="144" cm="1">
        <f t="array" ref="BA67">_xll.BDP($B67 &amp; " id cusip",BA$14,"settle_dt=" &amp; $U$13)</f>
        <v>0</v>
      </c>
      <c r="BB67" s="144" t="str" cm="1">
        <f t="array" ref="BB67">_xll.BDP($B67 &amp; " id cusip",BB$14,"settle_dt=" &amp; $U$13)</f>
        <v>CO 100.0</v>
      </c>
      <c r="BC67" s="144" t="str" cm="1">
        <f t="array" ref="BC67">_xll.BDP($B67 &amp; " id cusip",BC$14,"settle_dt=" &amp; $U$13)</f>
        <v>IL 4.8</v>
      </c>
      <c r="BD67" s="144" t="str" cm="1">
        <f t="array" ref="BD67">_xll.BDP($B67 &amp; " id cusip",BD$14,"settle_dt=" &amp; $U$13)</f>
        <v>TX 4.3</v>
      </c>
      <c r="BE67" s="144" cm="1">
        <f t="array" ref="BE67">_xll.BDP($B67 &amp; " id cusip",BE$14,"settle_dt=" &amp; $U$13)</f>
        <v>25</v>
      </c>
      <c r="BF67" s="144" t="str" cm="1">
        <f t="array" ref="BF67">_xll.BDP($B67 &amp; " id cusip",BF$14,"settle_dt=" &amp; $U$13)</f>
        <v>#N/A Field Not Applicable</v>
      </c>
      <c r="BG67" s="144" cm="1">
        <f t="array" ref="BG67">_xll.BDP($B67 &amp; " id cusip",BG$14,"settle_dt=" &amp; $U$13)</f>
        <v>90000</v>
      </c>
      <c r="BH67" s="144" cm="1">
        <f t="array" ref="BH67">_xll.BDP($B67 &amp; " id cusip",BH$14,"settle_dt=" &amp; $U$13)</f>
        <v>360</v>
      </c>
      <c r="BI67" s="144" t="str" cm="1">
        <f t="array" ref="BI67">_xll.BDP($B67 &amp; " id cusip",BI$14,"settle_dt=" &amp; $U$13)</f>
        <v>Mtge</v>
      </c>
      <c r="BJ67" s="144" cm="1">
        <f t="array" ref="BJ67">_xll.BDP($B67 &amp; " id cusip",BJ$14,"settle_dt=" &amp; $U$13)</f>
        <v>7.1319999999999997</v>
      </c>
      <c r="BK67" s="144" t="str" cm="1">
        <f t="array" ref="BK67">_xll.BDP($B67 &amp; " id cusip",BK$14,"settle_dt=" &amp; $U$13)</f>
        <v>FNARM</v>
      </c>
      <c r="BL67" s="122">
        <f>_xll.BDP($B67 &amp; " mtge","YLD_CNV_BID","SETTLE_DT=" &amp; $U$13,"PX_BID=" &amp; $D67, "MTG_PREPAY_SPEED=" &amp; AD67, "MTG_PREPAY_TYP=CPR")</f>
        <v>6.63</v>
      </c>
      <c r="BM67" s="122">
        <f>_xll.BDP($B67 &amp; " mtge","YLD_CNV_BID","SETTLE_DT=" &amp; $U$13,"PX_BID=" &amp; $D67, "MTG_PREPAY_SPEED=" &amp; AE67, "MTG_PREPAY_TYP=CPR")</f>
        <v>6.9359999999999999</v>
      </c>
      <c r="BN67" s="122">
        <f>_xll.BDP($B67 &amp; " mtge","YLD_CNV_BID","SETTLE_DT=" &amp; $U$13,"PX_BID=" &amp; $D67, "MTG_PREPAY_SPEED=" &amp; AF67, "MTG_PREPAY_TYP=CPR")</f>
        <v>7.1219999999999999</v>
      </c>
      <c r="BO67" s="122">
        <f>_xll.BDP($B67 &amp; " mtge","YLD_CNV_BID","SETTLE_DT=" &amp; $U$13,"PX_BID=" &amp; $D67, "MTG_PREPAY_SPEED=" &amp; AG67, "MTG_PREPAY_TYP=CPR")</f>
        <v>7.1219999999999999</v>
      </c>
      <c r="BP67" s="122">
        <f>_xll.BDP($B67 &amp; " mtge","YLD_CNV_BID","SETTLE_DT=" &amp; $U$13,"PX_BID=" &amp; $D67, "MTG_PREPAY_SPEED=" &amp; AH67, "MTG_PREPAY_TYP=CPR")</f>
        <v>7.1219999999999999</v>
      </c>
      <c r="BQ67" s="122">
        <f>_xll.BDP($B67 &amp; " mtge","YLD_CNV_BID","SETTLE_DT=" &amp; $U$13,"PX_BID=" &amp; $D67, "MTG_PREPAY_SPEED=" &amp; AI67, "MTG_PREPAY_TYP=CPR")</f>
        <v>7.1120000000000001</v>
      </c>
      <c r="BR67" s="122"/>
    </row>
    <row r="68" spans="1:70" x14ac:dyDescent="0.25">
      <c r="A68" s="149"/>
      <c r="B68" s="137" t="s">
        <v>193</v>
      </c>
      <c r="C68" s="137">
        <v>1000000</v>
      </c>
      <c r="D68" s="137">
        <v>99.234424591064453</v>
      </c>
      <c r="E68" s="53"/>
      <c r="T68" s="6" t="str">
        <f t="shared" si="2"/>
        <v/>
      </c>
      <c r="U68" s="144" t="str" cm="1">
        <f t="array" ref="U68">_xll.BDP(B68 &amp; " id cusip","id cusip")</f>
        <v>3138ELSB0</v>
      </c>
      <c r="V68" s="144" t="str" cm="1">
        <f t="array" ref="V68">_xll.BDP($B68 &amp; " id cusip",$V$14)</f>
        <v>FN AL4113</v>
      </c>
      <c r="W68" s="144" t="str" cm="1">
        <f t="array" ref="W68">_xll.BDP($B68 &amp; " id cusip",W$14)</f>
        <v>MBS ARM</v>
      </c>
      <c r="X68" s="144" cm="1">
        <f t="array" ref="X68">_xll.BDP($B68 &amp; " id cusip",X$14)</f>
        <v>5.73</v>
      </c>
      <c r="Y68" s="144" cm="1">
        <f t="array" ref="Y68">_xll.BDP($B68 &amp; " id cusip",Y$14)</f>
        <v>6.5</v>
      </c>
      <c r="Z68" s="144" cm="1">
        <f t="array" ref="Z68">_xll.BDP($B68 &amp; " id cusip",Z$14)</f>
        <v>233</v>
      </c>
      <c r="AA68" s="144" cm="1">
        <f t="array" ref="AA68">_xll.BDP($B68 &amp; " id cusip",AA$14)</f>
        <v>127</v>
      </c>
      <c r="AB68" s="144" t="str" cm="1">
        <f t="array" ref="AB68">_xll.BDP($B68 &amp; " id cusip",AB$14)</f>
        <v>8/1/2043</v>
      </c>
      <c r="AC68" s="144" cm="1">
        <f t="array" ref="AC68">_xll.BDP($B68 &amp; " id cusip",AC$14,"settle_dt=" &amp; $U$13)</f>
        <v>1</v>
      </c>
      <c r="AD68" s="144" cm="1">
        <f t="array" ref="AD68">_xll.BDP($B68 &amp; " id cusip",AD$14,"settle_dt=" &amp; $U$13)</f>
        <v>45.32</v>
      </c>
      <c r="AE68" s="144" cm="1">
        <f t="array" ref="AE68">_xll.BDP($B68 &amp; " id cusip",AE$14,"settle_dt=" &amp; $U$13)</f>
        <v>21.5015529149</v>
      </c>
      <c r="AF68" s="144" cm="1">
        <f t="array" ref="AF68">_xll.BDP($B68 &amp; " id cusip",AF$14,"settle_dt=" &amp; $U$13)</f>
        <v>23.874834573870807</v>
      </c>
      <c r="AG68" s="144" cm="1">
        <f t="array" ref="AG68">_xll.BDP($B68 &amp; " id cusip",AG$14,"settle_dt=" &amp; $U$13)</f>
        <v>23.226353592575798</v>
      </c>
      <c r="AH68" s="144" cm="1">
        <f t="array" ref="AH68">_xll.BDP($B68 &amp; " id cusip",AH$14,"settle_dt=" &amp; $U$13)</f>
        <v>47.790872189822906</v>
      </c>
      <c r="AI68" s="144" cm="1">
        <f t="array" ref="AI68">_xll.BDP($B68 &amp; " id cusip",AI$14,"settle_dt=" &amp; $U$13)</f>
        <v>33.586058563897069</v>
      </c>
      <c r="AJ68" s="144" cm="1">
        <f t="array" ref="AJ68">_xll.BDP($B68 &amp; " id cusip",AJ$14,"settle_dt=" &amp; $U$13)</f>
        <v>1.27406E-3</v>
      </c>
      <c r="AK68" s="144" t="str" cm="1">
        <f t="array" ref="AK68">_xll.BDP($B68 &amp; " id cusip",AK$14,"settle_dt=" &amp; $U$13)</f>
        <v>3/1/2024</v>
      </c>
      <c r="AL68" s="144" cm="1">
        <f t="array" ref="AL68">_xll.BDP($B68 &amp; " id cusip",AL$14,"settle_dt=" &amp; $U$13)</f>
        <v>1.3061399999999999E-3</v>
      </c>
      <c r="AM68" s="144" cm="1">
        <f t="array" ref="AM68">_xll.BDP($B68 &amp; " id cusip",AM$14,"settle_dt=" &amp; $U$13)</f>
        <v>360</v>
      </c>
      <c r="AN68" s="144" t="str" cm="1">
        <f t="array" ref="AN68">_xll.BDP($B68 &amp; " id cusip",AN$14,"settle_dt=" &amp; $U$13)</f>
        <v>LB</v>
      </c>
      <c r="AO68" s="144" cm="1">
        <f t="array" ref="AO68">_xll.BDP($B68 &amp; " id cusip",AO$14,"settle_dt=" &amp; $U$13)</f>
        <v>127</v>
      </c>
      <c r="AP68" s="144" cm="1">
        <f t="array" ref="AP68">_xll.BDP($B68 &amp; " id cusip",AP$14,"settle_dt=" &amp; $U$13)</f>
        <v>200000</v>
      </c>
      <c r="AQ68" s="144" cm="1">
        <f t="array" ref="AQ68">_xll.BDP($B68 &amp; " id cusip",AQ$14,"settle_dt=" &amp; $U$13)</f>
        <v>200000</v>
      </c>
      <c r="AR68" s="144" cm="1">
        <f t="array" ref="AR68">_xll.BDP($B68 &amp; " id cusip",AR$14,"settle_dt=" &amp; $U$13)</f>
        <v>56</v>
      </c>
      <c r="AS68" s="144" cm="1">
        <f t="array" ref="AS68">_xll.BDP($B68 &amp; " id cusip",AS$14,"settle_dt=" &amp; $U$13)</f>
        <v>797</v>
      </c>
      <c r="AT68" s="144" t="str" cm="1">
        <f t="array" ref="AT68">_xll.BDP($B68 &amp; " id cusip",AT$14,"settle_dt=" &amp; $U$13)</f>
        <v>FANNIE MAE MEGA</v>
      </c>
      <c r="AU68" s="144" t="str" cm="1">
        <f t="array" ref="AU68">_xll.BDP($B68 &amp; " id cusip",AU$14,"settle_dt=" &amp; $U$13)</f>
        <v>CA 100%</v>
      </c>
      <c r="AV68" s="144" t="str" cm="1">
        <f t="array" ref="AV68">_xll.BDP($B68 &amp; " id cusip",AV$14,"settle_dt=" &amp; $U$13)</f>
        <v>IL 34%</v>
      </c>
      <c r="AW68" s="144" t="str" cm="1">
        <f t="array" ref="AW68">_xll.BDP($B68 &amp; " id cusip",AW$14,"settle_dt=" &amp; $U$13)</f>
        <v>TX 13%</v>
      </c>
      <c r="AX68" s="144" cm="1">
        <f t="array" ref="AX68">_xll.BDP($B68 &amp; " id cusip",AX$14,"settle_dt=" &amp; $U$13)</f>
        <v>100</v>
      </c>
      <c r="AY68" s="144" cm="1">
        <f t="array" ref="AY68">_xll.BDP($B68 &amp; " id cusip",AY$14,"settle_dt=" &amp; $U$13)</f>
        <v>0</v>
      </c>
      <c r="AZ68" s="144" cm="1">
        <f t="array" ref="AZ68">_xll.BDP($B68 &amp; " id cusip",AZ$14,"settle_dt=" &amp; $U$13)</f>
        <v>0</v>
      </c>
      <c r="BA68" s="144" cm="1">
        <f t="array" ref="BA68">_xll.BDP($B68 &amp; " id cusip",BA$14,"settle_dt=" &amp; $U$13)</f>
        <v>0</v>
      </c>
      <c r="BB68" s="144" t="str" cm="1">
        <f t="array" ref="BB68">_xll.BDP($B68 &amp; " id cusip",BB$14,"settle_dt=" &amp; $U$13)</f>
        <v>CA 100.0</v>
      </c>
      <c r="BC68" s="144" t="str" cm="1">
        <f t="array" ref="BC68">_xll.BDP($B68 &amp; " id cusip",BC$14,"settle_dt=" &amp; $U$13)</f>
        <v>IL 10.1</v>
      </c>
      <c r="BD68" s="144" t="str" cm="1">
        <f t="array" ref="BD68">_xll.BDP($B68 &amp; " id cusip",BD$14,"settle_dt=" &amp; $U$13)</f>
        <v>MI 6.7</v>
      </c>
      <c r="BE68" s="144" cm="1">
        <f t="array" ref="BE68">_xll.BDP($B68 &amp; " id cusip",BE$14,"settle_dt=" &amp; $U$13)</f>
        <v>56</v>
      </c>
      <c r="BF68" s="144" t="str" cm="1">
        <f t="array" ref="BF68">_xll.BDP($B68 &amp; " id cusip",BF$14,"settle_dt=" &amp; $U$13)</f>
        <v>#N/A Field Not Applicable</v>
      </c>
      <c r="BG68" s="144" cm="1">
        <f t="array" ref="BG68">_xll.BDP($B68 &amp; " id cusip",BG$14,"settle_dt=" &amp; $U$13)</f>
        <v>200000</v>
      </c>
      <c r="BH68" s="144" cm="1">
        <f t="array" ref="BH68">_xll.BDP($B68 &amp; " id cusip",BH$14,"settle_dt=" &amp; $U$13)</f>
        <v>360</v>
      </c>
      <c r="BI68" s="144" t="str" cm="1">
        <f t="array" ref="BI68">_xll.BDP($B68 &amp; " id cusip",BI$14,"settle_dt=" &amp; $U$13)</f>
        <v>Mtge</v>
      </c>
      <c r="BJ68" s="144" cm="1">
        <f t="array" ref="BJ68">_xll.BDP($B68 &amp; " id cusip",BJ$14,"settle_dt=" &amp; $U$13)</f>
        <v>7.0469999999999997</v>
      </c>
      <c r="BK68" s="144" t="str" cm="1">
        <f t="array" ref="BK68">_xll.BDP($B68 &amp; " id cusip",BK$14,"settle_dt=" &amp; $U$13)</f>
        <v>FNARM</v>
      </c>
      <c r="BL68" s="122">
        <f>_xll.BDP($B68 &amp; " mtge","YLD_CNV_BID","SETTLE_DT=" &amp; $U$13,"PX_BID=" &amp; $D68, "MTG_PREPAY_SPEED=" &amp; AD68, "MTG_PREPAY_TYP=CPR")</f>
        <v>6.9960000000000004</v>
      </c>
      <c r="BM68" s="122">
        <f>_xll.BDP($B68 &amp; " mtge","YLD_CNV_BID","SETTLE_DT=" &amp; $U$13,"PX_BID=" &amp; $D68, "MTG_PREPAY_SPEED=" &amp; AE68, "MTG_PREPAY_TYP=CPR")</f>
        <v>7.0289999999999999</v>
      </c>
      <c r="BN68" s="122">
        <f>_xll.BDP($B68 &amp; " mtge","YLD_CNV_BID","SETTLE_DT=" &amp; $U$13,"PX_BID=" &amp; $D68, "MTG_PREPAY_SPEED=" &amp; AF68, "MTG_PREPAY_TYP=CPR")</f>
        <v>7.0259999999999998</v>
      </c>
      <c r="BO68" s="122">
        <f>_xll.BDP($B68 &amp; " mtge","YLD_CNV_BID","SETTLE_DT=" &amp; $U$13,"PX_BID=" &amp; $D68, "MTG_PREPAY_SPEED=" &amp; AG68, "MTG_PREPAY_TYP=CPR")</f>
        <v>7.0270000000000001</v>
      </c>
      <c r="BP68" s="122">
        <f>_xll.BDP($B68 &amp; " mtge","YLD_CNV_BID","SETTLE_DT=" &amp; $U$13,"PX_BID=" &amp; $D68, "MTG_PREPAY_SPEED=" &amp; AH68, "MTG_PREPAY_TYP=CPR")</f>
        <v>6.9939999999999998</v>
      </c>
      <c r="BQ68" s="122">
        <f>_xll.BDP($B68 &amp; " mtge","YLD_CNV_BID","SETTLE_DT=" &amp; $U$13,"PX_BID=" &amp; $D68, "MTG_PREPAY_SPEED=" &amp; AI68, "MTG_PREPAY_TYP=CPR")</f>
        <v>7.0119999999999996</v>
      </c>
      <c r="BR68" s="122"/>
    </row>
    <row r="69" spans="1:70" x14ac:dyDescent="0.25">
      <c r="A69" s="148" t="s">
        <v>104</v>
      </c>
      <c r="B69" s="138" t="s">
        <v>194</v>
      </c>
      <c r="C69" s="138">
        <v>265000</v>
      </c>
      <c r="D69" s="138">
        <v>99.997917175292969</v>
      </c>
      <c r="E69" s="139"/>
      <c r="T69" s="6" t="str">
        <f t="shared" ref="T69:T79" si="3">IF(U69&lt;&gt;TRIM(B69),1,"")</f>
        <v/>
      </c>
      <c r="U69" s="144" t="str" cm="1">
        <f t="array" ref="U69">_xll.BDP(B69 &amp; " id cusip","id cusip")</f>
        <v>31402RN96</v>
      </c>
      <c r="V69" s="144" t="str" cm="1">
        <f t="array" ref="V69">_xll.BDP($B69 &amp; " id cusip",$V$14)</f>
        <v>FN 735816</v>
      </c>
      <c r="W69" s="144" t="str" cm="1">
        <f t="array" ref="W69">_xll.BDP($B69 &amp; " id cusip",W$14)</f>
        <v>MBS ARM</v>
      </c>
      <c r="X69" s="144" cm="1">
        <f t="array" ref="X69">_xll.BDP($B69 &amp; " id cusip",X$14)</f>
        <v>5.8970000000000002</v>
      </c>
      <c r="Y69" s="144" cm="1">
        <f t="array" ref="Y69">_xll.BDP($B69 &amp; " id cusip",Y$14)</f>
        <v>6.5</v>
      </c>
      <c r="Z69" s="144" cm="1">
        <f t="array" ref="Z69">_xll.BDP($B69 &amp; " id cusip",Z$14)</f>
        <v>114</v>
      </c>
      <c r="AA69" s="144" cm="1">
        <f t="array" ref="AA69">_xll.BDP($B69 &amp; " id cusip",AA$14)</f>
        <v>246</v>
      </c>
      <c r="AB69" s="144" t="str" cm="1">
        <f t="array" ref="AB69">_xll.BDP($B69 &amp; " id cusip",AB$14)</f>
        <v>11/1/2034</v>
      </c>
      <c r="AC69" s="144" cm="1">
        <f t="array" ref="AC69">_xll.BDP($B69 &amp; " id cusip",AC$14,"settle_dt=" &amp; $U$13)</f>
        <v>2</v>
      </c>
      <c r="AD69" s="144" cm="1">
        <f t="array" ref="AD69">_xll.BDP($B69 &amp; " id cusip",AD$14,"settle_dt=" &amp; $U$13)</f>
        <v>25.25</v>
      </c>
      <c r="AE69" s="144" cm="1">
        <f t="array" ref="AE69">_xll.BDP($B69 &amp; " id cusip",AE$14,"settle_dt=" &amp; $U$13)</f>
        <v>0.78348647939999994</v>
      </c>
      <c r="AF69" s="144" cm="1">
        <f t="array" ref="AF69">_xll.BDP($B69 &amp; " id cusip",AF$14,"settle_dt=" &amp; $U$13)</f>
        <v>0.81631702334363787</v>
      </c>
      <c r="AG69" s="144" cm="1">
        <f t="array" ref="AG69">_xll.BDP($B69 &amp; " id cusip",AG$14,"settle_dt=" &amp; $U$13)</f>
        <v>4.4033971891659469</v>
      </c>
      <c r="AH69" s="144" cm="1">
        <f t="array" ref="AH69">_xll.BDP($B69 &amp; " id cusip",AH$14,"settle_dt=" &amp; $U$13)</f>
        <v>5.9654127474463303</v>
      </c>
      <c r="AI69" s="144" cm="1">
        <f t="array" ref="AI69">_xll.BDP($B69 &amp; " id cusip",AI$14,"settle_dt=" &amp; $U$13)</f>
        <v>7.7300574698902169</v>
      </c>
      <c r="AJ69" s="144" cm="1">
        <f t="array" ref="AJ69">_xll.BDP($B69 &amp; " id cusip",AJ$14,"settle_dt=" &amp; $U$13)</f>
        <v>2.0222600000000001E-3</v>
      </c>
      <c r="AK69" s="144" t="str" cm="1">
        <f t="array" ref="AK69">_xll.BDP($B69 &amp; " id cusip",AK$14,"settle_dt=" &amp; $U$13)</f>
        <v>3/1/2024</v>
      </c>
      <c r="AL69" s="144" cm="1">
        <f t="array" ref="AL69">_xll.BDP($B69 &amp; " id cusip",AL$14,"settle_dt=" &amp; $U$13)</f>
        <v>2.03645E-3</v>
      </c>
      <c r="AM69" s="144" cm="1">
        <f t="array" ref="AM69">_xll.BDP($B69 &amp; " id cusip",AM$14,"settle_dt=" &amp; $U$13)</f>
        <v>338</v>
      </c>
      <c r="AN69" s="144" t="str" cm="1">
        <f t="array" ref="AN69">_xll.BDP($B69 &amp; " id cusip",AN$14,"settle_dt=" &amp; $U$13)</f>
        <v>LB</v>
      </c>
      <c r="AO69" s="144" cm="1">
        <f t="array" ref="AO69">_xll.BDP($B69 &amp; " id cusip",AO$14,"settle_dt=" &amp; $U$13)</f>
        <v>246</v>
      </c>
      <c r="AP69" s="144" cm="1">
        <f t="array" ref="AP69">_xll.BDP($B69 &amp; " id cusip",AP$14,"settle_dt=" &amp; $U$13)</f>
        <v>89660</v>
      </c>
      <c r="AQ69" s="144" cm="1">
        <f t="array" ref="AQ69">_xll.BDP($B69 &amp; " id cusip",AQ$14,"settle_dt=" &amp; $U$13)</f>
        <v>100000</v>
      </c>
      <c r="AR69" s="144" cm="1">
        <f t="array" ref="AR69">_xll.BDP($B69 &amp; " id cusip",AR$14,"settle_dt=" &amp; $U$13)</f>
        <v>71</v>
      </c>
      <c r="AS69" s="144" cm="1">
        <f t="array" ref="AS69">_xll.BDP($B69 &amp; " id cusip",AS$14,"settle_dt=" &amp; $U$13)</f>
        <v>724</v>
      </c>
      <c r="AT69" s="144" t="str" cm="1">
        <f t="array" ref="AT69">_xll.BDP($B69 &amp; " id cusip",AT$14,"settle_dt=" &amp; $U$13)</f>
        <v>FANNIE MAE MEGA</v>
      </c>
      <c r="AU69" s="144" t="str" cm="1">
        <f t="array" ref="AU69">_xll.BDP($B69 &amp; " id cusip",AU$14,"settle_dt=" &amp; $U$13)</f>
        <v>CA 100%</v>
      </c>
      <c r="AV69" s="144" t="str" cm="1">
        <f t="array" ref="AV69">_xll.BDP($B69 &amp; " id cusip",AV$14,"settle_dt=" &amp; $U$13)</f>
        <v>GA 22%</v>
      </c>
      <c r="AW69" s="144" t="str" cm="1">
        <f t="array" ref="AW69">_xll.BDP($B69 &amp; " id cusip",AW$14,"settle_dt=" &amp; $U$13)</f>
        <v>FL 4%</v>
      </c>
      <c r="AX69" s="144" t="str" cm="1">
        <f t="array" ref="AX69">_xll.BDP($B69 &amp; " id cusip",AX$14,"settle_dt=" &amp; $U$13)</f>
        <v>#N/A Field Not Applicable</v>
      </c>
      <c r="AY69" s="144" cm="1">
        <f t="array" ref="AY69">_xll.BDP($B69 &amp; " id cusip",AY$14,"settle_dt=" &amp; $U$13)</f>
        <v>0</v>
      </c>
      <c r="AZ69" s="144" cm="1">
        <f t="array" ref="AZ69">_xll.BDP($B69 &amp; " id cusip",AZ$14,"settle_dt=" &amp; $U$13)</f>
        <v>0</v>
      </c>
      <c r="BA69" s="144" cm="1">
        <f t="array" ref="BA69">_xll.BDP($B69 &amp; " id cusip",BA$14,"settle_dt=" &amp; $U$13)</f>
        <v>0</v>
      </c>
      <c r="BB69" s="144" t="str" cm="1">
        <f t="array" ref="BB69">_xll.BDP($B69 &amp; " id cusip",BB$14,"settle_dt=" &amp; $U$13)</f>
        <v>CA 100.0</v>
      </c>
      <c r="BC69" s="144" t="str" cm="1">
        <f t="array" ref="BC69">_xll.BDP($B69 &amp; " id cusip",BC$14,"settle_dt=" &amp; $U$13)</f>
        <v>#N/A Field Not Applicable</v>
      </c>
      <c r="BD69" s="144" t="str" cm="1">
        <f t="array" ref="BD69">_xll.BDP($B69 &amp; " id cusip",BD$14,"settle_dt=" &amp; $U$13)</f>
        <v>#N/A Field Not Applicable</v>
      </c>
      <c r="BE69" s="144" cm="1">
        <f t="array" ref="BE69">_xll.BDP($B69 &amp; " id cusip",BE$14,"settle_dt=" &amp; $U$13)</f>
        <v>71</v>
      </c>
      <c r="BF69" s="144" t="str" cm="1">
        <f t="array" ref="BF69">_xll.BDP($B69 &amp; " id cusip",BF$14,"settle_dt=" &amp; $U$13)</f>
        <v>#N/A Field Not Applicable</v>
      </c>
      <c r="BG69" s="144" cm="1">
        <f t="array" ref="BG69">_xll.BDP($B69 &amp; " id cusip",BG$14,"settle_dt=" &amp; $U$13)</f>
        <v>100000</v>
      </c>
      <c r="BH69" s="144" cm="1">
        <f t="array" ref="BH69">_xll.BDP($B69 &amp; " id cusip",BH$14,"settle_dt=" &amp; $U$13)</f>
        <v>360</v>
      </c>
      <c r="BI69" s="144" t="str" cm="1">
        <f t="array" ref="BI69">_xll.BDP($B69 &amp; " id cusip",BI$14,"settle_dt=" &amp; $U$13)</f>
        <v>Mtge</v>
      </c>
      <c r="BJ69" s="144" cm="1">
        <f t="array" ref="BJ69">_xll.BDP($B69 &amp; " id cusip",BJ$14,"settle_dt=" &amp; $U$13)</f>
        <v>7.1420000000000003</v>
      </c>
      <c r="BK69" s="144" t="str" cm="1">
        <f t="array" ref="BK69">_xll.BDP($B69 &amp; " id cusip",BK$14,"settle_dt=" &amp; $U$13)</f>
        <v>FNARM</v>
      </c>
      <c r="BL69" s="122">
        <f>_xll.BDP($B69 &amp; " mtge","YLD_CNV_BID","SETTLE_DT=" &amp; $U$13,"PX_BID=" &amp; $D69, "MTG_PREPAY_SPEED=" &amp; AD69, "MTG_PREPAY_TYP=CPR")</f>
        <v>6.9370000000000003</v>
      </c>
      <c r="BM69" s="122">
        <f>_xll.BDP($B69 &amp; " mtge","YLD_CNV_BID","SETTLE_DT=" &amp; $U$13,"PX_BID=" &amp; $D69, "MTG_PREPAY_SPEED=" &amp; AE69, "MTG_PREPAY_TYP=CPR")</f>
        <v>7.1669999999999998</v>
      </c>
      <c r="BN69" s="122">
        <f>_xll.BDP($B69 &amp; " mtge","YLD_CNV_BID","SETTLE_DT=" &amp; $U$13,"PX_BID=" &amp; $D69, "MTG_PREPAY_SPEED=" &amp; AF69, "MTG_PREPAY_TYP=CPR")</f>
        <v>7.1669999999999998</v>
      </c>
      <c r="BO69" s="122">
        <f>_xll.BDP($B69 &amp; " mtge","YLD_CNV_BID","SETTLE_DT=" &amp; $U$13,"PX_BID=" &amp; $D69, "MTG_PREPAY_SPEED=" &amp; AG69, "MTG_PREPAY_TYP=CPR")</f>
        <v>7.1390000000000002</v>
      </c>
      <c r="BP69" s="122">
        <f>_xll.BDP($B69 &amp; " mtge","YLD_CNV_BID","SETTLE_DT=" &amp; $U$13,"PX_BID=" &amp; $D69, "MTG_PREPAY_SPEED=" &amp; AH69, "MTG_PREPAY_TYP=CPR")</f>
        <v>7.1260000000000003</v>
      </c>
      <c r="BQ69" s="122">
        <f>_xll.BDP($B69 &amp; " mtge","YLD_CNV_BID","SETTLE_DT=" &amp; $U$13,"PX_BID=" &amp; $D69, "MTG_PREPAY_SPEED=" &amp; AI69, "MTG_PREPAY_TYP=CPR")</f>
        <v>7.1120000000000001</v>
      </c>
      <c r="BR69" s="122"/>
    </row>
    <row r="70" spans="1:70" x14ac:dyDescent="0.25">
      <c r="A70" s="149"/>
      <c r="B70" s="137"/>
      <c r="C70" s="137"/>
      <c r="D70" s="137"/>
      <c r="E70" s="53"/>
      <c r="U70" s="144"/>
      <c r="V70" s="144"/>
      <c r="W70" s="144"/>
      <c r="X70" s="144"/>
      <c r="Y70" s="144"/>
      <c r="Z70" s="144"/>
      <c r="AA70" s="144"/>
      <c r="AB70" s="144"/>
      <c r="AC70" s="144"/>
      <c r="AD70" s="144"/>
      <c r="AE70" s="144"/>
      <c r="AF70" s="144"/>
      <c r="AG70" s="144"/>
      <c r="AH70" s="144"/>
      <c r="AI70" s="144"/>
      <c r="AJ70" s="144"/>
      <c r="AK70" s="144"/>
      <c r="AL70" s="144"/>
      <c r="AM70" s="144"/>
      <c r="AN70" s="144"/>
      <c r="AO70" s="144"/>
      <c r="AP70" s="144"/>
      <c r="AQ70" s="144"/>
      <c r="AR70" s="144"/>
      <c r="AS70" s="144"/>
      <c r="AT70" s="144"/>
      <c r="AU70" s="144"/>
      <c r="AV70" s="144"/>
      <c r="AW70" s="144"/>
      <c r="AX70" s="144"/>
      <c r="AY70" s="144"/>
      <c r="AZ70" s="144"/>
      <c r="BA70" s="144"/>
      <c r="BB70" s="144"/>
      <c r="BC70" s="144"/>
      <c r="BD70" s="144"/>
      <c r="BE70" s="144"/>
      <c r="BF70" s="144"/>
      <c r="BG70" s="144"/>
      <c r="BH70" s="144"/>
      <c r="BI70" s="144"/>
      <c r="BJ70" s="144"/>
      <c r="BK70" s="144"/>
      <c r="BL70" s="122"/>
      <c r="BM70" s="122"/>
      <c r="BN70" s="122"/>
      <c r="BO70" s="122"/>
      <c r="BP70" s="122"/>
      <c r="BQ70" s="122"/>
      <c r="BR70" s="122"/>
    </row>
    <row r="71" spans="1:70" x14ac:dyDescent="0.25">
      <c r="A71" s="149"/>
      <c r="B71" s="137"/>
      <c r="C71" s="137"/>
      <c r="D71" s="137"/>
      <c r="E71" s="53"/>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c r="AZ71" s="144"/>
      <c r="BA71" s="144"/>
      <c r="BB71" s="144"/>
      <c r="BC71" s="144"/>
      <c r="BD71" s="144"/>
      <c r="BE71" s="144"/>
      <c r="BF71" s="144"/>
      <c r="BG71" s="144"/>
      <c r="BH71" s="144"/>
      <c r="BI71" s="144"/>
      <c r="BJ71" s="144"/>
      <c r="BK71" s="144"/>
      <c r="BL71" s="122"/>
      <c r="BM71" s="122"/>
      <c r="BN71" s="122"/>
      <c r="BO71" s="122"/>
      <c r="BP71" s="122"/>
      <c r="BQ71" s="122"/>
      <c r="BR71" s="122"/>
    </row>
    <row r="72" spans="1:70" x14ac:dyDescent="0.25">
      <c r="A72" s="149"/>
      <c r="B72" s="145"/>
      <c r="C72" s="137"/>
      <c r="D72" s="137"/>
      <c r="E72" s="53"/>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c r="AZ72" s="144"/>
      <c r="BA72" s="144"/>
      <c r="BB72" s="144"/>
      <c r="BC72" s="144"/>
      <c r="BD72" s="144"/>
      <c r="BE72" s="144"/>
      <c r="BF72" s="144"/>
      <c r="BG72" s="144"/>
      <c r="BH72" s="144"/>
      <c r="BI72" s="144"/>
      <c r="BJ72" s="144"/>
      <c r="BK72" s="144"/>
      <c r="BL72" s="122"/>
      <c r="BM72" s="122"/>
      <c r="BN72" s="122"/>
      <c r="BO72" s="122"/>
      <c r="BP72" s="122"/>
      <c r="BQ72" s="122"/>
      <c r="BR72" s="122"/>
    </row>
    <row r="73" spans="1:70" x14ac:dyDescent="0.25">
      <c r="A73" s="149"/>
      <c r="B73" s="137"/>
      <c r="C73" s="137"/>
      <c r="D73" s="137"/>
      <c r="E73" s="53"/>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c r="AZ73" s="144"/>
      <c r="BA73" s="144"/>
      <c r="BB73" s="144"/>
      <c r="BC73" s="144"/>
      <c r="BD73" s="144"/>
      <c r="BE73" s="144"/>
      <c r="BF73" s="144"/>
      <c r="BG73" s="144"/>
      <c r="BH73" s="144"/>
      <c r="BI73" s="144"/>
      <c r="BJ73" s="144"/>
      <c r="BK73" s="144"/>
      <c r="BL73" s="122"/>
      <c r="BM73" s="122"/>
      <c r="BN73" s="122"/>
      <c r="BO73" s="122"/>
      <c r="BP73" s="122"/>
      <c r="BQ73" s="122"/>
      <c r="BR73" s="122"/>
    </row>
    <row r="74" spans="1:70" x14ac:dyDescent="0.25">
      <c r="A74" s="149"/>
      <c r="B74" s="137"/>
      <c r="C74" s="137"/>
      <c r="D74" s="137"/>
      <c r="E74" s="53"/>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c r="AZ74" s="144"/>
      <c r="BA74" s="144"/>
      <c r="BB74" s="144"/>
      <c r="BC74" s="144"/>
      <c r="BD74" s="144"/>
      <c r="BE74" s="144"/>
      <c r="BF74" s="144"/>
      <c r="BG74" s="144"/>
      <c r="BH74" s="144"/>
      <c r="BI74" s="144"/>
      <c r="BJ74" s="144"/>
      <c r="BK74" s="144"/>
      <c r="BL74" s="122"/>
      <c r="BM74" s="122"/>
      <c r="BN74" s="122"/>
      <c r="BO74" s="122"/>
      <c r="BP74" s="122"/>
      <c r="BQ74" s="122"/>
      <c r="BR74" s="122"/>
    </row>
    <row r="75" spans="1:70" x14ac:dyDescent="0.25">
      <c r="A75" s="149"/>
      <c r="B75" s="137"/>
      <c r="C75" s="137"/>
      <c r="D75" s="137"/>
      <c r="E75" s="53"/>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c r="AZ75" s="144"/>
      <c r="BA75" s="144"/>
      <c r="BB75" s="144"/>
      <c r="BC75" s="144"/>
      <c r="BD75" s="144"/>
      <c r="BE75" s="144"/>
      <c r="BF75" s="144"/>
      <c r="BG75" s="144"/>
      <c r="BH75" s="144"/>
      <c r="BI75" s="144"/>
      <c r="BJ75" s="144"/>
      <c r="BK75" s="144"/>
      <c r="BL75" s="122"/>
      <c r="BM75" s="122"/>
      <c r="BN75" s="122"/>
      <c r="BO75" s="122"/>
      <c r="BP75" s="122"/>
      <c r="BQ75" s="122"/>
      <c r="BR75" s="122"/>
    </row>
    <row r="76" spans="1:70" x14ac:dyDescent="0.25">
      <c r="A76" s="149"/>
      <c r="B76" s="137"/>
      <c r="C76" s="137"/>
      <c r="D76" s="137"/>
      <c r="E76" s="53"/>
      <c r="U76" s="144"/>
      <c r="V76" s="144"/>
      <c r="W76" s="144"/>
      <c r="X76" s="144"/>
      <c r="Y76" s="144"/>
      <c r="Z76" s="144"/>
      <c r="AA76" s="144"/>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c r="AZ76" s="144"/>
      <c r="BA76" s="144"/>
      <c r="BB76" s="144"/>
      <c r="BC76" s="144"/>
      <c r="BD76" s="144"/>
      <c r="BE76" s="144"/>
      <c r="BF76" s="144"/>
      <c r="BG76" s="144"/>
      <c r="BH76" s="144"/>
      <c r="BI76" s="144"/>
      <c r="BJ76" s="144"/>
      <c r="BK76" s="144"/>
      <c r="BL76" s="122"/>
      <c r="BM76" s="122"/>
      <c r="BN76" s="122"/>
      <c r="BO76" s="122"/>
      <c r="BP76" s="122"/>
      <c r="BQ76" s="122"/>
      <c r="BR76" s="122"/>
    </row>
    <row r="77" spans="1:70" x14ac:dyDescent="0.25">
      <c r="A77" s="149"/>
      <c r="B77" s="137"/>
      <c r="C77" s="137"/>
      <c r="D77" s="137"/>
      <c r="E77" s="53"/>
      <c r="U77" s="144"/>
      <c r="V77" s="144"/>
      <c r="W77" s="144"/>
      <c r="X77" s="144"/>
      <c r="Y77" s="144"/>
      <c r="Z77" s="144"/>
      <c r="AA77" s="144"/>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c r="AZ77" s="144"/>
      <c r="BA77" s="144"/>
      <c r="BB77" s="144"/>
      <c r="BC77" s="144"/>
      <c r="BD77" s="144"/>
      <c r="BE77" s="144"/>
      <c r="BF77" s="144"/>
      <c r="BG77" s="144"/>
      <c r="BH77" s="144"/>
      <c r="BI77" s="144"/>
      <c r="BJ77" s="144"/>
      <c r="BK77" s="144"/>
      <c r="BL77" s="122"/>
      <c r="BM77" s="122"/>
      <c r="BN77" s="122"/>
      <c r="BO77" s="122"/>
      <c r="BP77" s="122"/>
      <c r="BQ77" s="122"/>
      <c r="BR77" s="122"/>
    </row>
    <row r="78" spans="1:70" x14ac:dyDescent="0.25">
      <c r="A78" s="149"/>
      <c r="B78" s="137"/>
      <c r="C78" s="137"/>
      <c r="D78" s="137"/>
      <c r="E78" s="53"/>
      <c r="U78" s="144"/>
      <c r="V78" s="144"/>
      <c r="W78" s="144"/>
      <c r="X78" s="144"/>
      <c r="Y78" s="144"/>
      <c r="Z78" s="144"/>
      <c r="AA78" s="144"/>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c r="AZ78" s="144"/>
      <c r="BA78" s="144"/>
      <c r="BB78" s="144"/>
      <c r="BC78" s="144"/>
      <c r="BD78" s="144"/>
      <c r="BE78" s="144"/>
      <c r="BF78" s="144"/>
      <c r="BG78" s="144"/>
      <c r="BH78" s="144"/>
      <c r="BI78" s="144"/>
      <c r="BJ78" s="144"/>
      <c r="BK78" s="144"/>
      <c r="BL78" s="122"/>
      <c r="BM78" s="122"/>
      <c r="BN78" s="122"/>
      <c r="BO78" s="122"/>
      <c r="BP78" s="122"/>
      <c r="BQ78" s="122"/>
      <c r="BR78" s="122"/>
    </row>
    <row r="79" spans="1:70" x14ac:dyDescent="0.25">
      <c r="A79" s="148"/>
      <c r="B79" s="138"/>
      <c r="C79" s="138"/>
      <c r="D79" s="138"/>
      <c r="E79" s="139"/>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c r="AZ79" s="144"/>
      <c r="BA79" s="144"/>
      <c r="BB79" s="144"/>
      <c r="BC79" s="144"/>
      <c r="BD79" s="144"/>
      <c r="BE79" s="144"/>
      <c r="BF79" s="144"/>
      <c r="BG79" s="144"/>
      <c r="BH79" s="144"/>
      <c r="BI79" s="144"/>
      <c r="BJ79" s="144"/>
      <c r="BK79" s="144"/>
      <c r="BL79" s="122"/>
      <c r="BM79" s="122"/>
      <c r="BN79" s="122"/>
      <c r="BO79" s="122"/>
      <c r="BP79" s="122"/>
      <c r="BQ79" s="122"/>
      <c r="BR79" s="122"/>
    </row>
    <row r="80" spans="1:70" x14ac:dyDescent="0.25">
      <c r="A80" s="52"/>
      <c r="B80" s="137"/>
      <c r="C80" s="137"/>
      <c r="D80" s="137"/>
      <c r="E80" s="53"/>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46"/>
      <c r="BL80" s="122"/>
      <c r="BM80" s="122"/>
      <c r="BN80" s="122"/>
      <c r="BO80" s="122"/>
      <c r="BP80" s="122"/>
      <c r="BQ80" s="122"/>
      <c r="BR80" s="122"/>
    </row>
    <row r="81" spans="1:70" x14ac:dyDescent="0.25">
      <c r="A81" s="52"/>
      <c r="B81" s="137"/>
      <c r="C81" s="137"/>
      <c r="D81" s="137"/>
      <c r="E81" s="53"/>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46"/>
      <c r="BL81" s="122"/>
      <c r="BM81" s="122"/>
      <c r="BN81" s="122"/>
      <c r="BO81" s="122"/>
      <c r="BP81" s="122"/>
      <c r="BQ81" s="122"/>
      <c r="BR81" s="122"/>
    </row>
    <row r="82" spans="1:70" x14ac:dyDescent="0.25">
      <c r="A82" s="52"/>
      <c r="B82" s="137"/>
      <c r="C82" s="137"/>
      <c r="D82" s="137"/>
      <c r="E82" s="53"/>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46"/>
      <c r="BL82" s="122"/>
      <c r="BM82" s="122"/>
      <c r="BN82" s="122"/>
      <c r="BO82" s="122"/>
      <c r="BP82" s="122"/>
      <c r="BQ82" s="122"/>
      <c r="BR82" s="122"/>
    </row>
    <row r="83" spans="1:70" x14ac:dyDescent="0.25">
      <c r="A83" s="52"/>
      <c r="B83" s="137"/>
      <c r="C83" s="137"/>
      <c r="D83" s="137"/>
      <c r="E83" s="53"/>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46"/>
      <c r="BL83" s="122"/>
      <c r="BM83" s="122"/>
      <c r="BN83" s="122"/>
      <c r="BO83" s="122"/>
      <c r="BP83" s="122"/>
      <c r="BQ83" s="122"/>
      <c r="BR83" s="122"/>
    </row>
    <row r="84" spans="1:70" x14ac:dyDescent="0.25">
      <c r="A84" s="52"/>
      <c r="B84" s="137"/>
      <c r="C84" s="137"/>
      <c r="D84" s="137"/>
      <c r="E84" s="53"/>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46"/>
      <c r="BL84" s="122"/>
      <c r="BM84" s="122"/>
      <c r="BN84" s="122"/>
      <c r="BO84" s="122"/>
      <c r="BP84" s="122"/>
      <c r="BQ84" s="122"/>
      <c r="BR84" s="122"/>
    </row>
    <row r="85" spans="1:70" x14ac:dyDescent="0.25">
      <c r="A85" s="52"/>
      <c r="B85" s="137"/>
      <c r="C85" s="137"/>
      <c r="D85" s="137"/>
      <c r="E85" s="53"/>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46"/>
      <c r="BL85" s="122"/>
      <c r="BM85" s="122"/>
      <c r="BN85" s="122"/>
      <c r="BO85" s="122"/>
      <c r="BP85" s="122"/>
      <c r="BQ85" s="122"/>
      <c r="BR85" s="122"/>
    </row>
    <row r="86" spans="1:70" x14ac:dyDescent="0.25">
      <c r="A86" s="52"/>
      <c r="B86" s="137"/>
      <c r="C86" s="137"/>
      <c r="D86" s="137"/>
      <c r="E86" s="53"/>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46"/>
      <c r="BL86" s="122"/>
      <c r="BM86" s="122"/>
      <c r="BN86" s="122"/>
      <c r="BO86" s="122"/>
      <c r="BP86" s="122"/>
      <c r="BQ86" s="122"/>
      <c r="BR86" s="122"/>
    </row>
    <row r="87" spans="1:70" x14ac:dyDescent="0.25">
      <c r="A87" s="52"/>
      <c r="B87" s="137"/>
      <c r="C87" s="137"/>
      <c r="D87" s="137"/>
      <c r="E87" s="53"/>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46"/>
      <c r="BL87" s="122"/>
      <c r="BM87" s="122"/>
      <c r="BN87" s="122"/>
      <c r="BO87" s="122"/>
      <c r="BP87" s="122"/>
      <c r="BQ87" s="122"/>
      <c r="BR87" s="122"/>
    </row>
    <row r="88" spans="1:70" x14ac:dyDescent="0.25">
      <c r="A88" s="52"/>
      <c r="B88" s="137"/>
      <c r="C88" s="137"/>
      <c r="D88" s="137"/>
      <c r="E88" s="53"/>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46"/>
      <c r="BL88" s="122"/>
      <c r="BM88" s="122"/>
      <c r="BN88" s="122"/>
      <c r="BO88" s="122"/>
      <c r="BP88" s="122"/>
      <c r="BQ88" s="122"/>
      <c r="BR88" s="122"/>
    </row>
    <row r="89" spans="1:70" x14ac:dyDescent="0.25">
      <c r="A89" s="52"/>
      <c r="B89" s="137"/>
      <c r="C89" s="137"/>
      <c r="D89" s="137"/>
      <c r="E89" s="53"/>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46"/>
      <c r="BL89" s="122"/>
      <c r="BM89" s="122"/>
      <c r="BN89" s="122"/>
      <c r="BO89" s="122"/>
      <c r="BP89" s="122"/>
      <c r="BQ89" s="122"/>
      <c r="BR89" s="122"/>
    </row>
    <row r="90" spans="1:70" x14ac:dyDescent="0.25">
      <c r="A90" s="52"/>
      <c r="B90" s="137"/>
      <c r="C90" s="137"/>
      <c r="D90" s="137"/>
      <c r="E90" s="53"/>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46"/>
      <c r="BL90" s="122"/>
      <c r="BM90" s="122"/>
      <c r="BN90" s="122"/>
      <c r="BO90" s="122"/>
      <c r="BP90" s="122"/>
      <c r="BQ90" s="122"/>
      <c r="BR90" s="122"/>
    </row>
    <row r="91" spans="1:70" x14ac:dyDescent="0.25">
      <c r="A91" s="52"/>
      <c r="B91" s="137"/>
      <c r="C91" s="137"/>
      <c r="D91" s="137"/>
      <c r="E91" s="53"/>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46"/>
      <c r="BL91" s="122"/>
      <c r="BM91" s="122"/>
      <c r="BN91" s="122"/>
      <c r="BO91" s="122"/>
      <c r="BP91" s="122"/>
      <c r="BQ91" s="122"/>
      <c r="BR91" s="122"/>
    </row>
    <row r="92" spans="1:70" x14ac:dyDescent="0.25">
      <c r="A92" s="52"/>
      <c r="B92" s="137"/>
      <c r="C92" s="137"/>
      <c r="D92" s="137"/>
      <c r="E92" s="53"/>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46"/>
      <c r="BL92" s="122"/>
      <c r="BM92" s="122"/>
      <c r="BN92" s="122"/>
      <c r="BO92" s="122"/>
      <c r="BP92" s="122"/>
      <c r="BQ92" s="122"/>
      <c r="BR92" s="122"/>
    </row>
    <row r="93" spans="1:70" x14ac:dyDescent="0.25">
      <c r="A93" s="52"/>
      <c r="B93" s="137"/>
      <c r="C93" s="137"/>
      <c r="D93" s="137"/>
      <c r="E93" s="53"/>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46"/>
      <c r="BL93" s="122"/>
      <c r="BM93" s="122"/>
      <c r="BN93" s="122"/>
      <c r="BO93" s="122"/>
      <c r="BP93" s="122"/>
      <c r="BQ93" s="122"/>
      <c r="BR93" s="122"/>
    </row>
    <row r="94" spans="1:70" x14ac:dyDescent="0.25">
      <c r="A94" s="52"/>
      <c r="B94" s="137"/>
      <c r="C94" s="137"/>
      <c r="D94" s="137"/>
      <c r="E94" s="53"/>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46"/>
      <c r="BL94" s="122"/>
      <c r="BM94" s="122"/>
      <c r="BN94" s="122"/>
      <c r="BO94" s="122"/>
      <c r="BP94" s="122"/>
      <c r="BQ94" s="122"/>
      <c r="BR94" s="122"/>
    </row>
    <row r="95" spans="1:70" x14ac:dyDescent="0.25">
      <c r="A95" s="63"/>
      <c r="B95" s="138"/>
      <c r="C95" s="138"/>
      <c r="D95" s="138"/>
      <c r="E95" s="139"/>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46"/>
      <c r="BL95" s="122"/>
      <c r="BM95" s="122"/>
      <c r="BN95" s="122"/>
      <c r="BO95" s="122"/>
      <c r="BP95" s="122"/>
      <c r="BQ95" s="122"/>
      <c r="BR95" s="122"/>
    </row>
    <row r="96" spans="1:70" x14ac:dyDescent="0.25">
      <c r="A96" s="52"/>
      <c r="B96" s="137"/>
      <c r="C96" s="137"/>
      <c r="D96" s="137"/>
      <c r="E96" s="53"/>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46"/>
      <c r="BL96" s="122"/>
      <c r="BM96" s="122"/>
      <c r="BN96" s="122"/>
      <c r="BO96" s="122"/>
      <c r="BP96" s="122"/>
      <c r="BQ96" s="122"/>
      <c r="BR96" s="122"/>
    </row>
    <row r="97" spans="1:70" x14ac:dyDescent="0.25">
      <c r="A97" s="52"/>
      <c r="B97" s="137"/>
      <c r="C97" s="137"/>
      <c r="D97" s="137"/>
      <c r="E97" s="53"/>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46"/>
      <c r="BL97" s="122"/>
      <c r="BM97" s="122"/>
      <c r="BN97" s="122"/>
      <c r="BO97" s="122"/>
      <c r="BP97" s="122"/>
      <c r="BQ97" s="122"/>
      <c r="BR97" s="122"/>
    </row>
    <row r="98" spans="1:70" x14ac:dyDescent="0.25">
      <c r="A98" s="52"/>
      <c r="B98" s="137"/>
      <c r="C98" s="137"/>
      <c r="D98" s="137"/>
      <c r="E98" s="53"/>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46"/>
      <c r="BL98" s="122"/>
      <c r="BM98" s="122"/>
      <c r="BN98" s="122"/>
      <c r="BO98" s="122"/>
      <c r="BP98" s="122"/>
      <c r="BQ98" s="122"/>
      <c r="BR98" s="122"/>
    </row>
    <row r="99" spans="1:70" x14ac:dyDescent="0.25">
      <c r="A99" s="52"/>
      <c r="B99" s="137"/>
      <c r="C99" s="137"/>
      <c r="D99" s="137"/>
      <c r="E99" s="53"/>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46"/>
      <c r="BL99" s="122"/>
      <c r="BM99" s="122"/>
      <c r="BN99" s="122"/>
      <c r="BO99" s="122"/>
      <c r="BP99" s="122"/>
      <c r="BQ99" s="122"/>
      <c r="BR99" s="122"/>
    </row>
    <row r="100" spans="1:70" x14ac:dyDescent="0.25">
      <c r="A100" s="52"/>
      <c r="B100" s="137"/>
      <c r="C100" s="137"/>
      <c r="D100" s="137"/>
      <c r="E100" s="53"/>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46"/>
      <c r="BL100" s="122"/>
      <c r="BM100" s="122"/>
      <c r="BN100" s="122"/>
      <c r="BO100" s="122"/>
      <c r="BP100" s="122"/>
      <c r="BQ100" s="122"/>
      <c r="BR100" s="122"/>
    </row>
    <row r="101" spans="1:70" x14ac:dyDescent="0.25">
      <c r="A101" s="52"/>
      <c r="B101" s="137"/>
      <c r="C101" s="137"/>
      <c r="D101" s="137"/>
      <c r="E101" s="53"/>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46"/>
      <c r="BL101" s="122"/>
      <c r="BM101" s="122"/>
      <c r="BN101" s="122"/>
      <c r="BO101" s="122"/>
      <c r="BP101" s="122"/>
      <c r="BQ101" s="122"/>
      <c r="BR101" s="122"/>
    </row>
    <row r="102" spans="1:70" x14ac:dyDescent="0.25">
      <c r="A102" s="52"/>
      <c r="B102" s="137"/>
      <c r="C102" s="137"/>
      <c r="D102" s="137"/>
      <c r="E102" s="53"/>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46"/>
      <c r="BL102" s="122"/>
      <c r="BM102" s="122"/>
      <c r="BN102" s="122"/>
      <c r="BO102" s="122"/>
      <c r="BP102" s="122"/>
      <c r="BQ102" s="122"/>
      <c r="BR102" s="122"/>
    </row>
    <row r="103" spans="1:70" x14ac:dyDescent="0.25">
      <c r="A103" s="52"/>
      <c r="B103" s="137"/>
      <c r="C103" s="137"/>
      <c r="D103" s="137"/>
      <c r="E103" s="53"/>
      <c r="U103" s="151"/>
      <c r="V103" s="151"/>
      <c r="W103" s="151"/>
      <c r="X103" s="151"/>
      <c r="Y103" s="151"/>
      <c r="Z103" s="151"/>
      <c r="AA103" s="151"/>
      <c r="AB103" s="151"/>
      <c r="AC103" s="151"/>
      <c r="AD103" s="151"/>
      <c r="AE103" s="151"/>
      <c r="AF103" s="151"/>
      <c r="AG103" s="151"/>
      <c r="AH103" s="151"/>
      <c r="AI103" s="151"/>
      <c r="AJ103" s="151"/>
      <c r="AK103" s="151"/>
      <c r="AL103" s="151"/>
      <c r="AM103" s="151"/>
      <c r="AN103" s="151"/>
      <c r="AO103" s="151"/>
      <c r="AP103" s="151"/>
      <c r="AQ103" s="151"/>
      <c r="AR103" s="151"/>
      <c r="AS103" s="151"/>
      <c r="AT103" s="151"/>
      <c r="AU103" s="151"/>
      <c r="AV103" s="151"/>
      <c r="AW103" s="151"/>
      <c r="AX103" s="151"/>
      <c r="AY103" s="151"/>
      <c r="AZ103" s="151"/>
      <c r="BA103" s="151"/>
      <c r="BB103" s="151"/>
      <c r="BC103" s="151"/>
      <c r="BD103" s="151"/>
      <c r="BE103" s="151"/>
      <c r="BF103" s="151"/>
      <c r="BG103" s="151"/>
      <c r="BH103" s="151"/>
      <c r="BI103" s="151"/>
      <c r="BJ103" s="151"/>
      <c r="BK103" s="151"/>
      <c r="BL103" s="122"/>
      <c r="BM103" s="122"/>
      <c r="BN103" s="122"/>
      <c r="BO103" s="122"/>
      <c r="BP103" s="122"/>
      <c r="BQ103" s="122"/>
      <c r="BR103" s="122"/>
    </row>
    <row r="104" spans="1:70" x14ac:dyDescent="0.25">
      <c r="A104" s="52"/>
      <c r="B104" s="137"/>
      <c r="C104" s="137"/>
      <c r="D104" s="137"/>
      <c r="E104" s="53"/>
      <c r="U104" s="151"/>
      <c r="V104" s="151"/>
      <c r="W104" s="151"/>
      <c r="X104" s="151"/>
      <c r="Y104" s="151"/>
      <c r="Z104" s="151"/>
      <c r="AA104" s="151"/>
      <c r="AB104" s="151"/>
      <c r="AC104" s="151"/>
      <c r="AD104" s="151"/>
      <c r="AE104" s="151"/>
      <c r="AF104" s="151"/>
      <c r="AG104" s="151"/>
      <c r="AH104" s="151"/>
      <c r="AI104" s="151"/>
      <c r="AJ104" s="151"/>
      <c r="AK104" s="151"/>
      <c r="AL104" s="151"/>
      <c r="AM104" s="151"/>
      <c r="AN104" s="151"/>
      <c r="AO104" s="151"/>
      <c r="AP104" s="151"/>
      <c r="AQ104" s="151"/>
      <c r="AR104" s="151"/>
      <c r="AS104" s="151"/>
      <c r="AT104" s="151"/>
      <c r="AU104" s="151"/>
      <c r="AV104" s="151"/>
      <c r="AW104" s="151"/>
      <c r="AX104" s="151"/>
      <c r="AY104" s="151"/>
      <c r="AZ104" s="151"/>
      <c r="BA104" s="151"/>
      <c r="BB104" s="151"/>
      <c r="BC104" s="151"/>
      <c r="BD104" s="151"/>
      <c r="BE104" s="151"/>
      <c r="BF104" s="151"/>
      <c r="BG104" s="151"/>
      <c r="BH104" s="151"/>
      <c r="BI104" s="151"/>
      <c r="BJ104" s="151"/>
      <c r="BK104" s="151"/>
      <c r="BL104" s="122"/>
      <c r="BM104" s="122"/>
      <c r="BN104" s="122"/>
      <c r="BO104" s="122"/>
      <c r="BP104" s="122"/>
      <c r="BQ104" s="122"/>
      <c r="BR104" s="122"/>
    </row>
    <row r="105" spans="1:70" x14ac:dyDescent="0.25">
      <c r="A105" s="52"/>
      <c r="B105" s="137"/>
      <c r="C105" s="137"/>
      <c r="D105" s="137"/>
      <c r="E105" s="53"/>
      <c r="U105" s="151"/>
      <c r="V105" s="151"/>
      <c r="W105" s="151"/>
      <c r="X105" s="151"/>
      <c r="Y105" s="151"/>
      <c r="Z105" s="151"/>
      <c r="AA105" s="151"/>
      <c r="AB105" s="151"/>
      <c r="AC105" s="151"/>
      <c r="AD105" s="151"/>
      <c r="AE105" s="151"/>
      <c r="AF105" s="151"/>
      <c r="AG105" s="151"/>
      <c r="AH105" s="151"/>
      <c r="AI105" s="151"/>
      <c r="AJ105" s="151"/>
      <c r="AK105" s="151"/>
      <c r="AL105" s="151"/>
      <c r="AM105" s="151"/>
      <c r="AN105" s="151"/>
      <c r="AO105" s="151"/>
      <c r="AP105" s="151"/>
      <c r="AQ105" s="151"/>
      <c r="AR105" s="151"/>
      <c r="AS105" s="151"/>
      <c r="AT105" s="151"/>
      <c r="AU105" s="151"/>
      <c r="AV105" s="151"/>
      <c r="AW105" s="151"/>
      <c r="AX105" s="151"/>
      <c r="AY105" s="151"/>
      <c r="AZ105" s="151"/>
      <c r="BA105" s="151"/>
      <c r="BB105" s="151"/>
      <c r="BC105" s="151"/>
      <c r="BD105" s="151"/>
      <c r="BE105" s="151"/>
      <c r="BF105" s="151"/>
      <c r="BG105" s="151"/>
      <c r="BH105" s="151"/>
      <c r="BI105" s="151"/>
      <c r="BJ105" s="151"/>
      <c r="BK105" s="151"/>
      <c r="BL105" s="122"/>
      <c r="BM105" s="122"/>
      <c r="BN105" s="122"/>
      <c r="BO105" s="122"/>
      <c r="BP105" s="122"/>
      <c r="BQ105" s="122"/>
      <c r="BR105" s="122"/>
    </row>
    <row r="106" spans="1:70" x14ac:dyDescent="0.25">
      <c r="A106" s="52"/>
      <c r="B106" s="137"/>
      <c r="C106" s="137"/>
      <c r="D106" s="137"/>
      <c r="E106" s="53"/>
      <c r="U106" s="151"/>
      <c r="V106" s="151"/>
      <c r="W106" s="151"/>
      <c r="X106" s="151"/>
      <c r="Y106" s="151"/>
      <c r="Z106" s="151"/>
      <c r="AA106" s="151"/>
      <c r="AB106" s="151"/>
      <c r="AC106" s="151"/>
      <c r="AD106" s="151"/>
      <c r="AE106" s="151"/>
      <c r="AF106" s="151"/>
      <c r="AG106" s="151"/>
      <c r="AH106" s="151"/>
      <c r="AI106" s="151"/>
      <c r="AJ106" s="151"/>
      <c r="AK106" s="151"/>
      <c r="AL106" s="151"/>
      <c r="AM106" s="151"/>
      <c r="AN106" s="151"/>
      <c r="AO106" s="151"/>
      <c r="AP106" s="151"/>
      <c r="AQ106" s="151"/>
      <c r="AR106" s="151"/>
      <c r="AS106" s="151"/>
      <c r="AT106" s="151"/>
      <c r="AU106" s="151"/>
      <c r="AV106" s="151"/>
      <c r="AW106" s="151"/>
      <c r="AX106" s="151"/>
      <c r="AY106" s="151"/>
      <c r="AZ106" s="151"/>
      <c r="BA106" s="151"/>
      <c r="BB106" s="151"/>
      <c r="BC106" s="151"/>
      <c r="BD106" s="151"/>
      <c r="BE106" s="151"/>
      <c r="BF106" s="151"/>
      <c r="BG106" s="151"/>
      <c r="BH106" s="151"/>
      <c r="BI106" s="151"/>
      <c r="BJ106" s="151"/>
      <c r="BK106" s="151"/>
      <c r="BL106" s="122"/>
      <c r="BM106" s="122"/>
      <c r="BN106" s="122"/>
      <c r="BO106" s="122"/>
      <c r="BP106" s="122"/>
      <c r="BQ106" s="122"/>
      <c r="BR106" s="122"/>
    </row>
    <row r="107" spans="1:70" x14ac:dyDescent="0.25">
      <c r="A107" s="52"/>
      <c r="B107" s="137"/>
      <c r="C107" s="137"/>
      <c r="D107" s="137"/>
      <c r="E107" s="53"/>
      <c r="U107" s="151"/>
      <c r="V107" s="151"/>
      <c r="W107" s="151"/>
      <c r="X107" s="151"/>
      <c r="Y107" s="151"/>
      <c r="Z107" s="151"/>
      <c r="AA107" s="151"/>
      <c r="AB107" s="151"/>
      <c r="AC107" s="151"/>
      <c r="AD107" s="151"/>
      <c r="AE107" s="151"/>
      <c r="AF107" s="151"/>
      <c r="AG107" s="151"/>
      <c r="AH107" s="151"/>
      <c r="AI107" s="151"/>
      <c r="AJ107" s="151"/>
      <c r="AK107" s="151"/>
      <c r="AL107" s="151"/>
      <c r="AM107" s="151"/>
      <c r="AN107" s="151"/>
      <c r="AO107" s="151"/>
      <c r="AP107" s="151"/>
      <c r="AQ107" s="151"/>
      <c r="AR107" s="151"/>
      <c r="AS107" s="151"/>
      <c r="AT107" s="151"/>
      <c r="AU107" s="151"/>
      <c r="AV107" s="151"/>
      <c r="AW107" s="151"/>
      <c r="AX107" s="151"/>
      <c r="AY107" s="151"/>
      <c r="AZ107" s="151"/>
      <c r="BA107" s="151"/>
      <c r="BB107" s="151"/>
      <c r="BC107" s="151"/>
      <c r="BD107" s="151"/>
      <c r="BE107" s="151"/>
      <c r="BF107" s="151"/>
      <c r="BG107" s="151"/>
      <c r="BH107" s="151"/>
      <c r="BI107" s="151"/>
      <c r="BJ107" s="151"/>
      <c r="BK107" s="151"/>
      <c r="BL107" s="122"/>
      <c r="BM107" s="122"/>
      <c r="BN107" s="122"/>
      <c r="BO107" s="122"/>
      <c r="BP107" s="122"/>
      <c r="BQ107" s="122"/>
      <c r="BR107" s="122"/>
    </row>
    <row r="108" spans="1:70" x14ac:dyDescent="0.25">
      <c r="A108" s="52"/>
      <c r="B108" s="137"/>
      <c r="C108" s="137"/>
      <c r="D108" s="137"/>
      <c r="E108" s="53"/>
      <c r="U108" s="151"/>
      <c r="V108" s="151"/>
      <c r="W108" s="151"/>
      <c r="X108" s="151"/>
      <c r="Y108" s="151"/>
      <c r="Z108" s="151"/>
      <c r="AA108" s="151"/>
      <c r="AB108" s="151"/>
      <c r="AC108" s="151"/>
      <c r="AD108" s="151"/>
      <c r="AE108" s="151"/>
      <c r="AF108" s="151"/>
      <c r="AG108" s="151"/>
      <c r="AH108" s="151"/>
      <c r="AI108" s="151"/>
      <c r="AJ108" s="151"/>
      <c r="AK108" s="151"/>
      <c r="AL108" s="151"/>
      <c r="AM108" s="151"/>
      <c r="AN108" s="151"/>
      <c r="AO108" s="151"/>
      <c r="AP108" s="151"/>
      <c r="AQ108" s="151"/>
      <c r="AR108" s="151"/>
      <c r="AS108" s="151"/>
      <c r="AT108" s="151"/>
      <c r="AU108" s="151"/>
      <c r="AV108" s="151"/>
      <c r="AW108" s="151"/>
      <c r="AX108" s="151"/>
      <c r="AY108" s="151"/>
      <c r="AZ108" s="151"/>
      <c r="BA108" s="151"/>
      <c r="BB108" s="151"/>
      <c r="BC108" s="151"/>
      <c r="BD108" s="151"/>
      <c r="BE108" s="151"/>
      <c r="BF108" s="151"/>
      <c r="BG108" s="151"/>
      <c r="BH108" s="151"/>
      <c r="BI108" s="151"/>
      <c r="BJ108" s="151"/>
      <c r="BK108" s="151"/>
      <c r="BL108" s="122"/>
      <c r="BM108" s="122"/>
      <c r="BN108" s="122"/>
      <c r="BO108" s="122"/>
      <c r="BP108" s="122"/>
      <c r="BQ108" s="122"/>
      <c r="BR108" s="122"/>
    </row>
    <row r="109" spans="1:70" x14ac:dyDescent="0.25">
      <c r="A109" s="63"/>
      <c r="B109" s="138"/>
      <c r="C109" s="138"/>
      <c r="D109" s="138"/>
      <c r="E109" s="139"/>
      <c r="U109" s="151"/>
      <c r="V109" s="151"/>
      <c r="W109" s="151"/>
      <c r="X109" s="151"/>
      <c r="Y109" s="151"/>
      <c r="Z109" s="151"/>
      <c r="AA109" s="151"/>
      <c r="AB109" s="151"/>
      <c r="AC109" s="151"/>
      <c r="AD109" s="151"/>
      <c r="AE109" s="151"/>
      <c r="AF109" s="151"/>
      <c r="AG109" s="151"/>
      <c r="AH109" s="151"/>
      <c r="AI109" s="151"/>
      <c r="AJ109" s="151"/>
      <c r="AK109" s="151"/>
      <c r="AL109" s="151"/>
      <c r="AM109" s="151"/>
      <c r="AN109" s="151"/>
      <c r="AO109" s="151"/>
      <c r="AP109" s="151"/>
      <c r="AQ109" s="151"/>
      <c r="AR109" s="151"/>
      <c r="AS109" s="151"/>
      <c r="AT109" s="151"/>
      <c r="AU109" s="151"/>
      <c r="AV109" s="151"/>
      <c r="AW109" s="151"/>
      <c r="AX109" s="151"/>
      <c r="AY109" s="151"/>
      <c r="AZ109" s="151"/>
      <c r="BA109" s="151"/>
      <c r="BB109" s="151"/>
      <c r="BC109" s="151"/>
      <c r="BD109" s="151"/>
      <c r="BE109" s="151"/>
      <c r="BF109" s="151"/>
      <c r="BG109" s="151"/>
      <c r="BH109" s="151"/>
      <c r="BI109" s="151"/>
      <c r="BJ109" s="151"/>
      <c r="BK109" s="151"/>
      <c r="BL109" s="122"/>
      <c r="BM109" s="122"/>
      <c r="BN109" s="122"/>
      <c r="BO109" s="122"/>
      <c r="BP109" s="122"/>
      <c r="BQ109" s="122"/>
      <c r="BR109" s="122"/>
    </row>
    <row r="110" spans="1:70" x14ac:dyDescent="0.25">
      <c r="A110" s="63"/>
      <c r="B110" s="138"/>
      <c r="C110" s="138"/>
      <c r="D110" s="138"/>
      <c r="E110" s="139"/>
      <c r="U110" s="151"/>
      <c r="V110" s="151"/>
      <c r="W110" s="151"/>
      <c r="X110" s="151"/>
      <c r="Y110" s="151"/>
      <c r="Z110" s="151"/>
      <c r="AA110" s="151"/>
      <c r="AB110" s="151"/>
      <c r="AC110" s="151"/>
      <c r="AD110" s="151"/>
      <c r="AE110" s="151"/>
      <c r="AF110" s="151"/>
      <c r="AG110" s="151"/>
      <c r="AH110" s="151"/>
      <c r="AI110" s="151"/>
      <c r="AJ110" s="151"/>
      <c r="AK110" s="151"/>
      <c r="AL110" s="151"/>
      <c r="AM110" s="151"/>
      <c r="AN110" s="151"/>
      <c r="AO110" s="151"/>
      <c r="AP110" s="151"/>
      <c r="AQ110" s="151"/>
      <c r="AR110" s="151"/>
      <c r="AS110" s="151"/>
      <c r="AT110" s="151"/>
      <c r="AU110" s="151"/>
      <c r="AV110" s="151"/>
      <c r="AW110" s="151"/>
      <c r="AX110" s="151"/>
      <c r="AY110" s="151"/>
      <c r="AZ110" s="151"/>
      <c r="BA110" s="151"/>
      <c r="BB110" s="151"/>
      <c r="BC110" s="151"/>
      <c r="BD110" s="151"/>
      <c r="BE110" s="151"/>
      <c r="BF110" s="151"/>
      <c r="BG110" s="151"/>
      <c r="BH110" s="151"/>
      <c r="BI110" s="151"/>
      <c r="BJ110" s="151"/>
      <c r="BK110" s="151"/>
      <c r="BL110" s="122"/>
      <c r="BM110" s="122"/>
      <c r="BN110" s="122"/>
      <c r="BO110" s="122"/>
      <c r="BP110" s="122"/>
      <c r="BQ110" s="122"/>
      <c r="BR110" s="122"/>
    </row>
    <row r="111" spans="1:70" x14ac:dyDescent="0.25">
      <c r="A111" s="63"/>
      <c r="B111" s="138"/>
      <c r="C111" s="138"/>
      <c r="D111" s="138"/>
      <c r="E111" s="139"/>
      <c r="U111" s="151"/>
      <c r="V111" s="151"/>
      <c r="W111" s="151"/>
      <c r="X111" s="151"/>
      <c r="Y111" s="151"/>
      <c r="Z111" s="151"/>
      <c r="AA111" s="151"/>
      <c r="AB111" s="151"/>
      <c r="AC111" s="151"/>
      <c r="AD111" s="151"/>
      <c r="AE111" s="151"/>
      <c r="AF111" s="151"/>
      <c r="AG111" s="151"/>
      <c r="AH111" s="151"/>
      <c r="AI111" s="151"/>
      <c r="AJ111" s="151"/>
      <c r="AK111" s="151"/>
      <c r="AL111" s="151"/>
      <c r="AM111" s="151"/>
      <c r="AN111" s="151"/>
      <c r="AO111" s="151"/>
      <c r="AP111" s="151"/>
      <c r="AQ111" s="151"/>
      <c r="AR111" s="151"/>
      <c r="AS111" s="151"/>
      <c r="AT111" s="151"/>
      <c r="AU111" s="151"/>
      <c r="AV111" s="151"/>
      <c r="AW111" s="151"/>
      <c r="AX111" s="151"/>
      <c r="AY111" s="151"/>
      <c r="AZ111" s="151"/>
      <c r="BA111" s="151"/>
      <c r="BB111" s="151"/>
      <c r="BC111" s="151"/>
      <c r="BD111" s="151"/>
      <c r="BE111" s="151"/>
      <c r="BF111" s="151"/>
      <c r="BG111" s="151"/>
      <c r="BH111" s="151"/>
      <c r="BI111" s="151"/>
      <c r="BJ111" s="151"/>
      <c r="BK111" s="151"/>
      <c r="BL111" s="122"/>
      <c r="BM111" s="122"/>
      <c r="BN111" s="122"/>
      <c r="BO111" s="122"/>
      <c r="BP111" s="122"/>
      <c r="BQ111" s="122"/>
      <c r="BR111" s="122"/>
    </row>
    <row r="112" spans="1:70" x14ac:dyDescent="0.25">
      <c r="A112" s="63"/>
      <c r="B112" s="138"/>
      <c r="C112" s="138"/>
      <c r="D112" s="138"/>
      <c r="E112" s="139"/>
      <c r="U112" s="151"/>
      <c r="V112" s="151"/>
      <c r="W112" s="151"/>
      <c r="X112" s="151"/>
      <c r="Y112" s="151"/>
      <c r="Z112" s="151"/>
      <c r="AA112" s="151"/>
      <c r="AB112" s="151"/>
      <c r="AC112" s="151"/>
      <c r="AD112" s="151"/>
      <c r="AE112" s="151"/>
      <c r="AF112" s="151"/>
      <c r="AG112" s="151"/>
      <c r="AH112" s="151"/>
      <c r="AI112" s="151"/>
      <c r="AJ112" s="151"/>
      <c r="AK112" s="151"/>
      <c r="AL112" s="151"/>
      <c r="AM112" s="151"/>
      <c r="AN112" s="151"/>
      <c r="AO112" s="151"/>
      <c r="AP112" s="151"/>
      <c r="AQ112" s="151"/>
      <c r="AR112" s="151"/>
      <c r="AS112" s="151"/>
      <c r="AT112" s="151"/>
      <c r="AU112" s="151"/>
      <c r="AV112" s="151"/>
      <c r="AW112" s="151"/>
      <c r="AX112" s="151"/>
      <c r="AY112" s="151"/>
      <c r="AZ112" s="151"/>
      <c r="BA112" s="151"/>
      <c r="BB112" s="151"/>
      <c r="BC112" s="151"/>
      <c r="BD112" s="151"/>
      <c r="BE112" s="151"/>
      <c r="BF112" s="151"/>
      <c r="BG112" s="151"/>
      <c r="BH112" s="151"/>
      <c r="BI112" s="151"/>
      <c r="BJ112" s="151"/>
      <c r="BK112" s="151"/>
      <c r="BL112" s="122"/>
      <c r="BM112" s="122"/>
      <c r="BN112" s="122"/>
      <c r="BO112" s="122"/>
      <c r="BP112" s="122"/>
      <c r="BQ112" s="122"/>
      <c r="BR112" s="122"/>
    </row>
    <row r="113" spans="1:70" x14ac:dyDescent="0.25">
      <c r="A113" s="63"/>
      <c r="B113" s="138"/>
      <c r="C113" s="138"/>
      <c r="D113" s="138"/>
      <c r="E113" s="139"/>
      <c r="U113" s="151"/>
      <c r="V113" s="151"/>
      <c r="W113" s="151"/>
      <c r="X113" s="151"/>
      <c r="Y113" s="151"/>
      <c r="Z113" s="151"/>
      <c r="AA113" s="151"/>
      <c r="AB113" s="151"/>
      <c r="AC113" s="151"/>
      <c r="AD113" s="151"/>
      <c r="AE113" s="151"/>
      <c r="AF113" s="151"/>
      <c r="AG113" s="151"/>
      <c r="AH113" s="151"/>
      <c r="AI113" s="151"/>
      <c r="AJ113" s="151"/>
      <c r="AK113" s="151"/>
      <c r="AL113" s="151"/>
      <c r="AM113" s="151"/>
      <c r="AN113" s="151"/>
      <c r="AO113" s="151"/>
      <c r="AP113" s="151"/>
      <c r="AQ113" s="151"/>
      <c r="AR113" s="151"/>
      <c r="AS113" s="151"/>
      <c r="AT113" s="151"/>
      <c r="AU113" s="151"/>
      <c r="AV113" s="151"/>
      <c r="AW113" s="151"/>
      <c r="AX113" s="151"/>
      <c r="AY113" s="151"/>
      <c r="AZ113" s="151"/>
      <c r="BA113" s="151"/>
      <c r="BB113" s="151"/>
      <c r="BC113" s="151"/>
      <c r="BD113" s="151"/>
      <c r="BE113" s="151"/>
      <c r="BF113" s="151"/>
      <c r="BG113" s="151"/>
      <c r="BH113" s="151"/>
      <c r="BI113" s="151"/>
      <c r="BJ113" s="151"/>
      <c r="BK113" s="151"/>
      <c r="BL113" s="122"/>
      <c r="BM113" s="122"/>
      <c r="BN113" s="122"/>
      <c r="BO113" s="122"/>
      <c r="BP113" s="122"/>
      <c r="BQ113" s="122"/>
      <c r="BR113" s="122"/>
    </row>
    <row r="114" spans="1:70" x14ac:dyDescent="0.25">
      <c r="A114" s="63"/>
      <c r="B114" s="138"/>
      <c r="C114" s="138"/>
      <c r="D114" s="138"/>
      <c r="E114" s="139"/>
      <c r="U114" s="151"/>
      <c r="V114" s="151"/>
      <c r="W114" s="151"/>
      <c r="X114" s="151"/>
      <c r="Y114" s="151"/>
      <c r="Z114" s="151"/>
      <c r="AA114" s="151"/>
      <c r="AB114" s="151"/>
      <c r="AC114" s="151"/>
      <c r="AD114" s="151"/>
      <c r="AE114" s="151"/>
      <c r="AF114" s="151"/>
      <c r="AG114" s="151"/>
      <c r="AH114" s="151"/>
      <c r="AI114" s="151"/>
      <c r="AJ114" s="151"/>
      <c r="AK114" s="151"/>
      <c r="AL114" s="151"/>
      <c r="AM114" s="151"/>
      <c r="AN114" s="151"/>
      <c r="AO114" s="151"/>
      <c r="AP114" s="151"/>
      <c r="AQ114" s="151"/>
      <c r="AR114" s="151"/>
      <c r="AS114" s="151"/>
      <c r="AT114" s="151"/>
      <c r="AU114" s="151"/>
      <c r="AV114" s="151"/>
      <c r="AW114" s="151"/>
      <c r="AX114" s="151"/>
      <c r="AY114" s="151"/>
      <c r="AZ114" s="151"/>
      <c r="BA114" s="151"/>
      <c r="BB114" s="151"/>
      <c r="BC114" s="151"/>
      <c r="BD114" s="151"/>
      <c r="BE114" s="151"/>
      <c r="BF114" s="151"/>
      <c r="BG114" s="151"/>
      <c r="BH114" s="151"/>
      <c r="BI114" s="151"/>
      <c r="BJ114" s="151"/>
      <c r="BK114" s="151"/>
      <c r="BL114" s="122"/>
      <c r="BM114" s="122"/>
      <c r="BN114" s="122"/>
      <c r="BO114" s="122"/>
      <c r="BP114" s="122"/>
      <c r="BQ114" s="122"/>
      <c r="BR114" s="122"/>
    </row>
    <row r="115" spans="1:70" x14ac:dyDescent="0.25">
      <c r="A115" s="63"/>
      <c r="B115" s="138"/>
      <c r="C115" s="138"/>
      <c r="D115" s="138"/>
      <c r="E115" s="139"/>
      <c r="U115" s="151"/>
      <c r="V115" s="151"/>
      <c r="W115" s="151"/>
      <c r="X115" s="151"/>
      <c r="Y115" s="151"/>
      <c r="Z115" s="151"/>
      <c r="AA115" s="151"/>
      <c r="AB115" s="151"/>
      <c r="AC115" s="151"/>
      <c r="AD115" s="151"/>
      <c r="AE115" s="151"/>
      <c r="AF115" s="151"/>
      <c r="AG115" s="151"/>
      <c r="AH115" s="151"/>
      <c r="AI115" s="151"/>
      <c r="AJ115" s="151"/>
      <c r="AK115" s="151"/>
      <c r="AL115" s="151"/>
      <c r="AM115" s="151"/>
      <c r="AN115" s="151"/>
      <c r="AO115" s="151"/>
      <c r="AP115" s="151"/>
      <c r="AQ115" s="151"/>
      <c r="AR115" s="151"/>
      <c r="AS115" s="151"/>
      <c r="AT115" s="151"/>
      <c r="AU115" s="151"/>
      <c r="AV115" s="151"/>
      <c r="AW115" s="151"/>
      <c r="AX115" s="151"/>
      <c r="AY115" s="151"/>
      <c r="AZ115" s="151"/>
      <c r="BA115" s="151"/>
      <c r="BB115" s="151"/>
      <c r="BC115" s="151"/>
      <c r="BD115" s="151"/>
      <c r="BE115" s="151"/>
      <c r="BF115" s="151"/>
      <c r="BG115" s="151"/>
      <c r="BH115" s="151"/>
      <c r="BI115" s="151"/>
      <c r="BJ115" s="151"/>
      <c r="BK115" s="151"/>
      <c r="BL115" s="122"/>
      <c r="BM115" s="122"/>
      <c r="BN115" s="122"/>
      <c r="BO115" s="122"/>
      <c r="BP115" s="122"/>
      <c r="BQ115" s="122"/>
      <c r="BR115" s="122"/>
    </row>
    <row r="116" spans="1:70" x14ac:dyDescent="0.25">
      <c r="A116" s="63"/>
      <c r="B116" s="138"/>
      <c r="C116" s="138"/>
      <c r="D116" s="138"/>
      <c r="E116" s="139"/>
      <c r="U116" s="151"/>
      <c r="V116" s="151"/>
      <c r="W116" s="151"/>
      <c r="X116" s="151"/>
      <c r="Y116" s="151"/>
      <c r="Z116" s="151"/>
      <c r="AA116" s="151"/>
      <c r="AB116" s="151"/>
      <c r="AC116" s="151"/>
      <c r="AD116" s="151"/>
      <c r="AE116" s="151"/>
      <c r="AF116" s="151"/>
      <c r="AG116" s="151"/>
      <c r="AH116" s="151"/>
      <c r="AI116" s="151"/>
      <c r="AJ116" s="151"/>
      <c r="AK116" s="151"/>
      <c r="AL116" s="151"/>
      <c r="AM116" s="151"/>
      <c r="AN116" s="151"/>
      <c r="AO116" s="151"/>
      <c r="AP116" s="151"/>
      <c r="AQ116" s="151"/>
      <c r="AR116" s="151"/>
      <c r="AS116" s="151"/>
      <c r="AT116" s="151"/>
      <c r="AU116" s="151"/>
      <c r="AV116" s="151"/>
      <c r="AW116" s="151"/>
      <c r="AX116" s="151"/>
      <c r="AY116" s="151"/>
      <c r="AZ116" s="151"/>
      <c r="BA116" s="151"/>
      <c r="BB116" s="151"/>
      <c r="BC116" s="151"/>
      <c r="BD116" s="151"/>
      <c r="BE116" s="151"/>
      <c r="BF116" s="151"/>
      <c r="BG116" s="151"/>
      <c r="BH116" s="151"/>
      <c r="BI116" s="151"/>
      <c r="BJ116" s="151"/>
      <c r="BK116" s="151"/>
      <c r="BL116" s="122"/>
      <c r="BM116" s="122"/>
      <c r="BN116" s="122"/>
      <c r="BO116" s="122"/>
      <c r="BP116" s="122"/>
      <c r="BQ116" s="122"/>
      <c r="BR116" s="122"/>
    </row>
    <row r="117" spans="1:70" x14ac:dyDescent="0.25">
      <c r="A117" s="63"/>
      <c r="B117" s="138"/>
      <c r="C117" s="138"/>
      <c r="D117" s="138"/>
      <c r="E117" s="139"/>
      <c r="U117" s="151"/>
      <c r="V117" s="151"/>
      <c r="W117" s="151"/>
      <c r="X117" s="151"/>
      <c r="Y117" s="151"/>
      <c r="Z117" s="151"/>
      <c r="AA117" s="151"/>
      <c r="AB117" s="151"/>
      <c r="AC117" s="151"/>
      <c r="AD117" s="151"/>
      <c r="AE117" s="151"/>
      <c r="AF117" s="151"/>
      <c r="AG117" s="151"/>
      <c r="AH117" s="151"/>
      <c r="AI117" s="151"/>
      <c r="AJ117" s="151"/>
      <c r="AK117" s="151"/>
      <c r="AL117" s="151"/>
      <c r="AM117" s="151"/>
      <c r="AN117" s="151"/>
      <c r="AO117" s="151"/>
      <c r="AP117" s="151"/>
      <c r="AQ117" s="151"/>
      <c r="AR117" s="151"/>
      <c r="AS117" s="151"/>
      <c r="AT117" s="151"/>
      <c r="AU117" s="151"/>
      <c r="AV117" s="151"/>
      <c r="AW117" s="151"/>
      <c r="AX117" s="151"/>
      <c r="AY117" s="151"/>
      <c r="AZ117" s="151"/>
      <c r="BA117" s="151"/>
      <c r="BB117" s="151"/>
      <c r="BC117" s="151"/>
      <c r="BD117" s="151"/>
      <c r="BE117" s="151"/>
      <c r="BF117" s="151"/>
      <c r="BG117" s="151"/>
      <c r="BH117" s="151"/>
      <c r="BI117" s="151"/>
      <c r="BJ117" s="151"/>
      <c r="BK117" s="151"/>
      <c r="BL117" s="122"/>
      <c r="BM117" s="122"/>
      <c r="BN117" s="122"/>
      <c r="BO117" s="122"/>
      <c r="BP117" s="122"/>
      <c r="BQ117" s="122"/>
      <c r="BR117" s="122"/>
    </row>
    <row r="118" spans="1:70" x14ac:dyDescent="0.25">
      <c r="A118" s="63"/>
      <c r="B118" s="138"/>
      <c r="C118" s="138"/>
      <c r="D118" s="138"/>
      <c r="E118" s="139"/>
      <c r="U118" s="151"/>
      <c r="V118" s="151"/>
      <c r="W118" s="151"/>
      <c r="X118" s="151"/>
      <c r="Y118" s="151"/>
      <c r="Z118" s="151"/>
      <c r="AA118" s="151"/>
      <c r="AB118" s="151"/>
      <c r="AC118" s="151"/>
      <c r="AD118" s="151"/>
      <c r="AE118" s="151"/>
      <c r="AF118" s="151"/>
      <c r="AG118" s="151"/>
      <c r="AH118" s="151"/>
      <c r="AI118" s="151"/>
      <c r="AJ118" s="151"/>
      <c r="AK118" s="151"/>
      <c r="AL118" s="151"/>
      <c r="AM118" s="151"/>
      <c r="AN118" s="151"/>
      <c r="AO118" s="151"/>
      <c r="AP118" s="151"/>
      <c r="AQ118" s="151"/>
      <c r="AR118" s="151"/>
      <c r="AS118" s="151"/>
      <c r="AT118" s="151"/>
      <c r="AU118" s="151"/>
      <c r="AV118" s="151"/>
      <c r="AW118" s="151"/>
      <c r="AX118" s="151"/>
      <c r="AY118" s="151"/>
      <c r="AZ118" s="151"/>
      <c r="BA118" s="151"/>
      <c r="BB118" s="151"/>
      <c r="BC118" s="151"/>
      <c r="BD118" s="151"/>
      <c r="BE118" s="151"/>
      <c r="BF118" s="151"/>
      <c r="BG118" s="151"/>
      <c r="BH118" s="151"/>
      <c r="BI118" s="151"/>
      <c r="BJ118" s="151"/>
      <c r="BK118" s="151"/>
      <c r="BL118" s="122"/>
      <c r="BM118" s="122"/>
      <c r="BN118" s="122"/>
      <c r="BO118" s="122"/>
      <c r="BP118" s="122"/>
      <c r="BQ118" s="122"/>
      <c r="BR118" s="122"/>
    </row>
    <row r="119" spans="1:70" x14ac:dyDescent="0.25">
      <c r="A119" s="63"/>
      <c r="B119" s="138"/>
      <c r="C119" s="138"/>
      <c r="D119" s="138"/>
      <c r="E119" s="139"/>
      <c r="U119" s="151"/>
      <c r="V119" s="151"/>
      <c r="W119" s="151"/>
      <c r="X119" s="151"/>
      <c r="Y119" s="151"/>
      <c r="Z119" s="151"/>
      <c r="AA119" s="151"/>
      <c r="AB119" s="151"/>
      <c r="AC119" s="151"/>
      <c r="AD119" s="151"/>
      <c r="AE119" s="151"/>
      <c r="AF119" s="151"/>
      <c r="AG119" s="151"/>
      <c r="AH119" s="151"/>
      <c r="AI119" s="151"/>
      <c r="AJ119" s="151"/>
      <c r="AK119" s="151"/>
      <c r="AL119" s="151"/>
      <c r="AM119" s="151"/>
      <c r="AN119" s="151"/>
      <c r="AO119" s="151"/>
      <c r="AP119" s="151"/>
      <c r="AQ119" s="151"/>
      <c r="AR119" s="151"/>
      <c r="AS119" s="151"/>
      <c r="AT119" s="151"/>
      <c r="AU119" s="151"/>
      <c r="AV119" s="151"/>
      <c r="AW119" s="151"/>
      <c r="AX119" s="151"/>
      <c r="AY119" s="151"/>
      <c r="AZ119" s="151"/>
      <c r="BA119" s="151"/>
      <c r="BB119" s="151"/>
      <c r="BC119" s="151"/>
      <c r="BD119" s="151"/>
      <c r="BE119" s="151"/>
      <c r="BF119" s="151"/>
      <c r="BG119" s="151"/>
      <c r="BH119" s="151"/>
      <c r="BI119" s="151"/>
      <c r="BJ119" s="151"/>
      <c r="BK119" s="151"/>
      <c r="BL119" s="122"/>
      <c r="BM119" s="122"/>
      <c r="BN119" s="122"/>
      <c r="BO119" s="122"/>
      <c r="BP119" s="122"/>
      <c r="BQ119" s="122"/>
      <c r="BR119" s="122"/>
    </row>
    <row r="120" spans="1:70" x14ac:dyDescent="0.25">
      <c r="A120" s="63"/>
      <c r="B120" s="138"/>
      <c r="C120" s="138"/>
      <c r="D120" s="138"/>
      <c r="E120" s="139"/>
      <c r="U120" s="151"/>
      <c r="V120" s="151"/>
      <c r="W120" s="151"/>
      <c r="X120" s="151"/>
      <c r="Y120" s="151"/>
      <c r="Z120" s="151"/>
      <c r="AA120" s="151"/>
      <c r="AB120" s="151"/>
      <c r="AC120" s="151"/>
      <c r="AD120" s="151"/>
      <c r="AE120" s="151"/>
      <c r="AF120" s="151"/>
      <c r="AG120" s="151"/>
      <c r="AH120" s="151"/>
      <c r="AI120" s="151"/>
      <c r="AJ120" s="151"/>
      <c r="AK120" s="151"/>
      <c r="AL120" s="151"/>
      <c r="AM120" s="151"/>
      <c r="AN120" s="151"/>
      <c r="AO120" s="151"/>
      <c r="AP120" s="151"/>
      <c r="AQ120" s="151"/>
      <c r="AR120" s="151"/>
      <c r="AS120" s="151"/>
      <c r="AT120" s="151"/>
      <c r="AU120" s="151"/>
      <c r="AV120" s="151"/>
      <c r="AW120" s="151"/>
      <c r="AX120" s="151"/>
      <c r="AY120" s="151"/>
      <c r="AZ120" s="151"/>
      <c r="BA120" s="151"/>
      <c r="BB120" s="151"/>
      <c r="BC120" s="151"/>
      <c r="BD120" s="151"/>
      <c r="BE120" s="151"/>
      <c r="BF120" s="151"/>
      <c r="BG120" s="151"/>
      <c r="BH120" s="151"/>
      <c r="BI120" s="151"/>
      <c r="BJ120" s="151"/>
      <c r="BK120" s="151"/>
      <c r="BL120" s="122"/>
      <c r="BM120" s="122"/>
      <c r="BN120" s="122"/>
      <c r="BO120" s="122"/>
      <c r="BP120" s="122"/>
      <c r="BQ120" s="122"/>
      <c r="BR120" s="122"/>
    </row>
    <row r="121" spans="1:70" x14ac:dyDescent="0.25">
      <c r="A121" s="63"/>
      <c r="B121" s="138"/>
      <c r="C121" s="138"/>
      <c r="D121" s="138"/>
      <c r="E121" s="139"/>
      <c r="U121" s="151"/>
      <c r="V121" s="151"/>
      <c r="W121" s="151"/>
      <c r="X121" s="151"/>
      <c r="Y121" s="151"/>
      <c r="Z121" s="151"/>
      <c r="AA121" s="151"/>
      <c r="AB121" s="151"/>
      <c r="AC121" s="151"/>
      <c r="AD121" s="151"/>
      <c r="AE121" s="151"/>
      <c r="AF121" s="151"/>
      <c r="AG121" s="151"/>
      <c r="AH121" s="151"/>
      <c r="AI121" s="151"/>
      <c r="AJ121" s="151"/>
      <c r="AK121" s="151"/>
      <c r="AL121" s="151"/>
      <c r="AM121" s="151"/>
      <c r="AN121" s="151"/>
      <c r="AO121" s="151"/>
      <c r="AP121" s="151"/>
      <c r="AQ121" s="151"/>
      <c r="AR121" s="151"/>
      <c r="AS121" s="151"/>
      <c r="AT121" s="151"/>
      <c r="AU121" s="151"/>
      <c r="AV121" s="151"/>
      <c r="AW121" s="151"/>
      <c r="AX121" s="151"/>
      <c r="AY121" s="151"/>
      <c r="AZ121" s="151"/>
      <c r="BA121" s="151"/>
      <c r="BB121" s="151"/>
      <c r="BC121" s="151"/>
      <c r="BD121" s="151"/>
      <c r="BE121" s="151"/>
      <c r="BF121" s="151"/>
      <c r="BG121" s="151"/>
      <c r="BH121" s="151"/>
      <c r="BI121" s="151"/>
      <c r="BJ121" s="151"/>
      <c r="BK121" s="151"/>
      <c r="BL121" s="122"/>
      <c r="BM121" s="122"/>
      <c r="BN121" s="122"/>
      <c r="BO121" s="122"/>
      <c r="BP121" s="122"/>
      <c r="BQ121" s="122"/>
      <c r="BR121" s="122"/>
    </row>
    <row r="122" spans="1:70" x14ac:dyDescent="0.25">
      <c r="A122" s="63"/>
      <c r="B122" s="138"/>
      <c r="C122" s="138"/>
      <c r="D122" s="138"/>
      <c r="E122" s="139"/>
      <c r="U122" s="151"/>
      <c r="V122" s="151"/>
      <c r="W122" s="151"/>
      <c r="X122" s="151"/>
      <c r="Y122" s="151"/>
      <c r="Z122" s="151"/>
      <c r="AA122" s="151"/>
      <c r="AB122" s="151"/>
      <c r="AC122" s="151"/>
      <c r="AD122" s="151"/>
      <c r="AE122" s="151"/>
      <c r="AF122" s="151"/>
      <c r="AG122" s="151"/>
      <c r="AH122" s="151"/>
      <c r="AI122" s="151"/>
      <c r="AJ122" s="151"/>
      <c r="AK122" s="151"/>
      <c r="AL122" s="151"/>
      <c r="AM122" s="151"/>
      <c r="AN122" s="151"/>
      <c r="AO122" s="151"/>
      <c r="AP122" s="151"/>
      <c r="AQ122" s="151"/>
      <c r="AR122" s="151"/>
      <c r="AS122" s="151"/>
      <c r="AT122" s="151"/>
      <c r="AU122" s="151"/>
      <c r="AV122" s="151"/>
      <c r="AW122" s="151"/>
      <c r="AX122" s="151"/>
      <c r="AY122" s="151"/>
      <c r="AZ122" s="151"/>
      <c r="BA122" s="151"/>
      <c r="BB122" s="151"/>
      <c r="BC122" s="151"/>
      <c r="BD122" s="151"/>
      <c r="BE122" s="151"/>
      <c r="BF122" s="151"/>
      <c r="BG122" s="151"/>
      <c r="BH122" s="151"/>
      <c r="BI122" s="151"/>
      <c r="BJ122" s="151"/>
      <c r="BK122" s="151"/>
      <c r="BL122" s="122"/>
      <c r="BM122" s="122"/>
      <c r="BN122" s="122"/>
      <c r="BO122" s="122"/>
      <c r="BP122" s="122"/>
      <c r="BQ122" s="122"/>
      <c r="BR122" s="122"/>
    </row>
    <row r="123" spans="1:70" x14ac:dyDescent="0.25">
      <c r="A123" s="52"/>
      <c r="B123" s="137"/>
      <c r="C123" s="137"/>
      <c r="D123" s="137"/>
      <c r="E123" s="53"/>
      <c r="U123" s="151"/>
      <c r="V123" s="151"/>
      <c r="W123" s="151"/>
      <c r="X123" s="151"/>
      <c r="Y123" s="151"/>
      <c r="Z123" s="151"/>
      <c r="AA123" s="151"/>
      <c r="AB123" s="151"/>
      <c r="AC123" s="151"/>
      <c r="AD123" s="151"/>
      <c r="AE123" s="151"/>
      <c r="AF123" s="151"/>
      <c r="AG123" s="151"/>
      <c r="AH123" s="151"/>
      <c r="AI123" s="151"/>
      <c r="AJ123" s="151"/>
      <c r="AK123" s="151"/>
      <c r="AL123" s="151"/>
      <c r="AM123" s="151"/>
      <c r="AN123" s="151"/>
      <c r="AO123" s="151"/>
      <c r="AP123" s="151"/>
      <c r="AQ123" s="151"/>
      <c r="AR123" s="151"/>
      <c r="AS123" s="151"/>
      <c r="AT123" s="151"/>
      <c r="AU123" s="151"/>
      <c r="AV123" s="151"/>
      <c r="AW123" s="151"/>
      <c r="AX123" s="151"/>
      <c r="AY123" s="151"/>
      <c r="AZ123" s="151"/>
      <c r="BA123" s="151"/>
      <c r="BB123" s="151"/>
      <c r="BC123" s="151"/>
      <c r="BD123" s="151"/>
      <c r="BE123" s="151"/>
      <c r="BF123" s="151"/>
      <c r="BG123" s="151"/>
      <c r="BH123" s="151"/>
      <c r="BI123" s="151"/>
      <c r="BJ123" s="151"/>
      <c r="BK123" s="151"/>
      <c r="BL123" s="122"/>
      <c r="BM123" s="122"/>
      <c r="BN123" s="122"/>
      <c r="BO123" s="122"/>
      <c r="BP123" s="122"/>
      <c r="BQ123" s="122"/>
      <c r="BR123" s="122"/>
    </row>
    <row r="124" spans="1:70" x14ac:dyDescent="0.25">
      <c r="A124" s="52"/>
      <c r="B124" s="137"/>
      <c r="C124" s="137"/>
      <c r="D124" s="137"/>
      <c r="E124" s="53"/>
      <c r="U124" s="151"/>
      <c r="V124" s="151"/>
      <c r="W124" s="151"/>
      <c r="X124" s="151"/>
      <c r="Y124" s="151"/>
      <c r="Z124" s="151"/>
      <c r="AA124" s="151"/>
      <c r="AB124" s="151"/>
      <c r="AC124" s="151"/>
      <c r="AD124" s="151"/>
      <c r="AE124" s="151"/>
      <c r="AF124" s="151"/>
      <c r="AG124" s="151"/>
      <c r="AH124" s="151"/>
      <c r="AI124" s="151"/>
      <c r="AJ124" s="151"/>
      <c r="AK124" s="151"/>
      <c r="AL124" s="151"/>
      <c r="AM124" s="151"/>
      <c r="AN124" s="151"/>
      <c r="AO124" s="151"/>
      <c r="AP124" s="151"/>
      <c r="AQ124" s="151"/>
      <c r="AR124" s="151"/>
      <c r="AS124" s="151"/>
      <c r="AT124" s="151"/>
      <c r="AU124" s="151"/>
      <c r="AV124" s="151"/>
      <c r="AW124" s="151"/>
      <c r="AX124" s="151"/>
      <c r="AY124" s="151"/>
      <c r="AZ124" s="151"/>
      <c r="BA124" s="151"/>
      <c r="BB124" s="151"/>
      <c r="BC124" s="151"/>
      <c r="BD124" s="151"/>
      <c r="BE124" s="151"/>
      <c r="BF124" s="151"/>
      <c r="BG124" s="151"/>
      <c r="BH124" s="151"/>
      <c r="BI124" s="151"/>
      <c r="BJ124" s="151"/>
      <c r="BK124" s="151"/>
      <c r="BL124" s="122"/>
      <c r="BM124" s="122"/>
      <c r="BN124" s="122"/>
      <c r="BO124" s="122"/>
      <c r="BP124" s="122"/>
      <c r="BQ124" s="122"/>
      <c r="BR124" s="122"/>
    </row>
    <row r="125" spans="1:70" x14ac:dyDescent="0.25">
      <c r="A125" s="52"/>
      <c r="B125" s="137"/>
      <c r="C125" s="137"/>
      <c r="D125" s="137"/>
      <c r="E125" s="53"/>
      <c r="U125" s="151"/>
      <c r="V125" s="151"/>
      <c r="W125" s="151"/>
      <c r="X125" s="151"/>
      <c r="Y125" s="151"/>
      <c r="Z125" s="151"/>
      <c r="AA125" s="151"/>
      <c r="AB125" s="151"/>
      <c r="AC125" s="151"/>
      <c r="AD125" s="151"/>
      <c r="AE125" s="151"/>
      <c r="AF125" s="151"/>
      <c r="AG125" s="151"/>
      <c r="AH125" s="151"/>
      <c r="AI125" s="151"/>
      <c r="AJ125" s="151"/>
      <c r="AK125" s="151"/>
      <c r="AL125" s="151"/>
      <c r="AM125" s="151"/>
      <c r="AN125" s="151"/>
      <c r="AO125" s="151"/>
      <c r="AP125" s="151"/>
      <c r="AQ125" s="151"/>
      <c r="AR125" s="151"/>
      <c r="AS125" s="151"/>
      <c r="AT125" s="151"/>
      <c r="AU125" s="151"/>
      <c r="AV125" s="151"/>
      <c r="AW125" s="151"/>
      <c r="AX125" s="151"/>
      <c r="AY125" s="151"/>
      <c r="AZ125" s="151"/>
      <c r="BA125" s="151"/>
      <c r="BB125" s="151"/>
      <c r="BC125" s="151"/>
      <c r="BD125" s="151"/>
      <c r="BE125" s="151"/>
      <c r="BF125" s="151"/>
      <c r="BG125" s="151"/>
      <c r="BH125" s="151"/>
      <c r="BI125" s="151"/>
      <c r="BJ125" s="151"/>
      <c r="BK125" s="151"/>
      <c r="BL125" s="122"/>
      <c r="BM125" s="122"/>
      <c r="BN125" s="122"/>
      <c r="BO125" s="122"/>
      <c r="BP125" s="122"/>
      <c r="BQ125" s="122"/>
      <c r="BR125" s="122"/>
    </row>
    <row r="126" spans="1:70" x14ac:dyDescent="0.25">
      <c r="A126" s="52"/>
      <c r="B126" s="137"/>
      <c r="C126" s="137"/>
      <c r="D126" s="137"/>
      <c r="E126" s="53"/>
      <c r="U126" s="151"/>
      <c r="V126" s="151"/>
      <c r="W126" s="151"/>
      <c r="X126" s="151"/>
      <c r="Y126" s="151"/>
      <c r="Z126" s="151"/>
      <c r="AA126" s="151"/>
      <c r="AB126" s="151"/>
      <c r="AC126" s="151"/>
      <c r="AD126" s="151"/>
      <c r="AE126" s="151"/>
      <c r="AF126" s="151"/>
      <c r="AG126" s="151"/>
      <c r="AH126" s="151"/>
      <c r="AI126" s="151"/>
      <c r="AJ126" s="151"/>
      <c r="AK126" s="151"/>
      <c r="AL126" s="151"/>
      <c r="AM126" s="151"/>
      <c r="AN126" s="151"/>
      <c r="AO126" s="151"/>
      <c r="AP126" s="151"/>
      <c r="AQ126" s="151"/>
      <c r="AR126" s="151"/>
      <c r="AS126" s="151"/>
      <c r="AT126" s="151"/>
      <c r="AU126" s="151"/>
      <c r="AV126" s="151"/>
      <c r="AW126" s="151"/>
      <c r="AX126" s="151"/>
      <c r="AY126" s="151"/>
      <c r="AZ126" s="151"/>
      <c r="BA126" s="151"/>
      <c r="BB126" s="151"/>
      <c r="BC126" s="151"/>
      <c r="BD126" s="151"/>
      <c r="BE126" s="151"/>
      <c r="BF126" s="151"/>
      <c r="BG126" s="151"/>
      <c r="BH126" s="151"/>
      <c r="BI126" s="151"/>
      <c r="BJ126" s="151"/>
      <c r="BK126" s="151"/>
      <c r="BL126" s="122"/>
      <c r="BM126" s="122"/>
      <c r="BN126" s="122"/>
      <c r="BO126" s="122"/>
      <c r="BP126" s="122"/>
      <c r="BQ126" s="122"/>
      <c r="BR126" s="122"/>
    </row>
    <row r="127" spans="1:70" x14ac:dyDescent="0.25">
      <c r="A127" s="63"/>
      <c r="B127" s="138"/>
      <c r="C127" s="138"/>
      <c r="D127" s="138"/>
      <c r="E127" s="139"/>
      <c r="U127" s="151"/>
      <c r="V127" s="151"/>
      <c r="W127" s="151"/>
      <c r="X127" s="151"/>
      <c r="Y127" s="151"/>
      <c r="Z127" s="151"/>
      <c r="AA127" s="151"/>
      <c r="AB127" s="151"/>
      <c r="AC127" s="151"/>
      <c r="AD127" s="151"/>
      <c r="AE127" s="151"/>
      <c r="AF127" s="151"/>
      <c r="AG127" s="151"/>
      <c r="AH127" s="151"/>
      <c r="AI127" s="151"/>
      <c r="AJ127" s="151"/>
      <c r="AK127" s="151"/>
      <c r="AL127" s="151"/>
      <c r="AM127" s="151"/>
      <c r="AN127" s="151"/>
      <c r="AO127" s="151"/>
      <c r="AP127" s="151"/>
      <c r="AQ127" s="151"/>
      <c r="AR127" s="151"/>
      <c r="AS127" s="151"/>
      <c r="AT127" s="151"/>
      <c r="AU127" s="151"/>
      <c r="AV127" s="151"/>
      <c r="AW127" s="151"/>
      <c r="AX127" s="151"/>
      <c r="AY127" s="151"/>
      <c r="AZ127" s="151"/>
      <c r="BA127" s="151"/>
      <c r="BB127" s="151"/>
      <c r="BC127" s="151"/>
      <c r="BD127" s="151"/>
      <c r="BE127" s="151"/>
      <c r="BF127" s="151"/>
      <c r="BG127" s="151"/>
      <c r="BH127" s="151"/>
      <c r="BI127" s="151"/>
      <c r="BJ127" s="151"/>
      <c r="BK127" s="151"/>
      <c r="BL127" s="122"/>
      <c r="BM127" s="122"/>
      <c r="BN127" s="122"/>
      <c r="BO127" s="122"/>
      <c r="BP127" s="122"/>
      <c r="BQ127" s="122"/>
      <c r="BR127" s="122"/>
    </row>
    <row r="128" spans="1:70" x14ac:dyDescent="0.25">
      <c r="A128" s="63"/>
      <c r="B128" s="138"/>
      <c r="C128" s="138"/>
      <c r="D128" s="138"/>
      <c r="E128" s="139"/>
      <c r="U128" s="151"/>
      <c r="V128" s="151"/>
      <c r="W128" s="151"/>
      <c r="X128" s="151"/>
      <c r="Y128" s="151"/>
      <c r="Z128" s="151"/>
      <c r="AA128" s="151"/>
      <c r="AB128" s="151"/>
      <c r="AC128" s="151"/>
      <c r="AD128" s="151"/>
      <c r="AE128" s="151"/>
      <c r="AF128" s="151"/>
      <c r="AG128" s="151"/>
      <c r="AH128" s="151"/>
      <c r="AI128" s="151"/>
      <c r="AJ128" s="151"/>
      <c r="AK128" s="151"/>
      <c r="AL128" s="151"/>
      <c r="AM128" s="151"/>
      <c r="AN128" s="151"/>
      <c r="AO128" s="151"/>
      <c r="AP128" s="151"/>
      <c r="AQ128" s="151"/>
      <c r="AR128" s="151"/>
      <c r="AS128" s="151"/>
      <c r="AT128" s="151"/>
      <c r="AU128" s="151"/>
      <c r="AV128" s="151"/>
      <c r="AW128" s="151"/>
      <c r="AX128" s="151"/>
      <c r="AY128" s="151"/>
      <c r="AZ128" s="151"/>
      <c r="BA128" s="151"/>
      <c r="BB128" s="151"/>
      <c r="BC128" s="151"/>
      <c r="BD128" s="151"/>
      <c r="BE128" s="151"/>
      <c r="BF128" s="151"/>
      <c r="BG128" s="151"/>
      <c r="BH128" s="151"/>
      <c r="BI128" s="151"/>
      <c r="BJ128" s="151"/>
      <c r="BK128" s="151"/>
      <c r="BL128" s="122"/>
      <c r="BM128" s="122"/>
      <c r="BN128" s="122"/>
      <c r="BO128" s="122"/>
      <c r="BP128" s="122"/>
      <c r="BQ128" s="122"/>
      <c r="BR128" s="122"/>
    </row>
    <row r="129" spans="1:70" x14ac:dyDescent="0.25">
      <c r="A129" s="63"/>
      <c r="B129" s="138"/>
      <c r="C129" s="138"/>
      <c r="D129" s="138"/>
      <c r="E129" s="139"/>
      <c r="U129" s="151"/>
      <c r="V129" s="151"/>
      <c r="W129" s="151"/>
      <c r="X129" s="151"/>
      <c r="Y129" s="151"/>
      <c r="Z129" s="151"/>
      <c r="AA129" s="151"/>
      <c r="AB129" s="151"/>
      <c r="AC129" s="151"/>
      <c r="AD129" s="151"/>
      <c r="AE129" s="151"/>
      <c r="AF129" s="151"/>
      <c r="AG129" s="151"/>
      <c r="AH129" s="151"/>
      <c r="AI129" s="151"/>
      <c r="AJ129" s="151"/>
      <c r="AK129" s="151"/>
      <c r="AL129" s="151"/>
      <c r="AM129" s="151"/>
      <c r="AN129" s="151"/>
      <c r="AO129" s="151"/>
      <c r="AP129" s="151"/>
      <c r="AQ129" s="151"/>
      <c r="AR129" s="151"/>
      <c r="AS129" s="151"/>
      <c r="AT129" s="151"/>
      <c r="AU129" s="151"/>
      <c r="AV129" s="151"/>
      <c r="AW129" s="151"/>
      <c r="AX129" s="151"/>
      <c r="AY129" s="151"/>
      <c r="AZ129" s="151"/>
      <c r="BA129" s="151"/>
      <c r="BB129" s="151"/>
      <c r="BC129" s="151"/>
      <c r="BD129" s="151"/>
      <c r="BE129" s="151"/>
      <c r="BF129" s="151"/>
      <c r="BG129" s="151"/>
      <c r="BH129" s="151"/>
      <c r="BI129" s="151"/>
      <c r="BJ129" s="151"/>
      <c r="BK129" s="151"/>
      <c r="BL129" s="122"/>
      <c r="BM129" s="122"/>
      <c r="BN129" s="122"/>
      <c r="BO129" s="122"/>
      <c r="BP129" s="122"/>
      <c r="BQ129" s="122"/>
      <c r="BR129" s="122"/>
    </row>
    <row r="130" spans="1:70" x14ac:dyDescent="0.25">
      <c r="A130" s="63"/>
      <c r="B130" s="138"/>
      <c r="C130" s="138"/>
      <c r="D130" s="138"/>
      <c r="E130" s="139"/>
      <c r="U130" s="151"/>
      <c r="V130" s="151"/>
      <c r="W130" s="151"/>
      <c r="X130" s="151"/>
      <c r="Y130" s="151"/>
      <c r="Z130" s="151"/>
      <c r="AA130" s="151"/>
      <c r="AB130" s="151"/>
      <c r="AC130" s="151"/>
      <c r="AD130" s="151"/>
      <c r="AE130" s="151"/>
      <c r="AF130" s="151"/>
      <c r="AG130" s="151"/>
      <c r="AH130" s="151"/>
      <c r="AI130" s="151"/>
      <c r="AJ130" s="151"/>
      <c r="AK130" s="151"/>
      <c r="AL130" s="151"/>
      <c r="AM130" s="151"/>
      <c r="AN130" s="151"/>
      <c r="AO130" s="151"/>
      <c r="AP130" s="151"/>
      <c r="AQ130" s="151"/>
      <c r="AR130" s="151"/>
      <c r="AS130" s="151"/>
      <c r="AT130" s="151"/>
      <c r="AU130" s="151"/>
      <c r="AV130" s="151"/>
      <c r="AW130" s="151"/>
      <c r="AX130" s="151"/>
      <c r="AY130" s="151"/>
      <c r="AZ130" s="151"/>
      <c r="BA130" s="151"/>
      <c r="BB130" s="151"/>
      <c r="BC130" s="151"/>
      <c r="BD130" s="151"/>
      <c r="BE130" s="151"/>
      <c r="BF130" s="151"/>
      <c r="BG130" s="151"/>
      <c r="BH130" s="151"/>
      <c r="BI130" s="151"/>
      <c r="BJ130" s="151"/>
      <c r="BK130" s="151"/>
      <c r="BL130" s="122"/>
      <c r="BM130" s="122"/>
      <c r="BN130" s="122"/>
      <c r="BO130" s="122"/>
      <c r="BP130" s="122"/>
      <c r="BQ130" s="122"/>
      <c r="BR130" s="122"/>
    </row>
    <row r="131" spans="1:70" x14ac:dyDescent="0.25">
      <c r="A131" s="63"/>
      <c r="B131" s="138"/>
      <c r="C131" s="138"/>
      <c r="D131" s="138"/>
      <c r="E131" s="139"/>
      <c r="U131" s="151"/>
      <c r="V131" s="151"/>
      <c r="W131" s="151"/>
      <c r="X131" s="151"/>
      <c r="Y131" s="151"/>
      <c r="Z131" s="151"/>
      <c r="AA131" s="151"/>
      <c r="AB131" s="151"/>
      <c r="AC131" s="151"/>
      <c r="AD131" s="151"/>
      <c r="AE131" s="151"/>
      <c r="AF131" s="151"/>
      <c r="AG131" s="151"/>
      <c r="AH131" s="151"/>
      <c r="AI131" s="151"/>
      <c r="AJ131" s="151"/>
      <c r="AK131" s="151"/>
      <c r="AL131" s="151"/>
      <c r="AM131" s="151"/>
      <c r="AN131" s="151"/>
      <c r="AO131" s="151"/>
      <c r="AP131" s="151"/>
      <c r="AQ131" s="151"/>
      <c r="AR131" s="151"/>
      <c r="AS131" s="151"/>
      <c r="AT131" s="151"/>
      <c r="AU131" s="151"/>
      <c r="AV131" s="151"/>
      <c r="AW131" s="151"/>
      <c r="AX131" s="151"/>
      <c r="AY131" s="151"/>
      <c r="AZ131" s="151"/>
      <c r="BA131" s="151"/>
      <c r="BB131" s="151"/>
      <c r="BC131" s="151"/>
      <c r="BD131" s="151"/>
      <c r="BE131" s="151"/>
      <c r="BF131" s="151"/>
      <c r="BG131" s="151"/>
      <c r="BH131" s="151"/>
      <c r="BI131" s="151"/>
      <c r="BJ131" s="151"/>
      <c r="BK131" s="151"/>
      <c r="BL131" s="122"/>
      <c r="BM131" s="122"/>
      <c r="BN131" s="122"/>
      <c r="BO131" s="122"/>
      <c r="BP131" s="122"/>
      <c r="BQ131" s="122"/>
      <c r="BR131" s="122"/>
    </row>
    <row r="132" spans="1:70" x14ac:dyDescent="0.25">
      <c r="A132" s="63"/>
      <c r="B132" s="138"/>
      <c r="C132" s="138"/>
      <c r="D132" s="138"/>
      <c r="E132" s="139"/>
      <c r="U132" s="151"/>
      <c r="V132" s="151"/>
      <c r="W132" s="151"/>
      <c r="X132" s="151"/>
      <c r="Y132" s="151"/>
      <c r="Z132" s="151"/>
      <c r="AA132" s="151"/>
      <c r="AB132" s="151"/>
      <c r="AC132" s="151"/>
      <c r="AD132" s="151"/>
      <c r="AE132" s="151"/>
      <c r="AF132" s="151"/>
      <c r="AG132" s="151"/>
      <c r="AH132" s="151"/>
      <c r="AI132" s="151"/>
      <c r="AJ132" s="151"/>
      <c r="AK132" s="151"/>
      <c r="AL132" s="151"/>
      <c r="AM132" s="151"/>
      <c r="AN132" s="151"/>
      <c r="AO132" s="151"/>
      <c r="AP132" s="151"/>
      <c r="AQ132" s="151"/>
      <c r="AR132" s="151"/>
      <c r="AS132" s="151"/>
      <c r="AT132" s="151"/>
      <c r="AU132" s="151"/>
      <c r="AV132" s="151"/>
      <c r="AW132" s="151"/>
      <c r="AX132" s="151"/>
      <c r="AY132" s="151"/>
      <c r="AZ132" s="151"/>
      <c r="BA132" s="151"/>
      <c r="BB132" s="151"/>
      <c r="BC132" s="151"/>
      <c r="BD132" s="151"/>
      <c r="BE132" s="151"/>
      <c r="BF132" s="151"/>
      <c r="BG132" s="151"/>
      <c r="BH132" s="151"/>
      <c r="BI132" s="151"/>
      <c r="BJ132" s="151"/>
      <c r="BK132" s="151"/>
      <c r="BL132" s="122"/>
      <c r="BM132" s="122"/>
      <c r="BN132" s="122"/>
      <c r="BO132" s="122"/>
      <c r="BP132" s="122"/>
      <c r="BQ132" s="122"/>
      <c r="BR132" s="122"/>
    </row>
    <row r="133" spans="1:70" x14ac:dyDescent="0.25">
      <c r="A133" s="63"/>
      <c r="B133" s="138"/>
      <c r="C133" s="138"/>
      <c r="D133" s="138"/>
      <c r="E133" s="139"/>
      <c r="U133" s="151"/>
      <c r="V133" s="151"/>
      <c r="W133" s="151"/>
      <c r="X133" s="151"/>
      <c r="Y133" s="151"/>
      <c r="Z133" s="151"/>
      <c r="AA133" s="151"/>
      <c r="AB133" s="151"/>
      <c r="AC133" s="151"/>
      <c r="AD133" s="151"/>
      <c r="AE133" s="151"/>
      <c r="AF133" s="151"/>
      <c r="AG133" s="151"/>
      <c r="AH133" s="151"/>
      <c r="AI133" s="151"/>
      <c r="AJ133" s="151"/>
      <c r="AK133" s="151"/>
      <c r="AL133" s="151"/>
      <c r="AM133" s="151"/>
      <c r="AN133" s="151"/>
      <c r="AO133" s="151"/>
      <c r="AP133" s="151"/>
      <c r="AQ133" s="151"/>
      <c r="AR133" s="151"/>
      <c r="AS133" s="151"/>
      <c r="AT133" s="151"/>
      <c r="AU133" s="151"/>
      <c r="AV133" s="151"/>
      <c r="AW133" s="151"/>
      <c r="AX133" s="151"/>
      <c r="AY133" s="151"/>
      <c r="AZ133" s="151"/>
      <c r="BA133" s="151"/>
      <c r="BB133" s="151"/>
      <c r="BC133" s="151"/>
      <c r="BD133" s="151"/>
      <c r="BE133" s="151"/>
      <c r="BF133" s="151"/>
      <c r="BG133" s="151"/>
      <c r="BH133" s="151"/>
      <c r="BI133" s="151"/>
      <c r="BJ133" s="151"/>
      <c r="BK133" s="151"/>
      <c r="BL133" s="122"/>
      <c r="BM133" s="122"/>
      <c r="BN133" s="122"/>
      <c r="BO133" s="122"/>
      <c r="BP133" s="122"/>
      <c r="BQ133" s="122"/>
      <c r="BR133" s="122"/>
    </row>
    <row r="134" spans="1:70" x14ac:dyDescent="0.25">
      <c r="A134" s="63"/>
      <c r="B134" s="138"/>
      <c r="C134" s="138"/>
      <c r="D134" s="138"/>
      <c r="E134" s="139"/>
      <c r="U134" s="151"/>
      <c r="V134" s="151"/>
      <c r="W134" s="151"/>
      <c r="X134" s="151"/>
      <c r="Y134" s="151"/>
      <c r="Z134" s="151"/>
      <c r="AA134" s="151"/>
      <c r="AB134" s="151"/>
      <c r="AC134" s="151"/>
      <c r="AD134" s="151"/>
      <c r="AE134" s="151"/>
      <c r="AF134" s="151"/>
      <c r="AG134" s="151"/>
      <c r="AH134" s="151"/>
      <c r="AI134" s="151"/>
      <c r="AJ134" s="151"/>
      <c r="AK134" s="151"/>
      <c r="AL134" s="151"/>
      <c r="AM134" s="151"/>
      <c r="AN134" s="151"/>
      <c r="AO134" s="151"/>
      <c r="AP134" s="151"/>
      <c r="AQ134" s="151"/>
      <c r="AR134" s="151"/>
      <c r="AS134" s="151"/>
      <c r="AT134" s="151"/>
      <c r="AU134" s="151"/>
      <c r="AV134" s="151"/>
      <c r="AW134" s="151"/>
      <c r="AX134" s="151"/>
      <c r="AY134" s="151"/>
      <c r="AZ134" s="151"/>
      <c r="BA134" s="151"/>
      <c r="BB134" s="151"/>
      <c r="BC134" s="151"/>
      <c r="BD134" s="151"/>
      <c r="BE134" s="151"/>
      <c r="BF134" s="151"/>
      <c r="BG134" s="151"/>
      <c r="BH134" s="151"/>
      <c r="BI134" s="151"/>
      <c r="BJ134" s="151"/>
      <c r="BK134" s="151"/>
      <c r="BL134" s="122"/>
      <c r="BM134" s="122"/>
      <c r="BN134" s="122"/>
      <c r="BO134" s="122"/>
      <c r="BP134" s="122"/>
      <c r="BQ134" s="122"/>
      <c r="BR134" s="122"/>
    </row>
    <row r="135" spans="1:70" x14ac:dyDescent="0.25">
      <c r="A135" s="63"/>
      <c r="B135" s="138"/>
      <c r="C135" s="138"/>
      <c r="D135" s="138"/>
      <c r="E135" s="139"/>
      <c r="U135" s="151"/>
      <c r="V135" s="151"/>
      <c r="W135" s="151"/>
      <c r="X135" s="151"/>
      <c r="Y135" s="151"/>
      <c r="Z135" s="151"/>
      <c r="AA135" s="151"/>
      <c r="AB135" s="151"/>
      <c r="AC135" s="151"/>
      <c r="AD135" s="151"/>
      <c r="AE135" s="151"/>
      <c r="AF135" s="151"/>
      <c r="AG135" s="151"/>
      <c r="AH135" s="151"/>
      <c r="AI135" s="151"/>
      <c r="AJ135" s="151"/>
      <c r="AK135" s="151"/>
      <c r="AL135" s="151"/>
      <c r="AM135" s="151"/>
      <c r="AN135" s="151"/>
      <c r="AO135" s="151"/>
      <c r="AP135" s="151"/>
      <c r="AQ135" s="151"/>
      <c r="AR135" s="151"/>
      <c r="AS135" s="151"/>
      <c r="AT135" s="151"/>
      <c r="AU135" s="151"/>
      <c r="AV135" s="151"/>
      <c r="AW135" s="151"/>
      <c r="AX135" s="151"/>
      <c r="AY135" s="151"/>
      <c r="AZ135" s="151"/>
      <c r="BA135" s="151"/>
      <c r="BB135" s="151"/>
      <c r="BC135" s="151"/>
      <c r="BD135" s="151"/>
      <c r="BE135" s="151"/>
      <c r="BF135" s="151"/>
      <c r="BG135" s="151"/>
      <c r="BH135" s="151"/>
      <c r="BI135" s="151"/>
      <c r="BJ135" s="151"/>
      <c r="BK135" s="151"/>
      <c r="BL135" s="122"/>
      <c r="BM135" s="122"/>
      <c r="BN135" s="122"/>
      <c r="BO135" s="122"/>
      <c r="BP135" s="122"/>
      <c r="BQ135" s="122"/>
      <c r="BR135" s="122"/>
    </row>
    <row r="136" spans="1:70" x14ac:dyDescent="0.25">
      <c r="A136" s="63"/>
      <c r="B136" s="138"/>
      <c r="C136" s="138"/>
      <c r="D136" s="138"/>
      <c r="E136" s="139"/>
      <c r="U136" s="151"/>
      <c r="V136" s="151"/>
      <c r="W136" s="151"/>
      <c r="X136" s="151"/>
      <c r="Y136" s="151"/>
      <c r="Z136" s="151"/>
      <c r="AA136" s="151"/>
      <c r="AB136" s="151"/>
      <c r="AC136" s="151"/>
      <c r="AD136" s="151"/>
      <c r="AE136" s="151"/>
      <c r="AF136" s="151"/>
      <c r="AG136" s="151"/>
      <c r="AH136" s="151"/>
      <c r="AI136" s="151"/>
      <c r="AJ136" s="151"/>
      <c r="AK136" s="151"/>
      <c r="AL136" s="151"/>
      <c r="AM136" s="151"/>
      <c r="AN136" s="151"/>
      <c r="AO136" s="151"/>
      <c r="AP136" s="151"/>
      <c r="AQ136" s="151"/>
      <c r="AR136" s="151"/>
      <c r="AS136" s="151"/>
      <c r="AT136" s="151"/>
      <c r="AU136" s="151"/>
      <c r="AV136" s="151"/>
      <c r="AW136" s="151"/>
      <c r="AX136" s="151"/>
      <c r="AY136" s="151"/>
      <c r="AZ136" s="151"/>
      <c r="BA136" s="151"/>
      <c r="BB136" s="151"/>
      <c r="BC136" s="151"/>
      <c r="BD136" s="151"/>
      <c r="BE136" s="151"/>
      <c r="BF136" s="151"/>
      <c r="BG136" s="151"/>
      <c r="BH136" s="151"/>
      <c r="BI136" s="151"/>
      <c r="BJ136" s="151"/>
      <c r="BK136" s="151"/>
      <c r="BL136" s="122"/>
      <c r="BM136" s="122"/>
      <c r="BN136" s="122"/>
      <c r="BO136" s="122"/>
      <c r="BP136" s="122"/>
      <c r="BQ136" s="122"/>
      <c r="BR136" s="122"/>
    </row>
    <row r="137" spans="1:70" x14ac:dyDescent="0.25">
      <c r="A137" s="63"/>
      <c r="B137" s="138"/>
      <c r="C137" s="138"/>
      <c r="D137" s="138"/>
      <c r="E137" s="139"/>
      <c r="U137" s="151"/>
      <c r="V137" s="151"/>
      <c r="W137" s="151"/>
      <c r="X137" s="151"/>
      <c r="Y137" s="151"/>
      <c r="Z137" s="151"/>
      <c r="AA137" s="151"/>
      <c r="AB137" s="151"/>
      <c r="AC137" s="151"/>
      <c r="AD137" s="151"/>
      <c r="AE137" s="151"/>
      <c r="AF137" s="151"/>
      <c r="AG137" s="151"/>
      <c r="AH137" s="151"/>
      <c r="AI137" s="151"/>
      <c r="AJ137" s="151"/>
      <c r="AK137" s="151"/>
      <c r="AL137" s="151"/>
      <c r="AM137" s="151"/>
      <c r="AN137" s="151"/>
      <c r="AO137" s="151"/>
      <c r="AP137" s="151"/>
      <c r="AQ137" s="151"/>
      <c r="AR137" s="151"/>
      <c r="AS137" s="151"/>
      <c r="AT137" s="151"/>
      <c r="AU137" s="151"/>
      <c r="AV137" s="151"/>
      <c r="AW137" s="151"/>
      <c r="AX137" s="151"/>
      <c r="AY137" s="151"/>
      <c r="AZ137" s="151"/>
      <c r="BA137" s="151"/>
      <c r="BB137" s="151"/>
      <c r="BC137" s="151"/>
      <c r="BD137" s="151"/>
      <c r="BE137" s="151"/>
      <c r="BF137" s="151"/>
      <c r="BG137" s="151"/>
      <c r="BH137" s="151"/>
      <c r="BI137" s="151"/>
      <c r="BJ137" s="151"/>
      <c r="BK137" s="151"/>
      <c r="BL137" s="122"/>
      <c r="BM137" s="122"/>
      <c r="BN137" s="122"/>
      <c r="BO137" s="122"/>
      <c r="BP137" s="122"/>
      <c r="BQ137" s="122"/>
      <c r="BR137" s="122"/>
    </row>
    <row r="138" spans="1:70" x14ac:dyDescent="0.25">
      <c r="A138" s="63"/>
      <c r="B138" s="138"/>
      <c r="C138" s="138"/>
      <c r="D138" s="138"/>
      <c r="E138" s="139"/>
      <c r="U138" s="151"/>
      <c r="V138" s="151"/>
      <c r="W138" s="151"/>
      <c r="X138" s="151"/>
      <c r="Y138" s="151"/>
      <c r="Z138" s="151"/>
      <c r="AA138" s="151"/>
      <c r="AB138" s="151"/>
      <c r="AC138" s="151"/>
      <c r="AD138" s="151"/>
      <c r="AE138" s="151"/>
      <c r="AF138" s="151"/>
      <c r="AG138" s="151"/>
      <c r="AH138" s="151"/>
      <c r="AI138" s="151"/>
      <c r="AJ138" s="151"/>
      <c r="AK138" s="151"/>
      <c r="AL138" s="151"/>
      <c r="AM138" s="151"/>
      <c r="AN138" s="151"/>
      <c r="AO138" s="151"/>
      <c r="AP138" s="151"/>
      <c r="AQ138" s="151"/>
      <c r="AR138" s="151"/>
      <c r="AS138" s="151"/>
      <c r="AT138" s="151"/>
      <c r="AU138" s="151"/>
      <c r="AV138" s="151"/>
      <c r="AW138" s="151"/>
      <c r="AX138" s="151"/>
      <c r="AY138" s="151"/>
      <c r="AZ138" s="151"/>
      <c r="BA138" s="151"/>
      <c r="BB138" s="151"/>
      <c r="BC138" s="151"/>
      <c r="BD138" s="151"/>
      <c r="BE138" s="151"/>
      <c r="BF138" s="151"/>
      <c r="BG138" s="151"/>
      <c r="BH138" s="151"/>
      <c r="BI138" s="151"/>
      <c r="BJ138" s="151"/>
      <c r="BK138" s="151"/>
      <c r="BL138" s="122"/>
      <c r="BM138" s="122"/>
      <c r="BN138" s="122"/>
      <c r="BO138" s="122"/>
      <c r="BP138" s="122"/>
      <c r="BQ138" s="122"/>
      <c r="BR138" s="122"/>
    </row>
    <row r="139" spans="1:70" x14ac:dyDescent="0.25">
      <c r="A139" s="63"/>
      <c r="B139" s="138"/>
      <c r="C139" s="138"/>
      <c r="D139" s="138"/>
      <c r="E139" s="139"/>
      <c r="U139" s="151"/>
      <c r="V139" s="151"/>
      <c r="W139" s="151"/>
      <c r="X139" s="151"/>
      <c r="Y139" s="151"/>
      <c r="Z139" s="151"/>
      <c r="AA139" s="151"/>
      <c r="AB139" s="151"/>
      <c r="AC139" s="151"/>
      <c r="AD139" s="151"/>
      <c r="AE139" s="151"/>
      <c r="AF139" s="151"/>
      <c r="AG139" s="151"/>
      <c r="AH139" s="151"/>
      <c r="AI139" s="151"/>
      <c r="AJ139" s="151"/>
      <c r="AK139" s="151"/>
      <c r="AL139" s="151"/>
      <c r="AM139" s="151"/>
      <c r="AN139" s="151"/>
      <c r="AO139" s="151"/>
      <c r="AP139" s="151"/>
      <c r="AQ139" s="151"/>
      <c r="AR139" s="151"/>
      <c r="AS139" s="151"/>
      <c r="AT139" s="151"/>
      <c r="AU139" s="151"/>
      <c r="AV139" s="151"/>
      <c r="AW139" s="151"/>
      <c r="AX139" s="151"/>
      <c r="AY139" s="151"/>
      <c r="AZ139" s="151"/>
      <c r="BA139" s="151"/>
      <c r="BB139" s="151"/>
      <c r="BC139" s="151"/>
      <c r="BD139" s="151"/>
      <c r="BE139" s="151"/>
      <c r="BF139" s="151"/>
      <c r="BG139" s="151"/>
      <c r="BH139" s="151"/>
      <c r="BI139" s="151"/>
      <c r="BJ139" s="151"/>
      <c r="BK139" s="151"/>
      <c r="BL139" s="122"/>
      <c r="BM139" s="122"/>
      <c r="BN139" s="122"/>
      <c r="BO139" s="122"/>
      <c r="BP139" s="122"/>
      <c r="BQ139" s="122"/>
      <c r="BR139" s="122"/>
    </row>
    <row r="140" spans="1:70" x14ac:dyDescent="0.25">
      <c r="A140" s="63"/>
      <c r="B140" s="138"/>
      <c r="C140" s="138"/>
      <c r="D140" s="138"/>
      <c r="E140" s="139"/>
      <c r="U140" s="151"/>
      <c r="V140" s="151"/>
      <c r="W140" s="151"/>
      <c r="X140" s="151"/>
      <c r="Y140" s="151"/>
      <c r="Z140" s="151"/>
      <c r="AA140" s="151"/>
      <c r="AB140" s="151"/>
      <c r="AC140" s="151"/>
      <c r="AD140" s="151"/>
      <c r="AE140" s="151"/>
      <c r="AF140" s="151"/>
      <c r="AG140" s="151"/>
      <c r="AH140" s="151"/>
      <c r="AI140" s="151"/>
      <c r="AJ140" s="151"/>
      <c r="AK140" s="151"/>
      <c r="AL140" s="151"/>
      <c r="AM140" s="151"/>
      <c r="AN140" s="151"/>
      <c r="AO140" s="151"/>
      <c r="AP140" s="151"/>
      <c r="AQ140" s="151"/>
      <c r="AR140" s="151"/>
      <c r="AS140" s="151"/>
      <c r="AT140" s="151"/>
      <c r="AU140" s="151"/>
      <c r="AV140" s="151"/>
      <c r="AW140" s="151"/>
      <c r="AX140" s="151"/>
      <c r="AY140" s="151"/>
      <c r="AZ140" s="151"/>
      <c r="BA140" s="151"/>
      <c r="BB140" s="151"/>
      <c r="BC140" s="151"/>
      <c r="BD140" s="151"/>
      <c r="BE140" s="151"/>
      <c r="BF140" s="151"/>
      <c r="BG140" s="151"/>
      <c r="BH140" s="151"/>
      <c r="BI140" s="151"/>
      <c r="BJ140" s="151"/>
      <c r="BK140" s="151"/>
      <c r="BL140" s="122"/>
      <c r="BM140" s="122"/>
      <c r="BN140" s="122"/>
      <c r="BO140" s="122"/>
      <c r="BP140" s="122"/>
      <c r="BQ140" s="122"/>
      <c r="BR140" s="122"/>
    </row>
    <row r="141" spans="1:70" ht="16.5" x14ac:dyDescent="0.3">
      <c r="A141" s="63"/>
      <c r="B141" s="126"/>
      <c r="C141" s="127"/>
      <c r="D141" s="128"/>
      <c r="E141" s="139"/>
      <c r="U141" s="151"/>
      <c r="V141" s="151"/>
      <c r="W141" s="151"/>
      <c r="X141" s="151"/>
      <c r="Y141" s="151"/>
      <c r="Z141" s="151"/>
      <c r="AA141" s="151"/>
      <c r="AB141" s="151"/>
      <c r="AC141" s="151"/>
      <c r="AD141" s="151"/>
      <c r="AE141" s="151"/>
      <c r="AF141" s="151"/>
      <c r="AG141" s="151"/>
      <c r="AH141" s="151"/>
      <c r="AI141" s="151"/>
      <c r="AJ141" s="151"/>
      <c r="AK141" s="151"/>
      <c r="AL141" s="151"/>
      <c r="AM141" s="151"/>
      <c r="AN141" s="151"/>
      <c r="AO141" s="151"/>
      <c r="AP141" s="151"/>
      <c r="AQ141" s="151"/>
      <c r="AR141" s="151"/>
      <c r="AS141" s="151"/>
      <c r="AT141" s="151"/>
      <c r="AU141" s="151"/>
      <c r="AV141" s="151"/>
      <c r="AW141" s="151"/>
      <c r="AX141" s="151"/>
      <c r="AY141" s="151"/>
      <c r="AZ141" s="151"/>
      <c r="BA141" s="151"/>
      <c r="BB141" s="151"/>
      <c r="BC141" s="151"/>
      <c r="BD141" s="151"/>
      <c r="BE141" s="151"/>
      <c r="BF141" s="151"/>
      <c r="BG141" s="151"/>
      <c r="BH141" s="151"/>
      <c r="BI141" s="151"/>
      <c r="BJ141" s="151"/>
      <c r="BK141" s="151"/>
      <c r="BL141" s="122"/>
      <c r="BM141" s="122"/>
      <c r="BN141" s="122"/>
      <c r="BO141" s="122"/>
      <c r="BP141" s="122"/>
      <c r="BQ141" s="122"/>
      <c r="BR141" s="122"/>
    </row>
    <row r="142" spans="1:70" ht="16.5" x14ac:dyDescent="0.3">
      <c r="A142" s="63"/>
      <c r="B142" s="126"/>
      <c r="C142" s="127"/>
      <c r="D142" s="128"/>
      <c r="E142" s="139"/>
      <c r="U142" s="151"/>
      <c r="V142" s="151"/>
      <c r="W142" s="151"/>
      <c r="X142" s="151"/>
      <c r="Y142" s="151"/>
      <c r="Z142" s="151"/>
      <c r="AA142" s="151"/>
      <c r="AB142" s="151"/>
      <c r="AC142" s="151"/>
      <c r="AD142" s="151"/>
      <c r="AE142" s="151"/>
      <c r="AF142" s="151"/>
      <c r="AG142" s="151"/>
      <c r="AH142" s="151"/>
      <c r="AI142" s="151"/>
      <c r="AJ142" s="151"/>
      <c r="AK142" s="151"/>
      <c r="AL142" s="151"/>
      <c r="AM142" s="151"/>
      <c r="AN142" s="151"/>
      <c r="AO142" s="151"/>
      <c r="AP142" s="151"/>
      <c r="AQ142" s="151"/>
      <c r="AR142" s="151"/>
      <c r="AS142" s="151"/>
      <c r="AT142" s="151"/>
      <c r="AU142" s="151"/>
      <c r="AV142" s="151"/>
      <c r="AW142" s="151"/>
      <c r="AX142" s="151"/>
      <c r="AY142" s="151"/>
      <c r="AZ142" s="151"/>
      <c r="BA142" s="151"/>
      <c r="BB142" s="151"/>
      <c r="BC142" s="151"/>
      <c r="BD142" s="151"/>
      <c r="BE142" s="151"/>
      <c r="BF142" s="151"/>
      <c r="BG142" s="151"/>
      <c r="BH142" s="151"/>
      <c r="BI142" s="151"/>
      <c r="BJ142" s="151"/>
      <c r="BK142" s="151"/>
      <c r="BL142" s="122"/>
      <c r="BM142" s="122"/>
      <c r="BN142" s="122"/>
      <c r="BO142" s="122"/>
      <c r="BP142" s="122"/>
      <c r="BQ142" s="122"/>
      <c r="BR142" s="122"/>
    </row>
    <row r="143" spans="1:70" ht="16.5" x14ac:dyDescent="0.3">
      <c r="A143" s="63"/>
      <c r="B143" s="126"/>
      <c r="C143" s="127"/>
      <c r="D143" s="128"/>
      <c r="E143" s="139"/>
      <c r="U143" s="151"/>
      <c r="V143" s="151"/>
      <c r="W143" s="151"/>
      <c r="X143" s="151"/>
      <c r="Y143" s="151"/>
      <c r="Z143" s="151"/>
      <c r="AA143" s="151"/>
      <c r="AB143" s="151"/>
      <c r="AC143" s="151"/>
      <c r="AD143" s="151"/>
      <c r="AE143" s="151"/>
      <c r="AF143" s="151"/>
      <c r="AG143" s="151"/>
      <c r="AH143" s="151"/>
      <c r="AI143" s="151"/>
      <c r="AJ143" s="151"/>
      <c r="AK143" s="151"/>
      <c r="AL143" s="151"/>
      <c r="AM143" s="151"/>
      <c r="AN143" s="151"/>
      <c r="AO143" s="151"/>
      <c r="AP143" s="151"/>
      <c r="AQ143" s="151"/>
      <c r="AR143" s="151"/>
      <c r="AS143" s="151"/>
      <c r="AT143" s="151"/>
      <c r="AU143" s="151"/>
      <c r="AV143" s="151"/>
      <c r="AW143" s="151"/>
      <c r="AX143" s="151"/>
      <c r="AY143" s="151"/>
      <c r="AZ143" s="151"/>
      <c r="BA143" s="151"/>
      <c r="BB143" s="151"/>
      <c r="BC143" s="151"/>
      <c r="BD143" s="151"/>
      <c r="BE143" s="151"/>
      <c r="BF143" s="151"/>
      <c r="BG143" s="151"/>
      <c r="BH143" s="151"/>
      <c r="BI143" s="151"/>
      <c r="BJ143" s="151"/>
      <c r="BK143" s="151"/>
      <c r="BL143" s="122"/>
      <c r="BM143" s="122"/>
      <c r="BN143" s="122"/>
      <c r="BO143" s="122"/>
      <c r="BP143" s="122"/>
      <c r="BQ143" s="122"/>
      <c r="BR143" s="122"/>
    </row>
    <row r="144" spans="1:70" ht="16.5" x14ac:dyDescent="0.3">
      <c r="A144" s="63"/>
      <c r="B144" s="126"/>
      <c r="C144" s="127"/>
      <c r="D144" s="128"/>
      <c r="E144" s="139"/>
      <c r="U144" s="151"/>
      <c r="V144" s="151"/>
      <c r="W144" s="151"/>
      <c r="X144" s="151"/>
      <c r="Y144" s="151"/>
      <c r="Z144" s="151"/>
      <c r="AA144" s="151"/>
      <c r="AB144" s="151"/>
      <c r="AC144" s="151"/>
      <c r="AD144" s="151"/>
      <c r="AE144" s="151"/>
      <c r="AF144" s="151"/>
      <c r="AG144" s="151"/>
      <c r="AH144" s="151"/>
      <c r="AI144" s="151"/>
      <c r="AJ144" s="151"/>
      <c r="AK144" s="151"/>
      <c r="AL144" s="151"/>
      <c r="AM144" s="151"/>
      <c r="AN144" s="151"/>
      <c r="AO144" s="151"/>
      <c r="AP144" s="151"/>
      <c r="AQ144" s="151"/>
      <c r="AR144" s="151"/>
      <c r="AS144" s="151"/>
      <c r="AT144" s="151"/>
      <c r="AU144" s="151"/>
      <c r="AV144" s="151"/>
      <c r="AW144" s="151"/>
      <c r="AX144" s="151"/>
      <c r="AY144" s="151"/>
      <c r="AZ144" s="151"/>
      <c r="BA144" s="151"/>
      <c r="BB144" s="151"/>
      <c r="BC144" s="151"/>
      <c r="BD144" s="151"/>
      <c r="BE144" s="151"/>
      <c r="BF144" s="151"/>
      <c r="BG144" s="151"/>
      <c r="BH144" s="151"/>
      <c r="BI144" s="151"/>
      <c r="BJ144" s="151"/>
      <c r="BK144" s="151"/>
      <c r="BL144" s="122"/>
      <c r="BM144" s="122"/>
      <c r="BN144" s="122"/>
      <c r="BO144" s="122"/>
      <c r="BP144" s="122"/>
      <c r="BQ144" s="122"/>
      <c r="BR144" s="122"/>
    </row>
    <row r="145" spans="1:70" ht="16.5" x14ac:dyDescent="0.3">
      <c r="A145" s="63"/>
      <c r="B145" s="126"/>
      <c r="C145" s="127"/>
      <c r="D145" s="128"/>
      <c r="E145" s="139"/>
      <c r="U145" s="151"/>
      <c r="V145" s="151"/>
      <c r="W145" s="151"/>
      <c r="X145" s="151"/>
      <c r="Y145" s="151"/>
      <c r="Z145" s="151"/>
      <c r="AA145" s="151"/>
      <c r="AB145" s="151"/>
      <c r="AC145" s="151"/>
      <c r="AD145" s="151"/>
      <c r="AE145" s="151"/>
      <c r="AF145" s="151"/>
      <c r="AG145" s="151"/>
      <c r="AH145" s="151"/>
      <c r="AI145" s="151"/>
      <c r="AJ145" s="151"/>
      <c r="AK145" s="151"/>
      <c r="AL145" s="151"/>
      <c r="AM145" s="151"/>
      <c r="AN145" s="151"/>
      <c r="AO145" s="151"/>
      <c r="AP145" s="151"/>
      <c r="AQ145" s="151"/>
      <c r="AR145" s="151"/>
      <c r="AS145" s="151"/>
      <c r="AT145" s="151"/>
      <c r="AU145" s="151"/>
      <c r="AV145" s="151"/>
      <c r="AW145" s="151"/>
      <c r="AX145" s="151"/>
      <c r="AY145" s="151"/>
      <c r="AZ145" s="151"/>
      <c r="BA145" s="151"/>
      <c r="BB145" s="151"/>
      <c r="BC145" s="151"/>
      <c r="BD145" s="151"/>
      <c r="BE145" s="151"/>
      <c r="BF145" s="151"/>
      <c r="BG145" s="151"/>
      <c r="BH145" s="151"/>
      <c r="BI145" s="151"/>
      <c r="BJ145" s="151"/>
      <c r="BK145" s="151"/>
      <c r="BL145" s="122"/>
      <c r="BM145" s="122"/>
      <c r="BN145" s="122"/>
      <c r="BO145" s="122"/>
      <c r="BP145" s="122"/>
      <c r="BQ145" s="122"/>
      <c r="BR145" s="122"/>
    </row>
    <row r="146" spans="1:70" ht="16.5" x14ac:dyDescent="0.3">
      <c r="A146" s="63"/>
      <c r="B146" s="126"/>
      <c r="C146" s="127"/>
      <c r="D146" s="128"/>
      <c r="E146" s="139"/>
      <c r="U146" s="151"/>
      <c r="V146" s="151"/>
      <c r="W146" s="151"/>
      <c r="X146" s="151"/>
      <c r="Y146" s="151"/>
      <c r="Z146" s="151"/>
      <c r="AA146" s="151"/>
      <c r="AB146" s="151"/>
      <c r="AC146" s="151"/>
      <c r="AD146" s="151"/>
      <c r="AE146" s="151"/>
      <c r="AF146" s="151"/>
      <c r="AG146" s="151"/>
      <c r="AH146" s="151"/>
      <c r="AI146" s="151"/>
      <c r="AJ146" s="151"/>
      <c r="AK146" s="151"/>
      <c r="AL146" s="151"/>
      <c r="AM146" s="151"/>
      <c r="AN146" s="151"/>
      <c r="AO146" s="151"/>
      <c r="AP146" s="151"/>
      <c r="AQ146" s="151"/>
      <c r="AR146" s="151"/>
      <c r="AS146" s="151"/>
      <c r="AT146" s="151"/>
      <c r="AU146" s="151"/>
      <c r="AV146" s="151"/>
      <c r="AW146" s="151"/>
      <c r="AX146" s="151"/>
      <c r="AY146" s="151"/>
      <c r="AZ146" s="151"/>
      <c r="BA146" s="151"/>
      <c r="BB146" s="151"/>
      <c r="BC146" s="151"/>
      <c r="BD146" s="151"/>
      <c r="BE146" s="151"/>
      <c r="BF146" s="151"/>
      <c r="BG146" s="151"/>
      <c r="BH146" s="151"/>
      <c r="BI146" s="151"/>
      <c r="BJ146" s="151"/>
      <c r="BK146" s="151"/>
      <c r="BL146" s="122"/>
      <c r="BM146" s="122"/>
      <c r="BN146" s="122"/>
      <c r="BO146" s="122"/>
      <c r="BP146" s="122"/>
      <c r="BQ146" s="122"/>
      <c r="BR146" s="122"/>
    </row>
    <row r="147" spans="1:70" ht="16.5" x14ac:dyDescent="0.3">
      <c r="A147" s="63"/>
      <c r="B147" s="126"/>
      <c r="C147" s="127"/>
      <c r="D147" s="128"/>
      <c r="E147" s="139"/>
      <c r="U147" s="151"/>
      <c r="V147" s="151"/>
      <c r="W147" s="151"/>
      <c r="X147" s="151"/>
      <c r="Y147" s="151"/>
      <c r="Z147" s="151"/>
      <c r="AA147" s="151"/>
      <c r="AB147" s="151"/>
      <c r="AC147" s="151"/>
      <c r="AD147" s="151"/>
      <c r="AE147" s="151"/>
      <c r="AF147" s="151"/>
      <c r="AG147" s="151"/>
      <c r="AH147" s="151"/>
      <c r="AI147" s="151"/>
      <c r="AJ147" s="151"/>
      <c r="AK147" s="151"/>
      <c r="AL147" s="151"/>
      <c r="AM147" s="151"/>
      <c r="AN147" s="151"/>
      <c r="AO147" s="151"/>
      <c r="AP147" s="151"/>
      <c r="AQ147" s="151"/>
      <c r="AR147" s="151"/>
      <c r="AS147" s="151"/>
      <c r="AT147" s="151"/>
      <c r="AU147" s="151"/>
      <c r="AV147" s="151"/>
      <c r="AW147" s="151"/>
      <c r="AX147" s="151"/>
      <c r="AY147" s="151"/>
      <c r="AZ147" s="151"/>
      <c r="BA147" s="151"/>
      <c r="BB147" s="151"/>
      <c r="BC147" s="151"/>
      <c r="BD147" s="151"/>
      <c r="BE147" s="151"/>
      <c r="BF147" s="151"/>
      <c r="BG147" s="151"/>
      <c r="BH147" s="151"/>
      <c r="BI147" s="151"/>
      <c r="BJ147" s="151"/>
      <c r="BK147" s="151"/>
      <c r="BL147" s="122"/>
      <c r="BM147" s="122"/>
      <c r="BN147" s="122"/>
      <c r="BO147" s="122"/>
      <c r="BP147" s="122"/>
      <c r="BQ147" s="122"/>
      <c r="BR147" s="122"/>
    </row>
    <row r="148" spans="1:70" ht="16.5" x14ac:dyDescent="0.3">
      <c r="A148" s="63"/>
      <c r="B148" s="126"/>
      <c r="C148" s="127"/>
      <c r="D148" s="128"/>
      <c r="E148" s="139"/>
      <c r="U148" s="151"/>
      <c r="V148" s="151"/>
      <c r="W148" s="151"/>
      <c r="X148" s="151"/>
      <c r="Y148" s="151"/>
      <c r="Z148" s="151"/>
      <c r="AA148" s="151"/>
      <c r="AB148" s="151"/>
      <c r="AC148" s="151"/>
      <c r="AD148" s="151"/>
      <c r="AE148" s="151"/>
      <c r="AF148" s="151"/>
      <c r="AG148" s="151"/>
      <c r="AH148" s="151"/>
      <c r="AI148" s="151"/>
      <c r="AJ148" s="151"/>
      <c r="AK148" s="151"/>
      <c r="AL148" s="151"/>
      <c r="AM148" s="151"/>
      <c r="AN148" s="151"/>
      <c r="AO148" s="151"/>
      <c r="AP148" s="151"/>
      <c r="AQ148" s="151"/>
      <c r="AR148" s="151"/>
      <c r="AS148" s="151"/>
      <c r="AT148" s="151"/>
      <c r="AU148" s="151"/>
      <c r="AV148" s="151"/>
      <c r="AW148" s="151"/>
      <c r="AX148" s="151"/>
      <c r="AY148" s="151"/>
      <c r="AZ148" s="151"/>
      <c r="BA148" s="151"/>
      <c r="BB148" s="151"/>
      <c r="BC148" s="151"/>
      <c r="BD148" s="151"/>
      <c r="BE148" s="151"/>
      <c r="BF148" s="151"/>
      <c r="BG148" s="151"/>
      <c r="BH148" s="151"/>
      <c r="BI148" s="151"/>
      <c r="BJ148" s="151"/>
      <c r="BK148" s="151"/>
      <c r="BL148" s="122"/>
      <c r="BM148" s="122"/>
      <c r="BN148" s="122"/>
      <c r="BO148" s="122"/>
      <c r="BP148" s="122"/>
      <c r="BQ148" s="122"/>
      <c r="BR148" s="122"/>
    </row>
    <row r="149" spans="1:70" ht="16.5" x14ac:dyDescent="0.3">
      <c r="A149" s="63"/>
      <c r="B149" s="126"/>
      <c r="C149" s="127"/>
      <c r="D149" s="128"/>
      <c r="E149" s="139"/>
      <c r="U149" s="151"/>
      <c r="V149" s="151"/>
      <c r="W149" s="151"/>
      <c r="X149" s="151"/>
      <c r="Y149" s="151"/>
      <c r="Z149" s="151"/>
      <c r="AA149" s="151"/>
      <c r="AB149" s="151"/>
      <c r="AC149" s="151"/>
      <c r="AD149" s="151"/>
      <c r="AE149" s="151"/>
      <c r="AF149" s="151"/>
      <c r="AG149" s="151"/>
      <c r="AH149" s="151"/>
      <c r="AI149" s="151"/>
      <c r="AJ149" s="151"/>
      <c r="AK149" s="151"/>
      <c r="AL149" s="151"/>
      <c r="AM149" s="151"/>
      <c r="AN149" s="151"/>
      <c r="AO149" s="151"/>
      <c r="AP149" s="151"/>
      <c r="AQ149" s="151"/>
      <c r="AR149" s="151"/>
      <c r="AS149" s="151"/>
      <c r="AT149" s="151"/>
      <c r="AU149" s="151"/>
      <c r="AV149" s="151"/>
      <c r="AW149" s="151"/>
      <c r="AX149" s="151"/>
      <c r="AY149" s="151"/>
      <c r="AZ149" s="151"/>
      <c r="BA149" s="151"/>
      <c r="BB149" s="151"/>
      <c r="BC149" s="151"/>
      <c r="BD149" s="151"/>
      <c r="BE149" s="151"/>
      <c r="BF149" s="151"/>
      <c r="BG149" s="151"/>
      <c r="BH149" s="151"/>
      <c r="BI149" s="151"/>
      <c r="BJ149" s="151"/>
      <c r="BK149" s="151"/>
      <c r="BL149" s="122"/>
      <c r="BM149" s="122"/>
      <c r="BN149" s="122"/>
      <c r="BO149" s="122"/>
      <c r="BP149" s="122"/>
      <c r="BQ149" s="122"/>
      <c r="BR149" s="122"/>
    </row>
    <row r="150" spans="1:70" ht="16.5" x14ac:dyDescent="0.3">
      <c r="A150" s="63"/>
      <c r="B150" s="126"/>
      <c r="C150" s="127"/>
      <c r="D150" s="128"/>
      <c r="E150" s="139"/>
      <c r="U150" s="151"/>
      <c r="V150" s="151"/>
      <c r="W150" s="151"/>
      <c r="X150" s="151"/>
      <c r="Y150" s="151"/>
      <c r="Z150" s="151"/>
      <c r="AA150" s="151"/>
      <c r="AB150" s="151"/>
      <c r="AC150" s="151"/>
      <c r="AD150" s="151"/>
      <c r="AE150" s="151"/>
      <c r="AF150" s="151"/>
      <c r="AG150" s="151"/>
      <c r="AH150" s="151"/>
      <c r="AI150" s="151"/>
      <c r="AJ150" s="151"/>
      <c r="AK150" s="151"/>
      <c r="AL150" s="151"/>
      <c r="AM150" s="151"/>
      <c r="AN150" s="151"/>
      <c r="AO150" s="151"/>
      <c r="AP150" s="151"/>
      <c r="AQ150" s="151"/>
      <c r="AR150" s="151"/>
      <c r="AS150" s="151"/>
      <c r="AT150" s="151"/>
      <c r="AU150" s="151"/>
      <c r="AV150" s="151"/>
      <c r="AW150" s="151"/>
      <c r="AX150" s="151"/>
      <c r="AY150" s="151"/>
      <c r="AZ150" s="151"/>
      <c r="BA150" s="151"/>
      <c r="BB150" s="151"/>
      <c r="BC150" s="151"/>
      <c r="BD150" s="151"/>
      <c r="BE150" s="151"/>
      <c r="BF150" s="151"/>
      <c r="BG150" s="151"/>
      <c r="BH150" s="151"/>
      <c r="BI150" s="151"/>
      <c r="BJ150" s="151"/>
      <c r="BK150" s="151"/>
      <c r="BL150" s="122"/>
      <c r="BM150" s="122"/>
      <c r="BN150" s="122"/>
      <c r="BO150" s="122"/>
      <c r="BP150" s="122"/>
      <c r="BQ150" s="122"/>
      <c r="BR150" s="122"/>
    </row>
    <row r="151" spans="1:70" ht="16.5" x14ac:dyDescent="0.3">
      <c r="A151" s="52"/>
      <c r="B151" s="192"/>
      <c r="C151" s="193"/>
      <c r="D151" s="194"/>
      <c r="E151" s="53"/>
      <c r="U151" s="151"/>
      <c r="V151" s="151"/>
      <c r="W151" s="151"/>
      <c r="X151" s="151"/>
      <c r="Y151" s="151"/>
      <c r="Z151" s="151"/>
      <c r="AA151" s="151"/>
      <c r="AB151" s="151"/>
      <c r="AC151" s="151"/>
      <c r="AD151" s="151"/>
      <c r="AE151" s="151"/>
      <c r="AF151" s="151"/>
      <c r="AG151" s="151"/>
      <c r="AH151" s="151"/>
      <c r="AI151" s="151"/>
      <c r="AJ151" s="151"/>
      <c r="AK151" s="151"/>
      <c r="AL151" s="151"/>
      <c r="AM151" s="151"/>
      <c r="AN151" s="151"/>
      <c r="AO151" s="151"/>
      <c r="AP151" s="151"/>
      <c r="AQ151" s="151"/>
      <c r="AR151" s="151"/>
      <c r="AS151" s="151"/>
      <c r="AT151" s="151"/>
      <c r="AU151" s="151"/>
      <c r="AV151" s="151"/>
      <c r="AW151" s="151"/>
      <c r="AX151" s="151"/>
      <c r="AY151" s="151"/>
      <c r="AZ151" s="151"/>
      <c r="BA151" s="151"/>
      <c r="BB151" s="151"/>
      <c r="BC151" s="151"/>
      <c r="BD151" s="151"/>
      <c r="BE151" s="151"/>
      <c r="BF151" s="151"/>
      <c r="BG151" s="151"/>
      <c r="BH151" s="151"/>
      <c r="BI151" s="151"/>
      <c r="BJ151" s="151"/>
      <c r="BK151" s="151"/>
      <c r="BL151" s="122"/>
      <c r="BM151" s="122"/>
      <c r="BN151" s="122"/>
      <c r="BO151" s="122"/>
      <c r="BP151" s="122"/>
      <c r="BQ151" s="122"/>
      <c r="BR151" s="122"/>
    </row>
    <row r="152" spans="1:70" ht="16.5" x14ac:dyDescent="0.3">
      <c r="A152" s="52"/>
      <c r="B152" s="192"/>
      <c r="C152" s="193"/>
      <c r="D152" s="194"/>
      <c r="E152" s="53"/>
      <c r="U152" s="151"/>
      <c r="V152" s="151"/>
      <c r="W152" s="151"/>
      <c r="X152" s="151"/>
      <c r="Y152" s="151"/>
      <c r="Z152" s="151"/>
      <c r="AA152" s="151"/>
      <c r="AB152" s="151"/>
      <c r="AC152" s="151"/>
      <c r="AD152" s="151"/>
      <c r="AE152" s="151"/>
      <c r="AF152" s="151"/>
      <c r="AG152" s="151"/>
      <c r="AH152" s="151"/>
      <c r="AI152" s="151"/>
      <c r="AJ152" s="151"/>
      <c r="AK152" s="151"/>
      <c r="AL152" s="151"/>
      <c r="AM152" s="151"/>
      <c r="AN152" s="151"/>
      <c r="AO152" s="151"/>
      <c r="AP152" s="151"/>
      <c r="AQ152" s="151"/>
      <c r="AR152" s="151"/>
      <c r="AS152" s="151"/>
      <c r="AT152" s="151"/>
      <c r="AU152" s="151"/>
      <c r="AV152" s="151"/>
      <c r="AW152" s="151"/>
      <c r="AX152" s="151"/>
      <c r="AY152" s="151"/>
      <c r="AZ152" s="151"/>
      <c r="BA152" s="151"/>
      <c r="BB152" s="151"/>
      <c r="BC152" s="151"/>
      <c r="BD152" s="151"/>
      <c r="BE152" s="151"/>
      <c r="BF152" s="151"/>
      <c r="BG152" s="151"/>
      <c r="BH152" s="151"/>
      <c r="BI152" s="151"/>
      <c r="BJ152" s="151"/>
      <c r="BK152" s="151"/>
      <c r="BL152" s="122"/>
      <c r="BM152" s="122"/>
      <c r="BN152" s="122"/>
      <c r="BO152" s="122"/>
      <c r="BP152" s="122"/>
      <c r="BQ152" s="122"/>
      <c r="BR152" s="122"/>
    </row>
    <row r="153" spans="1:70" ht="16.5" x14ac:dyDescent="0.3">
      <c r="A153" s="52"/>
      <c r="B153" s="192"/>
      <c r="C153" s="193"/>
      <c r="D153" s="194"/>
      <c r="E153" s="53"/>
      <c r="U153" s="151"/>
      <c r="V153" s="151"/>
      <c r="W153" s="151"/>
      <c r="X153" s="151"/>
      <c r="Y153" s="151"/>
      <c r="Z153" s="151"/>
      <c r="AA153" s="151"/>
      <c r="AB153" s="151"/>
      <c r="AC153" s="151"/>
      <c r="AD153" s="151"/>
      <c r="AE153" s="151"/>
      <c r="AF153" s="151"/>
      <c r="AG153" s="151"/>
      <c r="AH153" s="151"/>
      <c r="AI153" s="151"/>
      <c r="AJ153" s="151"/>
      <c r="AK153" s="151"/>
      <c r="AL153" s="151"/>
      <c r="AM153" s="151"/>
      <c r="AN153" s="151"/>
      <c r="AO153" s="151"/>
      <c r="AP153" s="151"/>
      <c r="AQ153" s="151"/>
      <c r="AR153" s="151"/>
      <c r="AS153" s="151"/>
      <c r="AT153" s="151"/>
      <c r="AU153" s="151"/>
      <c r="AV153" s="151"/>
      <c r="AW153" s="151"/>
      <c r="AX153" s="151"/>
      <c r="AY153" s="151"/>
      <c r="AZ153" s="151"/>
      <c r="BA153" s="151"/>
      <c r="BB153" s="151"/>
      <c r="BC153" s="151"/>
      <c r="BD153" s="151"/>
      <c r="BE153" s="151"/>
      <c r="BF153" s="151"/>
      <c r="BG153" s="151"/>
      <c r="BH153" s="151"/>
      <c r="BI153" s="151"/>
      <c r="BJ153" s="151"/>
      <c r="BK153" s="151"/>
      <c r="BL153" s="122"/>
      <c r="BM153" s="122"/>
      <c r="BN153" s="122"/>
      <c r="BO153" s="122"/>
      <c r="BP153" s="122"/>
      <c r="BQ153" s="122"/>
      <c r="BR153" s="122"/>
    </row>
    <row r="154" spans="1:70" ht="16.5" x14ac:dyDescent="0.3">
      <c r="A154" s="52"/>
      <c r="B154" s="192"/>
      <c r="C154" s="193"/>
      <c r="D154" s="194"/>
      <c r="E154" s="53"/>
      <c r="U154" s="151"/>
      <c r="V154" s="151"/>
      <c r="W154" s="151"/>
      <c r="X154" s="151"/>
      <c r="Y154" s="151"/>
      <c r="Z154" s="151"/>
      <c r="AA154" s="151"/>
      <c r="AB154" s="151"/>
      <c r="AC154" s="151"/>
      <c r="AD154" s="151"/>
      <c r="AE154" s="151"/>
      <c r="AF154" s="151"/>
      <c r="AG154" s="151"/>
      <c r="AH154" s="151"/>
      <c r="AI154" s="151"/>
      <c r="AJ154" s="151"/>
      <c r="AK154" s="151"/>
      <c r="AL154" s="151"/>
      <c r="AM154" s="151"/>
      <c r="AN154" s="151"/>
      <c r="AO154" s="151"/>
      <c r="AP154" s="151"/>
      <c r="AQ154" s="151"/>
      <c r="AR154" s="151"/>
      <c r="AS154" s="151"/>
      <c r="AT154" s="151"/>
      <c r="AU154" s="151"/>
      <c r="AV154" s="151"/>
      <c r="AW154" s="151"/>
      <c r="AX154" s="151"/>
      <c r="AY154" s="151"/>
      <c r="AZ154" s="151"/>
      <c r="BA154" s="151"/>
      <c r="BB154" s="151"/>
      <c r="BC154" s="151"/>
      <c r="BD154" s="151"/>
      <c r="BE154" s="151"/>
      <c r="BF154" s="151"/>
      <c r="BG154" s="151"/>
      <c r="BH154" s="151"/>
      <c r="BI154" s="151"/>
      <c r="BJ154" s="151"/>
      <c r="BK154" s="151"/>
      <c r="BL154" s="122"/>
      <c r="BM154" s="122"/>
      <c r="BN154" s="122"/>
      <c r="BO154" s="122"/>
      <c r="BP154" s="122"/>
      <c r="BQ154" s="122"/>
      <c r="BR154" s="122"/>
    </row>
    <row r="155" spans="1:70" ht="16.5" x14ac:dyDescent="0.3">
      <c r="A155" s="63"/>
      <c r="B155" s="126"/>
      <c r="C155" s="127"/>
      <c r="D155" s="128"/>
      <c r="E155" s="139"/>
      <c r="U155" s="151"/>
      <c r="V155" s="151"/>
      <c r="W155" s="151"/>
      <c r="X155" s="151"/>
      <c r="Y155" s="151"/>
      <c r="Z155" s="151"/>
      <c r="AA155" s="151"/>
      <c r="AB155" s="151"/>
      <c r="AC155" s="151"/>
      <c r="AD155" s="151"/>
      <c r="AE155" s="151"/>
      <c r="AF155" s="151"/>
      <c r="AG155" s="151"/>
      <c r="AH155" s="151"/>
      <c r="AI155" s="151"/>
      <c r="AJ155" s="151"/>
      <c r="AK155" s="151"/>
      <c r="AL155" s="151"/>
      <c r="AM155" s="151"/>
      <c r="AN155" s="151"/>
      <c r="AO155" s="151"/>
      <c r="AP155" s="151"/>
      <c r="AQ155" s="151"/>
      <c r="AR155" s="151"/>
      <c r="AS155" s="151"/>
      <c r="AT155" s="151"/>
      <c r="AU155" s="151"/>
      <c r="AV155" s="151"/>
      <c r="AW155" s="151"/>
      <c r="AX155" s="151"/>
      <c r="AY155" s="151"/>
      <c r="AZ155" s="151"/>
      <c r="BA155" s="151"/>
      <c r="BB155" s="151"/>
      <c r="BC155" s="151"/>
      <c r="BD155" s="151"/>
      <c r="BE155" s="151"/>
      <c r="BF155" s="151"/>
      <c r="BG155" s="151"/>
      <c r="BH155" s="151"/>
      <c r="BI155" s="151"/>
      <c r="BJ155" s="151"/>
      <c r="BK155" s="151"/>
      <c r="BL155" s="122"/>
      <c r="BM155" s="122"/>
      <c r="BN155" s="122"/>
      <c r="BO155" s="122"/>
      <c r="BP155" s="122"/>
      <c r="BQ155" s="122"/>
      <c r="BR155" s="122"/>
    </row>
    <row r="156" spans="1:70" ht="16.5" x14ac:dyDescent="0.3">
      <c r="A156" s="52"/>
      <c r="B156" s="192"/>
      <c r="C156" s="193"/>
      <c r="D156" s="194"/>
      <c r="E156" s="53"/>
      <c r="U156" s="151"/>
      <c r="V156" s="151"/>
      <c r="W156" s="151"/>
      <c r="X156" s="151"/>
      <c r="Y156" s="151"/>
      <c r="Z156" s="151"/>
      <c r="AA156" s="151"/>
      <c r="AB156" s="151"/>
      <c r="AC156" s="151"/>
      <c r="AD156" s="151"/>
      <c r="AE156" s="151"/>
      <c r="AF156" s="151"/>
      <c r="AG156" s="151"/>
      <c r="AH156" s="151"/>
      <c r="AI156" s="151"/>
      <c r="AJ156" s="151"/>
      <c r="AK156" s="151"/>
      <c r="AL156" s="151"/>
      <c r="AM156" s="151"/>
      <c r="AN156" s="151"/>
      <c r="AO156" s="151"/>
      <c r="AP156" s="151"/>
      <c r="AQ156" s="151"/>
      <c r="AR156" s="151"/>
      <c r="AS156" s="151"/>
      <c r="AT156" s="151"/>
      <c r="AU156" s="151"/>
      <c r="AV156" s="151"/>
      <c r="AW156" s="151"/>
      <c r="AX156" s="151"/>
      <c r="AY156" s="151"/>
      <c r="AZ156" s="151"/>
      <c r="BA156" s="151"/>
      <c r="BB156" s="151"/>
      <c r="BC156" s="151"/>
      <c r="BD156" s="151"/>
      <c r="BE156" s="151"/>
      <c r="BF156" s="151"/>
      <c r="BG156" s="151"/>
      <c r="BH156" s="151"/>
      <c r="BI156" s="151"/>
      <c r="BJ156" s="151"/>
      <c r="BK156" s="151"/>
      <c r="BL156" s="122"/>
      <c r="BM156" s="122"/>
      <c r="BN156" s="122"/>
      <c r="BO156" s="122"/>
      <c r="BP156" s="122"/>
      <c r="BQ156" s="122"/>
      <c r="BR156" s="122"/>
    </row>
    <row r="157" spans="1:70" ht="16.5" x14ac:dyDescent="0.3">
      <c r="A157" s="63"/>
      <c r="B157" s="126"/>
      <c r="C157" s="127"/>
      <c r="D157" s="128"/>
      <c r="E157" s="139"/>
      <c r="U157" s="151"/>
      <c r="V157" s="151"/>
      <c r="W157" s="151"/>
      <c r="X157" s="151"/>
      <c r="Y157" s="151"/>
      <c r="Z157" s="151"/>
      <c r="AA157" s="151"/>
      <c r="AB157" s="151"/>
      <c r="AC157" s="151"/>
      <c r="AD157" s="151"/>
      <c r="AE157" s="151"/>
      <c r="AF157" s="151"/>
      <c r="AG157" s="151"/>
      <c r="AH157" s="151"/>
      <c r="AI157" s="151"/>
      <c r="AJ157" s="151"/>
      <c r="AK157" s="151"/>
      <c r="AL157" s="151"/>
      <c r="AM157" s="151"/>
      <c r="AN157" s="151"/>
      <c r="AO157" s="151"/>
      <c r="AP157" s="151"/>
      <c r="AQ157" s="151"/>
      <c r="AR157" s="151"/>
      <c r="AS157" s="151"/>
      <c r="AT157" s="151"/>
      <c r="AU157" s="151"/>
      <c r="AV157" s="151"/>
      <c r="AW157" s="151"/>
      <c r="AX157" s="151"/>
      <c r="AY157" s="151"/>
      <c r="AZ157" s="151"/>
      <c r="BA157" s="151"/>
      <c r="BB157" s="151"/>
      <c r="BC157" s="151"/>
      <c r="BD157" s="151"/>
      <c r="BE157" s="151"/>
      <c r="BF157" s="151"/>
      <c r="BG157" s="151"/>
      <c r="BH157" s="151"/>
      <c r="BI157" s="151"/>
      <c r="BJ157" s="151"/>
      <c r="BK157" s="151"/>
      <c r="BL157" s="122"/>
      <c r="BM157" s="122"/>
      <c r="BN157" s="122"/>
      <c r="BO157" s="122"/>
      <c r="BP157" s="122"/>
      <c r="BQ157" s="122"/>
      <c r="BR157" s="122"/>
    </row>
    <row r="158" spans="1:70" ht="16.5" x14ac:dyDescent="0.3">
      <c r="A158" s="63"/>
      <c r="B158" s="126"/>
      <c r="C158" s="127"/>
      <c r="D158" s="128"/>
      <c r="E158" s="139"/>
      <c r="U158" s="151"/>
      <c r="V158" s="151"/>
      <c r="W158" s="151"/>
      <c r="X158" s="151"/>
      <c r="Y158" s="151"/>
      <c r="Z158" s="151"/>
      <c r="AA158" s="151"/>
      <c r="AB158" s="151"/>
      <c r="AC158" s="151"/>
      <c r="AD158" s="151"/>
      <c r="AE158" s="151"/>
      <c r="AF158" s="151"/>
      <c r="AG158" s="151"/>
      <c r="AH158" s="151"/>
      <c r="AI158" s="151"/>
      <c r="AJ158" s="151"/>
      <c r="AK158" s="151"/>
      <c r="AL158" s="151"/>
      <c r="AM158" s="151"/>
      <c r="AN158" s="151"/>
      <c r="AO158" s="151"/>
      <c r="AP158" s="151"/>
      <c r="AQ158" s="151"/>
      <c r="AR158" s="151"/>
      <c r="AS158" s="151"/>
      <c r="AT158" s="151"/>
      <c r="AU158" s="151"/>
      <c r="AV158" s="151"/>
      <c r="AW158" s="151"/>
      <c r="AX158" s="151"/>
      <c r="AY158" s="151"/>
      <c r="AZ158" s="151"/>
      <c r="BA158" s="151"/>
      <c r="BB158" s="151"/>
      <c r="BC158" s="151"/>
      <c r="BD158" s="151"/>
      <c r="BE158" s="151"/>
      <c r="BF158" s="151"/>
      <c r="BG158" s="151"/>
      <c r="BH158" s="151"/>
      <c r="BI158" s="151"/>
      <c r="BJ158" s="151"/>
      <c r="BK158" s="151"/>
      <c r="BL158" s="122"/>
      <c r="BM158" s="122"/>
      <c r="BN158" s="122"/>
      <c r="BO158" s="122"/>
      <c r="BP158" s="122"/>
      <c r="BQ158" s="122"/>
      <c r="BR158" s="122"/>
    </row>
    <row r="159" spans="1:70" ht="16.5" x14ac:dyDescent="0.3">
      <c r="A159" s="52"/>
      <c r="B159" s="192"/>
      <c r="C159" s="193"/>
      <c r="D159" s="194"/>
      <c r="E159" s="53"/>
      <c r="U159" s="151"/>
      <c r="V159" s="151"/>
      <c r="W159" s="151"/>
      <c r="X159" s="151"/>
      <c r="Y159" s="151"/>
      <c r="Z159" s="151"/>
      <c r="AA159" s="151"/>
      <c r="AB159" s="151"/>
      <c r="AC159" s="151"/>
      <c r="AD159" s="151"/>
      <c r="AE159" s="151"/>
      <c r="AF159" s="151"/>
      <c r="AG159" s="151"/>
      <c r="AH159" s="151"/>
      <c r="AI159" s="151"/>
      <c r="AJ159" s="151"/>
      <c r="AK159" s="151"/>
      <c r="AL159" s="151"/>
      <c r="AM159" s="151"/>
      <c r="AN159" s="151"/>
      <c r="AO159" s="151"/>
      <c r="AP159" s="151"/>
      <c r="AQ159" s="151"/>
      <c r="AR159" s="151"/>
      <c r="AS159" s="151"/>
      <c r="AT159" s="151"/>
      <c r="AU159" s="151"/>
      <c r="AV159" s="151"/>
      <c r="AW159" s="151"/>
      <c r="AX159" s="151"/>
      <c r="AY159" s="151"/>
      <c r="AZ159" s="151"/>
      <c r="BA159" s="151"/>
      <c r="BB159" s="151"/>
      <c r="BC159" s="151"/>
      <c r="BD159" s="151"/>
      <c r="BE159" s="151"/>
      <c r="BF159" s="151"/>
      <c r="BG159" s="151"/>
      <c r="BH159" s="151"/>
      <c r="BI159" s="151"/>
      <c r="BJ159" s="151"/>
      <c r="BK159" s="151"/>
      <c r="BL159" s="122"/>
      <c r="BM159" s="122"/>
      <c r="BN159" s="122"/>
      <c r="BO159" s="122"/>
      <c r="BP159" s="122"/>
      <c r="BQ159" s="122"/>
      <c r="BR159" s="122"/>
    </row>
    <row r="160" spans="1:70" ht="16.5" x14ac:dyDescent="0.3">
      <c r="A160" s="52"/>
      <c r="B160" s="192"/>
      <c r="C160" s="193"/>
      <c r="D160" s="194"/>
      <c r="E160" s="53"/>
      <c r="U160" s="151"/>
      <c r="V160" s="151"/>
      <c r="W160" s="151"/>
      <c r="X160" s="151"/>
      <c r="Y160" s="151"/>
      <c r="Z160" s="151"/>
      <c r="AA160" s="151"/>
      <c r="AB160" s="151"/>
      <c r="AC160" s="151"/>
      <c r="AD160" s="151"/>
      <c r="AE160" s="151"/>
      <c r="AF160" s="151"/>
      <c r="AG160" s="151"/>
      <c r="AH160" s="151"/>
      <c r="AI160" s="151"/>
      <c r="AJ160" s="151"/>
      <c r="AK160" s="151"/>
      <c r="AL160" s="151"/>
      <c r="AM160" s="151"/>
      <c r="AN160" s="151"/>
      <c r="AO160" s="151"/>
      <c r="AP160" s="151"/>
      <c r="AQ160" s="151"/>
      <c r="AR160" s="151"/>
      <c r="AS160" s="151"/>
      <c r="AT160" s="151"/>
      <c r="AU160" s="151"/>
      <c r="AV160" s="151"/>
      <c r="AW160" s="151"/>
      <c r="AX160" s="151"/>
      <c r="AY160" s="151"/>
      <c r="AZ160" s="151"/>
      <c r="BA160" s="151"/>
      <c r="BB160" s="151"/>
      <c r="BC160" s="151"/>
      <c r="BD160" s="151"/>
      <c r="BE160" s="151"/>
      <c r="BF160" s="151"/>
      <c r="BG160" s="151"/>
      <c r="BH160" s="151"/>
      <c r="BI160" s="151"/>
      <c r="BJ160" s="151"/>
      <c r="BK160" s="151"/>
      <c r="BL160" s="122"/>
      <c r="BM160" s="122"/>
      <c r="BN160" s="122"/>
      <c r="BO160" s="122"/>
      <c r="BP160" s="122"/>
      <c r="BQ160" s="122"/>
      <c r="BR160" s="122"/>
    </row>
    <row r="161" spans="1:70" ht="16.5" x14ac:dyDescent="0.3">
      <c r="A161" s="63"/>
      <c r="B161" s="126"/>
      <c r="C161" s="127"/>
      <c r="D161" s="128"/>
      <c r="E161" s="139"/>
      <c r="U161" s="151"/>
      <c r="V161" s="151"/>
      <c r="W161" s="151"/>
      <c r="X161" s="151"/>
      <c r="Y161" s="151"/>
      <c r="Z161" s="151"/>
      <c r="AA161" s="151"/>
      <c r="AB161" s="151"/>
      <c r="AC161" s="151"/>
      <c r="AD161" s="151"/>
      <c r="AE161" s="151"/>
      <c r="AF161" s="151"/>
      <c r="AG161" s="151"/>
      <c r="AH161" s="151"/>
      <c r="AI161" s="151"/>
      <c r="AJ161" s="151"/>
      <c r="AK161" s="151"/>
      <c r="AL161" s="151"/>
      <c r="AM161" s="151"/>
      <c r="AN161" s="151"/>
      <c r="AO161" s="151"/>
      <c r="AP161" s="151"/>
      <c r="AQ161" s="151"/>
      <c r="AR161" s="151"/>
      <c r="AS161" s="151"/>
      <c r="AT161" s="151"/>
      <c r="AU161" s="151"/>
      <c r="AV161" s="151"/>
      <c r="AW161" s="151"/>
      <c r="AX161" s="151"/>
      <c r="AY161" s="151"/>
      <c r="AZ161" s="151"/>
      <c r="BA161" s="151"/>
      <c r="BB161" s="151"/>
      <c r="BC161" s="151"/>
      <c r="BD161" s="151"/>
      <c r="BE161" s="151"/>
      <c r="BF161" s="151"/>
      <c r="BG161" s="151"/>
      <c r="BH161" s="151"/>
      <c r="BI161" s="151"/>
      <c r="BJ161" s="151"/>
      <c r="BK161" s="151"/>
      <c r="BL161" s="122"/>
      <c r="BM161" s="122"/>
      <c r="BN161" s="122"/>
      <c r="BO161" s="122"/>
      <c r="BP161" s="122"/>
      <c r="BQ161" s="122"/>
      <c r="BR161" s="122"/>
    </row>
    <row r="162" spans="1:70" ht="16.5" x14ac:dyDescent="0.3">
      <c r="A162" s="63"/>
      <c r="B162" s="126"/>
      <c r="C162" s="127"/>
      <c r="D162" s="128"/>
      <c r="E162" s="139"/>
      <c r="U162" s="151"/>
      <c r="V162" s="151"/>
      <c r="W162" s="151"/>
      <c r="X162" s="151"/>
      <c r="Y162" s="151"/>
      <c r="Z162" s="151"/>
      <c r="AA162" s="151"/>
      <c r="AB162" s="151"/>
      <c r="AC162" s="151"/>
      <c r="AD162" s="151"/>
      <c r="AE162" s="151"/>
      <c r="AF162" s="151"/>
      <c r="AG162" s="151"/>
      <c r="AH162" s="151"/>
      <c r="AI162" s="151"/>
      <c r="AJ162" s="151"/>
      <c r="AK162" s="151"/>
      <c r="AL162" s="151"/>
      <c r="AM162" s="151"/>
      <c r="AN162" s="151"/>
      <c r="AO162" s="151"/>
      <c r="AP162" s="151"/>
      <c r="AQ162" s="151"/>
      <c r="AR162" s="151"/>
      <c r="AS162" s="151"/>
      <c r="AT162" s="151"/>
      <c r="AU162" s="151"/>
      <c r="AV162" s="151"/>
      <c r="AW162" s="151"/>
      <c r="AX162" s="151"/>
      <c r="AY162" s="151"/>
      <c r="AZ162" s="151"/>
      <c r="BA162" s="151"/>
      <c r="BB162" s="151"/>
      <c r="BC162" s="151"/>
      <c r="BD162" s="151"/>
      <c r="BE162" s="151"/>
      <c r="BF162" s="151"/>
      <c r="BG162" s="151"/>
      <c r="BH162" s="151"/>
      <c r="BI162" s="151"/>
      <c r="BJ162" s="151"/>
      <c r="BK162" s="151"/>
      <c r="BL162" s="122"/>
      <c r="BM162" s="122"/>
      <c r="BN162" s="122"/>
      <c r="BO162" s="122"/>
      <c r="BP162" s="122"/>
      <c r="BQ162" s="122"/>
      <c r="BR162" s="122"/>
    </row>
    <row r="163" spans="1:70" ht="16.5" x14ac:dyDescent="0.3">
      <c r="A163" s="63"/>
      <c r="B163" s="126"/>
      <c r="C163" s="127"/>
      <c r="D163" s="128"/>
      <c r="E163" s="139"/>
      <c r="U163" s="151"/>
      <c r="V163" s="151"/>
      <c r="W163" s="151"/>
      <c r="X163" s="151"/>
      <c r="Y163" s="151"/>
      <c r="Z163" s="151"/>
      <c r="AA163" s="151"/>
      <c r="AB163" s="151"/>
      <c r="AC163" s="151"/>
      <c r="AD163" s="151"/>
      <c r="AE163" s="151"/>
      <c r="AF163" s="151"/>
      <c r="AG163" s="151"/>
      <c r="AH163" s="151"/>
      <c r="AI163" s="151"/>
      <c r="AJ163" s="151"/>
      <c r="AK163" s="151"/>
      <c r="AL163" s="151"/>
      <c r="AM163" s="151"/>
      <c r="AN163" s="151"/>
      <c r="AO163" s="151"/>
      <c r="AP163" s="151"/>
      <c r="AQ163" s="151"/>
      <c r="AR163" s="151"/>
      <c r="AS163" s="151"/>
      <c r="AT163" s="151"/>
      <c r="AU163" s="151"/>
      <c r="AV163" s="151"/>
      <c r="AW163" s="151"/>
      <c r="AX163" s="151"/>
      <c r="AY163" s="151"/>
      <c r="AZ163" s="151"/>
      <c r="BA163" s="151"/>
      <c r="BB163" s="151"/>
      <c r="BC163" s="151"/>
      <c r="BD163" s="151"/>
      <c r="BE163" s="151"/>
      <c r="BF163" s="151"/>
      <c r="BG163" s="151"/>
      <c r="BH163" s="151"/>
      <c r="BI163" s="151"/>
      <c r="BJ163" s="151"/>
      <c r="BK163" s="151"/>
      <c r="BL163" s="122"/>
      <c r="BM163" s="122"/>
      <c r="BN163" s="122"/>
      <c r="BO163" s="122"/>
      <c r="BP163" s="122"/>
      <c r="BQ163" s="122"/>
      <c r="BR163" s="122"/>
    </row>
    <row r="164" spans="1:70" ht="16.5" x14ac:dyDescent="0.3">
      <c r="A164" s="63"/>
      <c r="B164" s="126"/>
      <c r="C164" s="127"/>
      <c r="D164" s="128"/>
      <c r="E164" s="139"/>
      <c r="U164" s="151"/>
      <c r="V164" s="151"/>
      <c r="W164" s="151"/>
      <c r="X164" s="151"/>
      <c r="Y164" s="151"/>
      <c r="Z164" s="151"/>
      <c r="AA164" s="151"/>
      <c r="AB164" s="151"/>
      <c r="AC164" s="151"/>
      <c r="AD164" s="151"/>
      <c r="AE164" s="151"/>
      <c r="AF164" s="151"/>
      <c r="AG164" s="151"/>
      <c r="AH164" s="151"/>
      <c r="AI164" s="151"/>
      <c r="AJ164" s="151"/>
      <c r="AK164" s="151"/>
      <c r="AL164" s="151"/>
      <c r="AM164" s="151"/>
      <c r="AN164" s="151"/>
      <c r="AO164" s="151"/>
      <c r="AP164" s="151"/>
      <c r="AQ164" s="151"/>
      <c r="AR164" s="151"/>
      <c r="AS164" s="151"/>
      <c r="AT164" s="151"/>
      <c r="AU164" s="151"/>
      <c r="AV164" s="151"/>
      <c r="AW164" s="151"/>
      <c r="AX164" s="151"/>
      <c r="AY164" s="151"/>
      <c r="AZ164" s="151"/>
      <c r="BA164" s="151"/>
      <c r="BB164" s="151"/>
      <c r="BC164" s="151"/>
      <c r="BD164" s="151"/>
      <c r="BE164" s="151"/>
      <c r="BF164" s="151"/>
      <c r="BG164" s="151"/>
      <c r="BH164" s="151"/>
      <c r="BI164" s="151"/>
      <c r="BJ164" s="151"/>
      <c r="BK164" s="151"/>
      <c r="BL164" s="122"/>
      <c r="BM164" s="122"/>
      <c r="BN164" s="122"/>
      <c r="BO164" s="122"/>
      <c r="BP164" s="122"/>
      <c r="BQ164" s="122"/>
      <c r="BR164" s="122"/>
    </row>
    <row r="165" spans="1:70" ht="16.5" x14ac:dyDescent="0.3">
      <c r="A165" s="63"/>
      <c r="B165" s="126"/>
      <c r="C165" s="127"/>
      <c r="D165" s="128"/>
      <c r="E165" s="139"/>
      <c r="U165" s="151"/>
      <c r="V165" s="151"/>
      <c r="W165" s="151"/>
      <c r="X165" s="151"/>
      <c r="Y165" s="151"/>
      <c r="Z165" s="151"/>
      <c r="AA165" s="151"/>
      <c r="AB165" s="151"/>
      <c r="AC165" s="151"/>
      <c r="AD165" s="151"/>
      <c r="AE165" s="151"/>
      <c r="AF165" s="151"/>
      <c r="AG165" s="151"/>
      <c r="AH165" s="151"/>
      <c r="AI165" s="151"/>
      <c r="AJ165" s="151"/>
      <c r="AK165" s="151"/>
      <c r="AL165" s="151"/>
      <c r="AM165" s="151"/>
      <c r="AN165" s="151"/>
      <c r="AO165" s="151"/>
      <c r="AP165" s="151"/>
      <c r="AQ165" s="151"/>
      <c r="AR165" s="151"/>
      <c r="AS165" s="151"/>
      <c r="AT165" s="151"/>
      <c r="AU165" s="151"/>
      <c r="AV165" s="151"/>
      <c r="AW165" s="151"/>
      <c r="AX165" s="151"/>
      <c r="AY165" s="151"/>
      <c r="AZ165" s="151"/>
      <c r="BA165" s="151"/>
      <c r="BB165" s="151"/>
      <c r="BC165" s="151"/>
      <c r="BD165" s="151"/>
      <c r="BE165" s="151"/>
      <c r="BF165" s="151"/>
      <c r="BG165" s="151"/>
      <c r="BH165" s="151"/>
      <c r="BI165" s="151"/>
      <c r="BJ165" s="151"/>
      <c r="BK165" s="151"/>
      <c r="BL165" s="122"/>
      <c r="BM165" s="122"/>
      <c r="BN165" s="122"/>
      <c r="BO165" s="122"/>
      <c r="BP165" s="122"/>
      <c r="BQ165" s="122"/>
      <c r="BR165" s="122"/>
    </row>
    <row r="166" spans="1:70" ht="16.5" x14ac:dyDescent="0.3">
      <c r="A166" s="63"/>
      <c r="B166" s="126"/>
      <c r="C166" s="127"/>
      <c r="D166" s="128"/>
      <c r="E166" s="139"/>
      <c r="U166" s="151"/>
      <c r="V166" s="151"/>
      <c r="W166" s="151"/>
      <c r="X166" s="151"/>
      <c r="Y166" s="151"/>
      <c r="Z166" s="151"/>
      <c r="AA166" s="151"/>
      <c r="AB166" s="151"/>
      <c r="AC166" s="151"/>
      <c r="AD166" s="151"/>
      <c r="AE166" s="151"/>
      <c r="AF166" s="151"/>
      <c r="AG166" s="151"/>
      <c r="AH166" s="151"/>
      <c r="AI166" s="151"/>
      <c r="AJ166" s="151"/>
      <c r="AK166" s="151"/>
      <c r="AL166" s="151"/>
      <c r="AM166" s="151"/>
      <c r="AN166" s="151"/>
      <c r="AO166" s="151"/>
      <c r="AP166" s="151"/>
      <c r="AQ166" s="151"/>
      <c r="AR166" s="151"/>
      <c r="AS166" s="151"/>
      <c r="AT166" s="151"/>
      <c r="AU166" s="151"/>
      <c r="AV166" s="151"/>
      <c r="AW166" s="151"/>
      <c r="AX166" s="151"/>
      <c r="AY166" s="151"/>
      <c r="AZ166" s="151"/>
      <c r="BA166" s="151"/>
      <c r="BB166" s="151"/>
      <c r="BC166" s="151"/>
      <c r="BD166" s="151"/>
      <c r="BE166" s="151"/>
      <c r="BF166" s="151"/>
      <c r="BG166" s="151"/>
      <c r="BH166" s="151"/>
      <c r="BI166" s="151"/>
      <c r="BJ166" s="151"/>
      <c r="BK166" s="151"/>
      <c r="BL166" s="122"/>
      <c r="BM166" s="122"/>
      <c r="BN166" s="122"/>
      <c r="BO166" s="122"/>
      <c r="BP166" s="122"/>
      <c r="BQ166" s="122"/>
      <c r="BR166" s="122"/>
    </row>
    <row r="167" spans="1:70" ht="16.5" x14ac:dyDescent="0.3">
      <c r="A167" s="63"/>
      <c r="B167" s="126"/>
      <c r="C167" s="127"/>
      <c r="D167" s="128"/>
      <c r="E167" s="139"/>
      <c r="U167" s="151"/>
      <c r="V167" s="151"/>
      <c r="W167" s="151"/>
      <c r="X167" s="151"/>
      <c r="Y167" s="151"/>
      <c r="Z167" s="151"/>
      <c r="AA167" s="151"/>
      <c r="AB167" s="151"/>
      <c r="AC167" s="151"/>
      <c r="AD167" s="151"/>
      <c r="AE167" s="151"/>
      <c r="AF167" s="151"/>
      <c r="AG167" s="151"/>
      <c r="AH167" s="151"/>
      <c r="AI167" s="151"/>
      <c r="AJ167" s="151"/>
      <c r="AK167" s="151"/>
      <c r="AL167" s="151"/>
      <c r="AM167" s="151"/>
      <c r="AN167" s="151"/>
      <c r="AO167" s="151"/>
      <c r="AP167" s="151"/>
      <c r="AQ167" s="151"/>
      <c r="AR167" s="151"/>
      <c r="AS167" s="151"/>
      <c r="AT167" s="151"/>
      <c r="AU167" s="151"/>
      <c r="AV167" s="151"/>
      <c r="AW167" s="151"/>
      <c r="AX167" s="151"/>
      <c r="AY167" s="151"/>
      <c r="AZ167" s="151"/>
      <c r="BA167" s="151"/>
      <c r="BB167" s="151"/>
      <c r="BC167" s="151"/>
      <c r="BD167" s="151"/>
      <c r="BE167" s="151"/>
      <c r="BF167" s="151"/>
      <c r="BG167" s="151"/>
      <c r="BH167" s="151"/>
      <c r="BI167" s="151"/>
      <c r="BJ167" s="151"/>
      <c r="BK167" s="151"/>
      <c r="BL167" s="122"/>
      <c r="BM167" s="122"/>
      <c r="BN167" s="122"/>
      <c r="BO167" s="122"/>
      <c r="BP167" s="122"/>
      <c r="BQ167" s="122"/>
      <c r="BR167" s="122"/>
    </row>
    <row r="168" spans="1:70" ht="16.5" x14ac:dyDescent="0.3">
      <c r="A168" s="63"/>
      <c r="B168" s="126"/>
      <c r="C168" s="127"/>
      <c r="D168" s="128"/>
      <c r="E168" s="139"/>
      <c r="U168" s="151"/>
      <c r="V168" s="151"/>
      <c r="W168" s="151"/>
      <c r="X168" s="151"/>
      <c r="Y168" s="151"/>
      <c r="Z168" s="151"/>
      <c r="AA168" s="151"/>
      <c r="AB168" s="151"/>
      <c r="AC168" s="151"/>
      <c r="AD168" s="151"/>
      <c r="AE168" s="151"/>
      <c r="AF168" s="151"/>
      <c r="AG168" s="151"/>
      <c r="AH168" s="151"/>
      <c r="AI168" s="151"/>
      <c r="AJ168" s="151"/>
      <c r="AK168" s="151"/>
      <c r="AL168" s="151"/>
      <c r="AM168" s="151"/>
      <c r="AN168" s="151"/>
      <c r="AO168" s="151"/>
      <c r="AP168" s="151"/>
      <c r="AQ168" s="151"/>
      <c r="AR168" s="151"/>
      <c r="AS168" s="151"/>
      <c r="AT168" s="151"/>
      <c r="AU168" s="151"/>
      <c r="AV168" s="151"/>
      <c r="AW168" s="151"/>
      <c r="AX168" s="151"/>
      <c r="AY168" s="151"/>
      <c r="AZ168" s="151"/>
      <c r="BA168" s="151"/>
      <c r="BB168" s="151"/>
      <c r="BC168" s="151"/>
      <c r="BD168" s="151"/>
      <c r="BE168" s="151"/>
      <c r="BF168" s="151"/>
      <c r="BG168" s="151"/>
      <c r="BH168" s="151"/>
      <c r="BI168" s="151"/>
      <c r="BJ168" s="151"/>
      <c r="BK168" s="151"/>
      <c r="BL168" s="122"/>
      <c r="BM168" s="122"/>
      <c r="BN168" s="122"/>
      <c r="BO168" s="122"/>
      <c r="BP168" s="122"/>
      <c r="BQ168" s="122"/>
      <c r="BR168" s="122"/>
    </row>
    <row r="169" spans="1:70" ht="16.5" x14ac:dyDescent="0.3">
      <c r="A169" s="63"/>
      <c r="B169" s="126"/>
      <c r="C169" s="127"/>
      <c r="D169" s="128"/>
      <c r="E169" s="139"/>
      <c r="U169" s="151"/>
      <c r="V169" s="151"/>
      <c r="W169" s="151"/>
      <c r="X169" s="151"/>
      <c r="Y169" s="151"/>
      <c r="Z169" s="151"/>
      <c r="AA169" s="151"/>
      <c r="AB169" s="151"/>
      <c r="AC169" s="151"/>
      <c r="AD169" s="151"/>
      <c r="AE169" s="151"/>
      <c r="AF169" s="151"/>
      <c r="AG169" s="151"/>
      <c r="AH169" s="151"/>
      <c r="AI169" s="151"/>
      <c r="AJ169" s="151"/>
      <c r="AK169" s="151"/>
      <c r="AL169" s="151"/>
      <c r="AM169" s="151"/>
      <c r="AN169" s="151"/>
      <c r="AO169" s="151"/>
      <c r="AP169" s="151"/>
      <c r="AQ169" s="151"/>
      <c r="AR169" s="151"/>
      <c r="AS169" s="151"/>
      <c r="AT169" s="151"/>
      <c r="AU169" s="151"/>
      <c r="AV169" s="151"/>
      <c r="AW169" s="151"/>
      <c r="AX169" s="151"/>
      <c r="AY169" s="151"/>
      <c r="AZ169" s="151"/>
      <c r="BA169" s="151"/>
      <c r="BB169" s="151"/>
      <c r="BC169" s="151"/>
      <c r="BD169" s="151"/>
      <c r="BE169" s="151"/>
      <c r="BF169" s="151"/>
      <c r="BG169" s="151"/>
      <c r="BH169" s="151"/>
      <c r="BI169" s="151"/>
      <c r="BJ169" s="151"/>
      <c r="BK169" s="151"/>
      <c r="BL169" s="122"/>
      <c r="BM169" s="122"/>
      <c r="BN169" s="122"/>
      <c r="BO169" s="122"/>
      <c r="BP169" s="122"/>
      <c r="BQ169" s="122"/>
      <c r="BR169" s="122"/>
    </row>
    <row r="170" spans="1:70" ht="16.5" x14ac:dyDescent="0.3">
      <c r="A170" s="63"/>
      <c r="B170" s="126"/>
      <c r="C170" s="127"/>
      <c r="D170" s="128"/>
      <c r="E170" s="139"/>
      <c r="U170" s="151"/>
      <c r="V170" s="151"/>
      <c r="W170" s="151"/>
      <c r="X170" s="151"/>
      <c r="Y170" s="151"/>
      <c r="Z170" s="151"/>
      <c r="AA170" s="151"/>
      <c r="AB170" s="151"/>
      <c r="AC170" s="151"/>
      <c r="AD170" s="151"/>
      <c r="AE170" s="151"/>
      <c r="AF170" s="151"/>
      <c r="AG170" s="151"/>
      <c r="AH170" s="151"/>
      <c r="AI170" s="151"/>
      <c r="AJ170" s="151"/>
      <c r="AK170" s="151"/>
      <c r="AL170" s="151"/>
      <c r="AM170" s="151"/>
      <c r="AN170" s="151"/>
      <c r="AO170" s="151"/>
      <c r="AP170" s="151"/>
      <c r="AQ170" s="151"/>
      <c r="AR170" s="151"/>
      <c r="AS170" s="151"/>
      <c r="AT170" s="151"/>
      <c r="AU170" s="151"/>
      <c r="AV170" s="151"/>
      <c r="AW170" s="151"/>
      <c r="AX170" s="151"/>
      <c r="AY170" s="151"/>
      <c r="AZ170" s="151"/>
      <c r="BA170" s="151"/>
      <c r="BB170" s="151"/>
      <c r="BC170" s="151"/>
      <c r="BD170" s="151"/>
      <c r="BE170" s="151"/>
      <c r="BF170" s="151"/>
      <c r="BG170" s="151"/>
      <c r="BH170" s="151"/>
      <c r="BI170" s="151"/>
      <c r="BJ170" s="151"/>
      <c r="BK170" s="151"/>
      <c r="BL170" s="122"/>
      <c r="BM170" s="122"/>
      <c r="BN170" s="122"/>
      <c r="BO170" s="122"/>
      <c r="BP170" s="122"/>
      <c r="BQ170" s="122"/>
      <c r="BR170" s="122"/>
    </row>
    <row r="171" spans="1:70" ht="16.5" x14ac:dyDescent="0.3">
      <c r="A171" s="63"/>
      <c r="B171" s="126"/>
      <c r="C171" s="127"/>
      <c r="D171" s="128"/>
      <c r="E171" s="139"/>
      <c r="U171" s="151"/>
      <c r="V171" s="151"/>
      <c r="W171" s="151"/>
      <c r="X171" s="151"/>
      <c r="Y171" s="151"/>
      <c r="Z171" s="151"/>
      <c r="AA171" s="151"/>
      <c r="AB171" s="151"/>
      <c r="AC171" s="151"/>
      <c r="AD171" s="151"/>
      <c r="AE171" s="151"/>
      <c r="AF171" s="151"/>
      <c r="AG171" s="151"/>
      <c r="AH171" s="151"/>
      <c r="AI171" s="151"/>
      <c r="AJ171" s="151"/>
      <c r="AK171" s="151"/>
      <c r="AL171" s="151"/>
      <c r="AM171" s="151"/>
      <c r="AN171" s="151"/>
      <c r="AO171" s="151"/>
      <c r="AP171" s="151"/>
      <c r="AQ171" s="151"/>
      <c r="AR171" s="151"/>
      <c r="AS171" s="151"/>
      <c r="AT171" s="151"/>
      <c r="AU171" s="151"/>
      <c r="AV171" s="151"/>
      <c r="AW171" s="151"/>
      <c r="AX171" s="151"/>
      <c r="AY171" s="151"/>
      <c r="AZ171" s="151"/>
      <c r="BA171" s="151"/>
      <c r="BB171" s="151"/>
      <c r="BC171" s="151"/>
      <c r="BD171" s="151"/>
      <c r="BE171" s="151"/>
      <c r="BF171" s="151"/>
      <c r="BG171" s="151"/>
      <c r="BH171" s="151"/>
      <c r="BI171" s="151"/>
      <c r="BJ171" s="151"/>
      <c r="BK171" s="151"/>
      <c r="BL171" s="122"/>
      <c r="BM171" s="122"/>
      <c r="BN171" s="122"/>
      <c r="BO171" s="122"/>
      <c r="BP171" s="122"/>
      <c r="BQ171" s="122"/>
      <c r="BR171" s="122"/>
    </row>
    <row r="172" spans="1:70" ht="16.5" x14ac:dyDescent="0.3">
      <c r="A172" s="52"/>
      <c r="B172" s="192"/>
      <c r="C172" s="193"/>
      <c r="D172" s="194"/>
      <c r="E172" s="53"/>
      <c r="U172" s="151"/>
      <c r="V172" s="151"/>
      <c r="W172" s="151"/>
      <c r="X172" s="151"/>
      <c r="Y172" s="151"/>
      <c r="Z172" s="151"/>
      <c r="AA172" s="151"/>
      <c r="AB172" s="151"/>
      <c r="AC172" s="151"/>
      <c r="AD172" s="151"/>
      <c r="AE172" s="151"/>
      <c r="AF172" s="151"/>
      <c r="AG172" s="151"/>
      <c r="AH172" s="151"/>
      <c r="AI172" s="151"/>
      <c r="AJ172" s="151"/>
      <c r="AK172" s="151"/>
      <c r="AL172" s="151"/>
      <c r="AM172" s="151"/>
      <c r="AN172" s="151"/>
      <c r="AO172" s="151"/>
      <c r="AP172" s="151"/>
      <c r="AQ172" s="151"/>
      <c r="AR172" s="151"/>
      <c r="AS172" s="151"/>
      <c r="AT172" s="151"/>
      <c r="AU172" s="151"/>
      <c r="AV172" s="151"/>
      <c r="AW172" s="151"/>
      <c r="AX172" s="151"/>
      <c r="AY172" s="151"/>
      <c r="AZ172" s="151"/>
      <c r="BA172" s="151"/>
      <c r="BB172" s="151"/>
      <c r="BC172" s="151"/>
      <c r="BD172" s="151"/>
      <c r="BE172" s="151"/>
      <c r="BF172" s="151"/>
      <c r="BG172" s="151"/>
      <c r="BH172" s="151"/>
      <c r="BI172" s="151"/>
      <c r="BJ172" s="151"/>
      <c r="BK172" s="151"/>
      <c r="BL172" s="122"/>
      <c r="BM172" s="122"/>
      <c r="BN172" s="122"/>
      <c r="BO172" s="122"/>
      <c r="BP172" s="122"/>
      <c r="BQ172" s="122"/>
      <c r="BR172" s="122"/>
    </row>
    <row r="173" spans="1:70" ht="16.5" x14ac:dyDescent="0.3">
      <c r="A173" s="52"/>
      <c r="B173" s="192"/>
      <c r="C173" s="193"/>
      <c r="D173" s="194"/>
      <c r="E173" s="53"/>
      <c r="U173" s="151"/>
      <c r="V173" s="151"/>
      <c r="W173" s="151"/>
      <c r="X173" s="151"/>
      <c r="Y173" s="151"/>
      <c r="Z173" s="151"/>
      <c r="AA173" s="151"/>
      <c r="AB173" s="151"/>
      <c r="AC173" s="151"/>
      <c r="AD173" s="151"/>
      <c r="AE173" s="151"/>
      <c r="AF173" s="151"/>
      <c r="AG173" s="151"/>
      <c r="AH173" s="151"/>
      <c r="AI173" s="151"/>
      <c r="AJ173" s="151"/>
      <c r="AK173" s="151"/>
      <c r="AL173" s="151"/>
      <c r="AM173" s="151"/>
      <c r="AN173" s="151"/>
      <c r="AO173" s="151"/>
      <c r="AP173" s="151"/>
      <c r="AQ173" s="151"/>
      <c r="AR173" s="151"/>
      <c r="AS173" s="151"/>
      <c r="AT173" s="151"/>
      <c r="AU173" s="151"/>
      <c r="AV173" s="151"/>
      <c r="AW173" s="151"/>
      <c r="AX173" s="151"/>
      <c r="AY173" s="151"/>
      <c r="AZ173" s="151"/>
      <c r="BA173" s="151"/>
      <c r="BB173" s="151"/>
      <c r="BC173" s="151"/>
      <c r="BD173" s="151"/>
      <c r="BE173" s="151"/>
      <c r="BF173" s="151"/>
      <c r="BG173" s="151"/>
      <c r="BH173" s="151"/>
      <c r="BI173" s="151"/>
      <c r="BJ173" s="151"/>
      <c r="BK173" s="151"/>
      <c r="BL173" s="122"/>
      <c r="BM173" s="122"/>
      <c r="BN173" s="122"/>
      <c r="BO173" s="122"/>
      <c r="BP173" s="122"/>
      <c r="BQ173" s="122"/>
      <c r="BR173" s="122"/>
    </row>
    <row r="174" spans="1:70" ht="16.5" x14ac:dyDescent="0.3">
      <c r="A174" s="52"/>
      <c r="B174" s="192"/>
      <c r="C174" s="193"/>
      <c r="D174" s="194"/>
      <c r="E174" s="53"/>
      <c r="U174" s="151"/>
      <c r="V174" s="151"/>
      <c r="W174" s="151"/>
      <c r="X174" s="151"/>
      <c r="Y174" s="151"/>
      <c r="Z174" s="151"/>
      <c r="AA174" s="151"/>
      <c r="AB174" s="151"/>
      <c r="AC174" s="151"/>
      <c r="AD174" s="151"/>
      <c r="AE174" s="151"/>
      <c r="AF174" s="151"/>
      <c r="AG174" s="151"/>
      <c r="AH174" s="151"/>
      <c r="AI174" s="151"/>
      <c r="AJ174" s="151"/>
      <c r="AK174" s="151"/>
      <c r="AL174" s="151"/>
      <c r="AM174" s="151"/>
      <c r="AN174" s="151"/>
      <c r="AO174" s="151"/>
      <c r="AP174" s="151"/>
      <c r="AQ174" s="151"/>
      <c r="AR174" s="151"/>
      <c r="AS174" s="151"/>
      <c r="AT174" s="151"/>
      <c r="AU174" s="151"/>
      <c r="AV174" s="151"/>
      <c r="AW174" s="151"/>
      <c r="AX174" s="151"/>
      <c r="AY174" s="151"/>
      <c r="AZ174" s="151"/>
      <c r="BA174" s="151"/>
      <c r="BB174" s="151"/>
      <c r="BC174" s="151"/>
      <c r="BD174" s="151"/>
      <c r="BE174" s="151"/>
      <c r="BF174" s="151"/>
      <c r="BG174" s="151"/>
      <c r="BH174" s="151"/>
      <c r="BI174" s="151"/>
      <c r="BJ174" s="151"/>
      <c r="BK174" s="151"/>
      <c r="BL174" s="122"/>
      <c r="BM174" s="122"/>
      <c r="BN174" s="122"/>
      <c r="BO174" s="122"/>
      <c r="BP174" s="122"/>
      <c r="BQ174" s="122"/>
      <c r="BR174" s="122"/>
    </row>
    <row r="175" spans="1:70" ht="16.5" x14ac:dyDescent="0.3">
      <c r="A175" s="52"/>
      <c r="B175" s="192"/>
      <c r="C175" s="193"/>
      <c r="D175" s="194"/>
      <c r="E175" s="53"/>
      <c r="U175" s="151"/>
      <c r="V175" s="151"/>
      <c r="W175" s="151"/>
      <c r="X175" s="151"/>
      <c r="Y175" s="151"/>
      <c r="Z175" s="151"/>
      <c r="AA175" s="151"/>
      <c r="AB175" s="151"/>
      <c r="AC175" s="151"/>
      <c r="AD175" s="151"/>
      <c r="AE175" s="151"/>
      <c r="AF175" s="151"/>
      <c r="AG175" s="151"/>
      <c r="AH175" s="151"/>
      <c r="AI175" s="151"/>
      <c r="AJ175" s="151"/>
      <c r="AK175" s="151"/>
      <c r="AL175" s="151"/>
      <c r="AM175" s="151"/>
      <c r="AN175" s="151"/>
      <c r="AO175" s="151"/>
      <c r="AP175" s="151"/>
      <c r="AQ175" s="151"/>
      <c r="AR175" s="151"/>
      <c r="AS175" s="151"/>
      <c r="AT175" s="151"/>
      <c r="AU175" s="151"/>
      <c r="AV175" s="151"/>
      <c r="AW175" s="151"/>
      <c r="AX175" s="151"/>
      <c r="AY175" s="151"/>
      <c r="AZ175" s="151"/>
      <c r="BA175" s="151"/>
      <c r="BB175" s="151"/>
      <c r="BC175" s="151"/>
      <c r="BD175" s="151"/>
      <c r="BE175" s="151"/>
      <c r="BF175" s="151"/>
      <c r="BG175" s="151"/>
      <c r="BH175" s="151"/>
      <c r="BI175" s="151"/>
      <c r="BJ175" s="151"/>
      <c r="BK175" s="151"/>
      <c r="BL175" s="122"/>
      <c r="BM175" s="122"/>
      <c r="BN175" s="122"/>
      <c r="BO175" s="122"/>
      <c r="BP175" s="122"/>
      <c r="BQ175" s="122"/>
      <c r="BR175" s="122"/>
    </row>
    <row r="176" spans="1:70" ht="16.5" x14ac:dyDescent="0.3">
      <c r="A176" s="52"/>
      <c r="B176" s="192"/>
      <c r="C176" s="193"/>
      <c r="D176" s="194"/>
      <c r="E176" s="53"/>
      <c r="U176" s="151"/>
      <c r="V176" s="151"/>
      <c r="W176" s="151"/>
      <c r="X176" s="151"/>
      <c r="Y176" s="151"/>
      <c r="Z176" s="151"/>
      <c r="AA176" s="151"/>
      <c r="AB176" s="151"/>
      <c r="AC176" s="151"/>
      <c r="AD176" s="151"/>
      <c r="AE176" s="151"/>
      <c r="AF176" s="151"/>
      <c r="AG176" s="151"/>
      <c r="AH176" s="151"/>
      <c r="AI176" s="151"/>
      <c r="AJ176" s="151"/>
      <c r="AK176" s="151"/>
      <c r="AL176" s="151"/>
      <c r="AM176" s="151"/>
      <c r="AN176" s="151"/>
      <c r="AO176" s="151"/>
      <c r="AP176" s="151"/>
      <c r="AQ176" s="151"/>
      <c r="AR176" s="151"/>
      <c r="AS176" s="151"/>
      <c r="AT176" s="151"/>
      <c r="AU176" s="151"/>
      <c r="AV176" s="151"/>
      <c r="AW176" s="151"/>
      <c r="AX176" s="151"/>
      <c r="AY176" s="151"/>
      <c r="AZ176" s="151"/>
      <c r="BA176" s="151"/>
      <c r="BB176" s="151"/>
      <c r="BC176" s="151"/>
      <c r="BD176" s="151"/>
      <c r="BE176" s="151"/>
      <c r="BF176" s="151"/>
      <c r="BG176" s="151"/>
      <c r="BH176" s="151"/>
      <c r="BI176" s="151"/>
      <c r="BJ176" s="151"/>
      <c r="BK176" s="151"/>
      <c r="BL176" s="122"/>
      <c r="BM176" s="122"/>
      <c r="BN176" s="122"/>
      <c r="BO176" s="122"/>
      <c r="BP176" s="122"/>
      <c r="BQ176" s="122"/>
      <c r="BR176" s="122"/>
    </row>
    <row r="177" spans="1:70" ht="16.5" x14ac:dyDescent="0.3">
      <c r="A177" s="52"/>
      <c r="B177" s="192"/>
      <c r="C177" s="193"/>
      <c r="D177" s="194"/>
      <c r="E177" s="53"/>
      <c r="U177" s="151"/>
      <c r="V177" s="151"/>
      <c r="W177" s="151"/>
      <c r="X177" s="151"/>
      <c r="Y177" s="151"/>
      <c r="Z177" s="151"/>
      <c r="AA177" s="151"/>
      <c r="AB177" s="151"/>
      <c r="AC177" s="151"/>
      <c r="AD177" s="151"/>
      <c r="AE177" s="151"/>
      <c r="AF177" s="151"/>
      <c r="AG177" s="151"/>
      <c r="AH177" s="151"/>
      <c r="AI177" s="151"/>
      <c r="AJ177" s="151"/>
      <c r="AK177" s="151"/>
      <c r="AL177" s="151"/>
      <c r="AM177" s="151"/>
      <c r="AN177" s="151"/>
      <c r="AO177" s="151"/>
      <c r="AP177" s="151"/>
      <c r="AQ177" s="151"/>
      <c r="AR177" s="151"/>
      <c r="AS177" s="151"/>
      <c r="AT177" s="151"/>
      <c r="AU177" s="151"/>
      <c r="AV177" s="151"/>
      <c r="AW177" s="151"/>
      <c r="AX177" s="151"/>
      <c r="AY177" s="151"/>
      <c r="AZ177" s="151"/>
      <c r="BA177" s="151"/>
      <c r="BB177" s="151"/>
      <c r="BC177" s="151"/>
      <c r="BD177" s="151"/>
      <c r="BE177" s="151"/>
      <c r="BF177" s="151"/>
      <c r="BG177" s="151"/>
      <c r="BH177" s="151"/>
      <c r="BI177" s="151"/>
      <c r="BJ177" s="151"/>
      <c r="BK177" s="151"/>
      <c r="BL177" s="122"/>
      <c r="BM177" s="122"/>
      <c r="BN177" s="122"/>
      <c r="BO177" s="122"/>
      <c r="BP177" s="122"/>
      <c r="BQ177" s="122"/>
      <c r="BR177" s="122"/>
    </row>
    <row r="178" spans="1:70" ht="16.5" x14ac:dyDescent="0.3">
      <c r="A178" s="52"/>
      <c r="B178" s="192"/>
      <c r="C178" s="193"/>
      <c r="D178" s="194"/>
      <c r="E178" s="53"/>
      <c r="U178" s="151"/>
      <c r="V178" s="151"/>
      <c r="W178" s="151"/>
      <c r="X178" s="151"/>
      <c r="Y178" s="151"/>
      <c r="Z178" s="151"/>
      <c r="AA178" s="151"/>
      <c r="AB178" s="151"/>
      <c r="AC178" s="151"/>
      <c r="AD178" s="151"/>
      <c r="AE178" s="151"/>
      <c r="AF178" s="151"/>
      <c r="AG178" s="151"/>
      <c r="AH178" s="151"/>
      <c r="AI178" s="151"/>
      <c r="AJ178" s="151"/>
      <c r="AK178" s="151"/>
      <c r="AL178" s="151"/>
      <c r="AM178" s="151"/>
      <c r="AN178" s="151"/>
      <c r="AO178" s="151"/>
      <c r="AP178" s="151"/>
      <c r="AQ178" s="151"/>
      <c r="AR178" s="151"/>
      <c r="AS178" s="151"/>
      <c r="AT178" s="151"/>
      <c r="AU178" s="151"/>
      <c r="AV178" s="151"/>
      <c r="AW178" s="151"/>
      <c r="AX178" s="151"/>
      <c r="AY178" s="151"/>
      <c r="AZ178" s="151"/>
      <c r="BA178" s="151"/>
      <c r="BB178" s="151"/>
      <c r="BC178" s="151"/>
      <c r="BD178" s="151"/>
      <c r="BE178" s="151"/>
      <c r="BF178" s="151"/>
      <c r="BG178" s="151"/>
      <c r="BH178" s="151"/>
      <c r="BI178" s="151"/>
      <c r="BJ178" s="151"/>
      <c r="BK178" s="151"/>
      <c r="BL178" s="122"/>
      <c r="BM178" s="122"/>
      <c r="BN178" s="122"/>
      <c r="BO178" s="122"/>
      <c r="BP178" s="122"/>
      <c r="BQ178" s="122"/>
      <c r="BR178" s="122"/>
    </row>
    <row r="179" spans="1:70" ht="16.5" x14ac:dyDescent="0.3">
      <c r="A179" s="52"/>
      <c r="B179" s="192"/>
      <c r="C179" s="193"/>
      <c r="D179" s="194"/>
      <c r="E179" s="61"/>
      <c r="U179" s="151"/>
      <c r="V179" s="151"/>
      <c r="W179" s="151"/>
      <c r="X179" s="151"/>
      <c r="Y179" s="151"/>
      <c r="Z179" s="151"/>
      <c r="AA179" s="151"/>
      <c r="AB179" s="151"/>
      <c r="AC179" s="151"/>
      <c r="AD179" s="151"/>
      <c r="AE179" s="151"/>
      <c r="AF179" s="151"/>
      <c r="AG179" s="151"/>
      <c r="AH179" s="151"/>
      <c r="AI179" s="151"/>
      <c r="AJ179" s="151"/>
      <c r="AK179" s="151"/>
      <c r="AL179" s="151"/>
      <c r="AM179" s="151"/>
      <c r="AN179" s="151"/>
      <c r="AO179" s="151"/>
      <c r="AP179" s="151"/>
      <c r="AQ179" s="151"/>
      <c r="AR179" s="151"/>
      <c r="AS179" s="151"/>
      <c r="AT179" s="151"/>
      <c r="AU179" s="151"/>
      <c r="AV179" s="151"/>
      <c r="AW179" s="151"/>
      <c r="AX179" s="151"/>
      <c r="AY179" s="151"/>
      <c r="AZ179" s="151"/>
      <c r="BA179" s="151"/>
      <c r="BB179" s="151"/>
      <c r="BC179" s="151"/>
      <c r="BD179" s="151"/>
      <c r="BE179" s="151"/>
      <c r="BF179" s="151"/>
      <c r="BG179" s="151"/>
      <c r="BH179" s="151"/>
      <c r="BI179" s="151"/>
      <c r="BJ179" s="151"/>
      <c r="BK179" s="151"/>
      <c r="BL179" s="122"/>
      <c r="BM179" s="122"/>
      <c r="BN179" s="122"/>
      <c r="BO179" s="122"/>
      <c r="BP179" s="122"/>
      <c r="BQ179" s="122"/>
      <c r="BR179" s="122"/>
    </row>
    <row r="180" spans="1:70" ht="16.5" x14ac:dyDescent="0.3">
      <c r="A180" s="52"/>
      <c r="B180" s="192"/>
      <c r="C180" s="193"/>
      <c r="D180" s="194"/>
      <c r="E180" s="61"/>
      <c r="U180" s="151"/>
      <c r="V180" s="151"/>
      <c r="W180" s="151"/>
      <c r="X180" s="151"/>
      <c r="Y180" s="151"/>
      <c r="Z180" s="151"/>
      <c r="AA180" s="151"/>
      <c r="AB180" s="151"/>
      <c r="AC180" s="151"/>
      <c r="AD180" s="151"/>
      <c r="AE180" s="151"/>
      <c r="AF180" s="151"/>
      <c r="AG180" s="151"/>
      <c r="AH180" s="151"/>
      <c r="AI180" s="151"/>
      <c r="AJ180" s="151"/>
      <c r="AK180" s="151"/>
      <c r="AL180" s="151"/>
      <c r="AM180" s="151"/>
      <c r="AN180" s="151"/>
      <c r="AO180" s="151"/>
      <c r="AP180" s="151"/>
      <c r="AQ180" s="151"/>
      <c r="AR180" s="151"/>
      <c r="AS180" s="151"/>
      <c r="AT180" s="151"/>
      <c r="AU180" s="151"/>
      <c r="AV180" s="151"/>
      <c r="AW180" s="151"/>
      <c r="AX180" s="151"/>
      <c r="AY180" s="151"/>
      <c r="AZ180" s="151"/>
      <c r="BA180" s="151"/>
      <c r="BB180" s="151"/>
      <c r="BC180" s="151"/>
      <c r="BD180" s="151"/>
      <c r="BE180" s="151"/>
      <c r="BF180" s="151"/>
      <c r="BG180" s="151"/>
      <c r="BH180" s="151"/>
      <c r="BI180" s="151"/>
      <c r="BJ180" s="151"/>
      <c r="BK180" s="151"/>
      <c r="BL180" s="122"/>
      <c r="BM180" s="122"/>
      <c r="BN180" s="122"/>
      <c r="BO180" s="122"/>
      <c r="BP180" s="122"/>
      <c r="BQ180" s="122"/>
      <c r="BR180" s="122"/>
    </row>
    <row r="181" spans="1:70" ht="16.5" x14ac:dyDescent="0.3">
      <c r="A181" s="52"/>
      <c r="B181" s="192"/>
      <c r="C181" s="193"/>
      <c r="D181" s="194"/>
      <c r="E181" s="61"/>
      <c r="U181" s="151"/>
      <c r="V181" s="151"/>
      <c r="W181" s="151"/>
      <c r="X181" s="151"/>
      <c r="Y181" s="151"/>
      <c r="Z181" s="151"/>
      <c r="AA181" s="151"/>
      <c r="AB181" s="151"/>
      <c r="AC181" s="151"/>
      <c r="AD181" s="151"/>
      <c r="AE181" s="151"/>
      <c r="AF181" s="151"/>
      <c r="AG181" s="151"/>
      <c r="AH181" s="151"/>
      <c r="AI181" s="151"/>
      <c r="AJ181" s="151"/>
      <c r="AK181" s="151"/>
      <c r="AL181" s="151"/>
      <c r="AM181" s="151"/>
      <c r="AN181" s="151"/>
      <c r="AO181" s="151"/>
      <c r="AP181" s="151"/>
      <c r="AQ181" s="151"/>
      <c r="AR181" s="151"/>
      <c r="AS181" s="151"/>
      <c r="AT181" s="151"/>
      <c r="AU181" s="151"/>
      <c r="AV181" s="151"/>
      <c r="AW181" s="151"/>
      <c r="AX181" s="151"/>
      <c r="AY181" s="151"/>
      <c r="AZ181" s="151"/>
      <c r="BA181" s="151"/>
      <c r="BB181" s="151"/>
      <c r="BC181" s="151"/>
      <c r="BD181" s="151"/>
      <c r="BE181" s="151"/>
      <c r="BF181" s="151"/>
      <c r="BG181" s="151"/>
      <c r="BH181" s="151"/>
      <c r="BI181" s="151"/>
      <c r="BJ181" s="151"/>
      <c r="BK181" s="151"/>
      <c r="BL181" s="122"/>
      <c r="BM181" s="122"/>
      <c r="BN181" s="122"/>
      <c r="BO181" s="122"/>
      <c r="BP181" s="122"/>
      <c r="BQ181" s="122"/>
      <c r="BR181" s="122"/>
    </row>
    <row r="182" spans="1:70" ht="16.5" x14ac:dyDescent="0.3">
      <c r="A182" s="52"/>
      <c r="B182" s="192"/>
      <c r="C182" s="193"/>
      <c r="D182" s="194"/>
      <c r="E182" s="61"/>
      <c r="U182" s="151"/>
      <c r="V182" s="151"/>
      <c r="W182" s="151"/>
      <c r="X182" s="151"/>
      <c r="Y182" s="151"/>
      <c r="Z182" s="151"/>
      <c r="AA182" s="151"/>
      <c r="AB182" s="151"/>
      <c r="AC182" s="151"/>
      <c r="AD182" s="151"/>
      <c r="AE182" s="151"/>
      <c r="AF182" s="151"/>
      <c r="AG182" s="151"/>
      <c r="AH182" s="151"/>
      <c r="AI182" s="151"/>
      <c r="AJ182" s="151"/>
      <c r="AK182" s="151"/>
      <c r="AL182" s="151"/>
      <c r="AM182" s="151"/>
      <c r="AN182" s="151"/>
      <c r="AO182" s="151"/>
      <c r="AP182" s="151"/>
      <c r="AQ182" s="151"/>
      <c r="AR182" s="151"/>
      <c r="AS182" s="151"/>
      <c r="AT182" s="151"/>
      <c r="AU182" s="151"/>
      <c r="AV182" s="151"/>
      <c r="AW182" s="151"/>
      <c r="AX182" s="151"/>
      <c r="AY182" s="151"/>
      <c r="AZ182" s="151"/>
      <c r="BA182" s="151"/>
      <c r="BB182" s="151"/>
      <c r="BC182" s="151"/>
      <c r="BD182" s="151"/>
      <c r="BE182" s="151"/>
      <c r="BF182" s="151"/>
      <c r="BG182" s="151"/>
      <c r="BH182" s="151"/>
      <c r="BI182" s="151"/>
      <c r="BJ182" s="151"/>
      <c r="BK182" s="151"/>
      <c r="BL182" s="122"/>
      <c r="BM182" s="122"/>
      <c r="BN182" s="122"/>
      <c r="BO182" s="122"/>
      <c r="BP182" s="122"/>
      <c r="BQ182" s="122"/>
      <c r="BR182" s="122"/>
    </row>
    <row r="183" spans="1:70" ht="16.5" x14ac:dyDescent="0.3">
      <c r="A183" s="52"/>
      <c r="B183" s="192"/>
      <c r="C183" s="193"/>
      <c r="D183" s="194"/>
      <c r="E183" s="61"/>
      <c r="U183" s="151"/>
      <c r="V183" s="151"/>
      <c r="W183" s="151"/>
      <c r="X183" s="151"/>
      <c r="Y183" s="151"/>
      <c r="Z183" s="151"/>
      <c r="AA183" s="151"/>
      <c r="AB183" s="151"/>
      <c r="AC183" s="151"/>
      <c r="AD183" s="151"/>
      <c r="AE183" s="151"/>
      <c r="AF183" s="151"/>
      <c r="AG183" s="151"/>
      <c r="AH183" s="151"/>
      <c r="AI183" s="151"/>
      <c r="AJ183" s="151"/>
      <c r="AK183" s="151"/>
      <c r="AL183" s="151"/>
      <c r="AM183" s="151"/>
      <c r="AN183" s="151"/>
      <c r="AO183" s="151"/>
      <c r="AP183" s="151"/>
      <c r="AQ183" s="151"/>
      <c r="AR183" s="151"/>
      <c r="AS183" s="151"/>
      <c r="AT183" s="151"/>
      <c r="AU183" s="151"/>
      <c r="AV183" s="151"/>
      <c r="AW183" s="151"/>
      <c r="AX183" s="151"/>
      <c r="AY183" s="151"/>
      <c r="AZ183" s="151"/>
      <c r="BA183" s="151"/>
      <c r="BB183" s="151"/>
      <c r="BC183" s="151"/>
      <c r="BD183" s="151"/>
      <c r="BE183" s="151"/>
      <c r="BF183" s="151"/>
      <c r="BG183" s="151"/>
      <c r="BH183" s="151"/>
      <c r="BI183" s="151"/>
      <c r="BJ183" s="151"/>
      <c r="BK183" s="151"/>
      <c r="BL183" s="122"/>
      <c r="BM183" s="122"/>
      <c r="BN183" s="122"/>
      <c r="BO183" s="122"/>
      <c r="BP183" s="122"/>
      <c r="BQ183" s="122"/>
      <c r="BR183" s="122"/>
    </row>
    <row r="184" spans="1:70" ht="16.5" x14ac:dyDescent="0.3">
      <c r="A184" s="52"/>
      <c r="B184" s="192"/>
      <c r="C184" s="193"/>
      <c r="D184" s="194"/>
      <c r="E184" s="61"/>
      <c r="U184" s="151"/>
      <c r="V184" s="151"/>
      <c r="W184" s="151"/>
      <c r="X184" s="151"/>
      <c r="Y184" s="151"/>
      <c r="Z184" s="151"/>
      <c r="AA184" s="151"/>
      <c r="AB184" s="151"/>
      <c r="AC184" s="151"/>
      <c r="AD184" s="151"/>
      <c r="AE184" s="151"/>
      <c r="AF184" s="151"/>
      <c r="AG184" s="151"/>
      <c r="AH184" s="151"/>
      <c r="AI184" s="151"/>
      <c r="AJ184" s="151"/>
      <c r="AK184" s="151"/>
      <c r="AL184" s="151"/>
      <c r="AM184" s="151"/>
      <c r="AN184" s="151"/>
      <c r="AO184" s="151"/>
      <c r="AP184" s="151"/>
      <c r="AQ184" s="151"/>
      <c r="AR184" s="151"/>
      <c r="AS184" s="151"/>
      <c r="AT184" s="151"/>
      <c r="AU184" s="151"/>
      <c r="AV184" s="151"/>
      <c r="AW184" s="151"/>
      <c r="AX184" s="151"/>
      <c r="AY184" s="151"/>
      <c r="AZ184" s="151"/>
      <c r="BA184" s="151"/>
      <c r="BB184" s="151"/>
      <c r="BC184" s="151"/>
      <c r="BD184" s="151"/>
      <c r="BE184" s="151"/>
      <c r="BF184" s="151"/>
      <c r="BG184" s="151"/>
      <c r="BH184" s="151"/>
      <c r="BI184" s="151"/>
      <c r="BJ184" s="151"/>
      <c r="BK184" s="151"/>
      <c r="BL184" s="122"/>
      <c r="BM184" s="122"/>
      <c r="BN184" s="122"/>
      <c r="BO184" s="122"/>
      <c r="BP184" s="122"/>
      <c r="BQ184" s="122"/>
      <c r="BR184" s="122"/>
    </row>
    <row r="185" spans="1:70" ht="16.5" x14ac:dyDescent="0.3">
      <c r="A185" s="52"/>
      <c r="B185" s="192"/>
      <c r="C185" s="193"/>
      <c r="D185" s="194"/>
      <c r="E185" s="61"/>
      <c r="U185" s="151"/>
      <c r="V185" s="151"/>
      <c r="W185" s="151"/>
      <c r="X185" s="151"/>
      <c r="Y185" s="151"/>
      <c r="Z185" s="151"/>
      <c r="AA185" s="151"/>
      <c r="AB185" s="151"/>
      <c r="AC185" s="151"/>
      <c r="AD185" s="151"/>
      <c r="AE185" s="151"/>
      <c r="AF185" s="151"/>
      <c r="AG185" s="151"/>
      <c r="AH185" s="151"/>
      <c r="AI185" s="151"/>
      <c r="AJ185" s="151"/>
      <c r="AK185" s="151"/>
      <c r="AL185" s="151"/>
      <c r="AM185" s="151"/>
      <c r="AN185" s="151"/>
      <c r="AO185" s="151"/>
      <c r="AP185" s="151"/>
      <c r="AQ185" s="151"/>
      <c r="AR185" s="151"/>
      <c r="AS185" s="151"/>
      <c r="AT185" s="151"/>
      <c r="AU185" s="151"/>
      <c r="AV185" s="151"/>
      <c r="AW185" s="151"/>
      <c r="AX185" s="151"/>
      <c r="AY185" s="151"/>
      <c r="AZ185" s="151"/>
      <c r="BA185" s="151"/>
      <c r="BB185" s="151"/>
      <c r="BC185" s="151"/>
      <c r="BD185" s="151"/>
      <c r="BE185" s="151"/>
      <c r="BF185" s="151"/>
      <c r="BG185" s="151"/>
      <c r="BH185" s="151"/>
      <c r="BI185" s="151"/>
      <c r="BJ185" s="151"/>
      <c r="BK185" s="151"/>
      <c r="BL185" s="122"/>
      <c r="BM185" s="122"/>
      <c r="BN185" s="122"/>
      <c r="BO185" s="122"/>
      <c r="BP185" s="122"/>
      <c r="BQ185" s="122"/>
      <c r="BR185" s="122"/>
    </row>
    <row r="186" spans="1:70" ht="16.5" x14ac:dyDescent="0.3">
      <c r="A186" s="52"/>
      <c r="B186" s="192"/>
      <c r="C186" s="193"/>
      <c r="D186" s="194"/>
      <c r="E186" s="61"/>
      <c r="U186" s="151"/>
      <c r="V186" s="151"/>
      <c r="W186" s="151"/>
      <c r="X186" s="151"/>
      <c r="Y186" s="151"/>
      <c r="Z186" s="151"/>
      <c r="AA186" s="151"/>
      <c r="AB186" s="151"/>
      <c r="AC186" s="151"/>
      <c r="AD186" s="151"/>
      <c r="AE186" s="151"/>
      <c r="AF186" s="151"/>
      <c r="AG186" s="151"/>
      <c r="AH186" s="151"/>
      <c r="AI186" s="151"/>
      <c r="AJ186" s="151"/>
      <c r="AK186" s="151"/>
      <c r="AL186" s="151"/>
      <c r="AM186" s="151"/>
      <c r="AN186" s="151"/>
      <c r="AO186" s="151"/>
      <c r="AP186" s="151"/>
      <c r="AQ186" s="151"/>
      <c r="AR186" s="151"/>
      <c r="AS186" s="151"/>
      <c r="AT186" s="151"/>
      <c r="AU186" s="151"/>
      <c r="AV186" s="151"/>
      <c r="AW186" s="151"/>
      <c r="AX186" s="151"/>
      <c r="AY186" s="151"/>
      <c r="AZ186" s="151"/>
      <c r="BA186" s="151"/>
      <c r="BB186" s="151"/>
      <c r="BC186" s="151"/>
      <c r="BD186" s="151"/>
      <c r="BE186" s="151"/>
      <c r="BF186" s="151"/>
      <c r="BG186" s="151"/>
      <c r="BH186" s="151"/>
      <c r="BI186" s="151"/>
      <c r="BJ186" s="151"/>
      <c r="BK186" s="151"/>
      <c r="BL186" s="122"/>
      <c r="BM186" s="122"/>
      <c r="BN186" s="122"/>
      <c r="BO186" s="122"/>
      <c r="BP186" s="122"/>
      <c r="BQ186" s="122"/>
      <c r="BR186" s="122"/>
    </row>
    <row r="187" spans="1:70" ht="16.5" x14ac:dyDescent="0.3">
      <c r="A187" s="52"/>
      <c r="B187" s="192"/>
      <c r="C187" s="193"/>
      <c r="D187" s="194"/>
      <c r="E187" s="61"/>
      <c r="U187" s="151"/>
      <c r="V187" s="151"/>
      <c r="W187" s="151"/>
      <c r="X187" s="151"/>
      <c r="Y187" s="151"/>
      <c r="Z187" s="151"/>
      <c r="AA187" s="151"/>
      <c r="AB187" s="151"/>
      <c r="AC187" s="151"/>
      <c r="AD187" s="151"/>
      <c r="AE187" s="151"/>
      <c r="AF187" s="151"/>
      <c r="AG187" s="151"/>
      <c r="AH187" s="151"/>
      <c r="AI187" s="151"/>
      <c r="AJ187" s="151"/>
      <c r="AK187" s="151"/>
      <c r="AL187" s="151"/>
      <c r="AM187" s="151"/>
      <c r="AN187" s="151"/>
      <c r="AO187" s="151"/>
      <c r="AP187" s="151"/>
      <c r="AQ187" s="151"/>
      <c r="AR187" s="151"/>
      <c r="AS187" s="151"/>
      <c r="AT187" s="151"/>
      <c r="AU187" s="151"/>
      <c r="AV187" s="151"/>
      <c r="AW187" s="151"/>
      <c r="AX187" s="151"/>
      <c r="AY187" s="151"/>
      <c r="AZ187" s="151"/>
      <c r="BA187" s="151"/>
      <c r="BB187" s="151"/>
      <c r="BC187" s="151"/>
      <c r="BD187" s="151"/>
      <c r="BE187" s="151"/>
      <c r="BF187" s="151"/>
      <c r="BG187" s="151"/>
      <c r="BH187" s="151"/>
      <c r="BI187" s="151"/>
      <c r="BJ187" s="151"/>
      <c r="BK187" s="151"/>
      <c r="BL187" s="122"/>
      <c r="BM187" s="122"/>
      <c r="BN187" s="122"/>
      <c r="BO187" s="122"/>
      <c r="BP187" s="122"/>
      <c r="BQ187" s="122"/>
      <c r="BR187" s="122"/>
    </row>
    <row r="188" spans="1:70" ht="16.5" x14ac:dyDescent="0.3">
      <c r="A188" s="52"/>
      <c r="B188" s="192"/>
      <c r="C188" s="193"/>
      <c r="D188" s="194"/>
      <c r="E188" s="61"/>
      <c r="U188" s="151"/>
      <c r="V188" s="151"/>
      <c r="W188" s="151"/>
      <c r="X188" s="151"/>
      <c r="Y188" s="151"/>
      <c r="Z188" s="151"/>
      <c r="AA188" s="151"/>
      <c r="AB188" s="151"/>
      <c r="AC188" s="151"/>
      <c r="AD188" s="151"/>
      <c r="AE188" s="151"/>
      <c r="AF188" s="151"/>
      <c r="AG188" s="151"/>
      <c r="AH188" s="151"/>
      <c r="AI188" s="151"/>
      <c r="AJ188" s="151"/>
      <c r="AK188" s="151"/>
      <c r="AL188" s="151"/>
      <c r="AM188" s="151"/>
      <c r="AN188" s="151"/>
      <c r="AO188" s="151"/>
      <c r="AP188" s="151"/>
      <c r="AQ188" s="151"/>
      <c r="AR188" s="151"/>
      <c r="AS188" s="151"/>
      <c r="AT188" s="151"/>
      <c r="AU188" s="151"/>
      <c r="AV188" s="151"/>
      <c r="AW188" s="151"/>
      <c r="AX188" s="151"/>
      <c r="AY188" s="151"/>
      <c r="AZ188" s="151"/>
      <c r="BA188" s="151"/>
      <c r="BB188" s="151"/>
      <c r="BC188" s="151"/>
      <c r="BD188" s="151"/>
      <c r="BE188" s="151"/>
      <c r="BF188" s="151"/>
      <c r="BG188" s="151"/>
      <c r="BH188" s="151"/>
      <c r="BI188" s="151"/>
      <c r="BJ188" s="151"/>
      <c r="BK188" s="151"/>
      <c r="BL188" s="122"/>
      <c r="BM188" s="122"/>
      <c r="BN188" s="122"/>
      <c r="BO188" s="122"/>
      <c r="BP188" s="122"/>
      <c r="BQ188" s="122"/>
      <c r="BR188" s="122"/>
    </row>
    <row r="189" spans="1:70" ht="16.5" x14ac:dyDescent="0.3">
      <c r="A189" s="52"/>
      <c r="B189" s="192"/>
      <c r="C189" s="193"/>
      <c r="D189" s="194"/>
      <c r="E189" s="61"/>
      <c r="U189" s="151"/>
      <c r="V189" s="151"/>
      <c r="W189" s="151"/>
      <c r="X189" s="151"/>
      <c r="Y189" s="151"/>
      <c r="Z189" s="151"/>
      <c r="AA189" s="151"/>
      <c r="AB189" s="151"/>
      <c r="AC189" s="151"/>
      <c r="AD189" s="151"/>
      <c r="AE189" s="151"/>
      <c r="AF189" s="151"/>
      <c r="AG189" s="151"/>
      <c r="AH189" s="151"/>
      <c r="AI189" s="151"/>
      <c r="AJ189" s="151"/>
      <c r="AK189" s="151"/>
      <c r="AL189" s="151"/>
      <c r="AM189" s="151"/>
      <c r="AN189" s="151"/>
      <c r="AO189" s="151"/>
      <c r="AP189" s="151"/>
      <c r="AQ189" s="151"/>
      <c r="AR189" s="151"/>
      <c r="AS189" s="151"/>
      <c r="AT189" s="151"/>
      <c r="AU189" s="151"/>
      <c r="AV189" s="151"/>
      <c r="AW189" s="151"/>
      <c r="AX189" s="151"/>
      <c r="AY189" s="151"/>
      <c r="AZ189" s="151"/>
      <c r="BA189" s="151"/>
      <c r="BB189" s="151"/>
      <c r="BC189" s="151"/>
      <c r="BD189" s="151"/>
      <c r="BE189" s="151"/>
      <c r="BF189" s="151"/>
      <c r="BG189" s="151"/>
      <c r="BH189" s="151"/>
      <c r="BI189" s="151"/>
      <c r="BJ189" s="151"/>
      <c r="BK189" s="151"/>
      <c r="BL189" s="122"/>
      <c r="BM189" s="122"/>
      <c r="BN189" s="122"/>
      <c r="BO189" s="122"/>
      <c r="BP189" s="122"/>
      <c r="BQ189" s="122"/>
      <c r="BR189" s="122"/>
    </row>
    <row r="190" spans="1:70" ht="16.5" x14ac:dyDescent="0.3">
      <c r="A190" s="52"/>
      <c r="B190" s="192"/>
      <c r="C190" s="193"/>
      <c r="D190" s="194"/>
      <c r="E190" s="61"/>
      <c r="U190" s="151"/>
      <c r="V190" s="151"/>
      <c r="W190" s="151"/>
      <c r="X190" s="151"/>
      <c r="Y190" s="151"/>
      <c r="Z190" s="151"/>
      <c r="AA190" s="151"/>
      <c r="AB190" s="151"/>
      <c r="AC190" s="151"/>
      <c r="AD190" s="151"/>
      <c r="AE190" s="151"/>
      <c r="AF190" s="151"/>
      <c r="AG190" s="151"/>
      <c r="AH190" s="151"/>
      <c r="AI190" s="151"/>
      <c r="AJ190" s="151"/>
      <c r="AK190" s="151"/>
      <c r="AL190" s="151"/>
      <c r="AM190" s="151"/>
      <c r="AN190" s="151"/>
      <c r="AO190" s="151"/>
      <c r="AP190" s="151"/>
      <c r="AQ190" s="151"/>
      <c r="AR190" s="151"/>
      <c r="AS190" s="151"/>
      <c r="AT190" s="151"/>
      <c r="AU190" s="151"/>
      <c r="AV190" s="151"/>
      <c r="AW190" s="151"/>
      <c r="AX190" s="151"/>
      <c r="AY190" s="151"/>
      <c r="AZ190" s="151"/>
      <c r="BA190" s="151"/>
      <c r="BB190" s="151"/>
      <c r="BC190" s="151"/>
      <c r="BD190" s="151"/>
      <c r="BE190" s="151"/>
      <c r="BF190" s="151"/>
      <c r="BG190" s="151"/>
      <c r="BH190" s="151"/>
      <c r="BI190" s="151"/>
      <c r="BJ190" s="151"/>
      <c r="BK190" s="151"/>
      <c r="BL190" s="122"/>
      <c r="BM190" s="122"/>
      <c r="BN190" s="122"/>
      <c r="BO190" s="122"/>
      <c r="BP190" s="122"/>
      <c r="BQ190" s="122"/>
      <c r="BR190" s="122"/>
    </row>
    <row r="191" spans="1:70" ht="16.5" x14ac:dyDescent="0.3">
      <c r="A191" s="52"/>
      <c r="B191" s="195"/>
      <c r="C191" s="193"/>
      <c r="D191" s="194"/>
      <c r="E191" s="61"/>
      <c r="U191" s="151"/>
      <c r="V191" s="151"/>
      <c r="W191" s="151"/>
      <c r="X191" s="151"/>
      <c r="Y191" s="151"/>
      <c r="Z191" s="151"/>
      <c r="AA191" s="151"/>
      <c r="AB191" s="151"/>
      <c r="AC191" s="151"/>
      <c r="AD191" s="151"/>
      <c r="AE191" s="151"/>
      <c r="AF191" s="151"/>
      <c r="AG191" s="151"/>
      <c r="AH191" s="151"/>
      <c r="AI191" s="151"/>
      <c r="AJ191" s="151"/>
      <c r="AK191" s="151"/>
      <c r="AL191" s="151"/>
      <c r="AM191" s="151"/>
      <c r="AN191" s="151"/>
      <c r="AO191" s="151"/>
      <c r="AP191" s="151"/>
      <c r="AQ191" s="151"/>
      <c r="AR191" s="151"/>
      <c r="AS191" s="151"/>
      <c r="AT191" s="151"/>
      <c r="AU191" s="151"/>
      <c r="AV191" s="151"/>
      <c r="AW191" s="151"/>
      <c r="AX191" s="151"/>
      <c r="AY191" s="151"/>
      <c r="AZ191" s="151"/>
      <c r="BA191" s="151"/>
      <c r="BB191" s="151"/>
      <c r="BC191" s="151"/>
      <c r="BD191" s="151"/>
      <c r="BE191" s="151"/>
      <c r="BF191" s="151"/>
      <c r="BG191" s="151"/>
      <c r="BH191" s="151"/>
      <c r="BI191" s="151"/>
      <c r="BJ191" s="151"/>
      <c r="BK191" s="151"/>
      <c r="BL191" s="122"/>
      <c r="BM191" s="122"/>
      <c r="BN191" s="122"/>
      <c r="BO191" s="122"/>
      <c r="BP191" s="122"/>
      <c r="BQ191" s="122"/>
      <c r="BR191" s="122"/>
    </row>
    <row r="192" spans="1:70" ht="16.5" x14ac:dyDescent="0.3">
      <c r="A192" s="52"/>
      <c r="B192" s="192"/>
      <c r="C192" s="193"/>
      <c r="D192" s="194"/>
      <c r="E192" s="61"/>
      <c r="U192" s="151"/>
      <c r="V192" s="151"/>
      <c r="W192" s="151"/>
      <c r="X192" s="151"/>
      <c r="Y192" s="151"/>
      <c r="Z192" s="151"/>
      <c r="AA192" s="151"/>
      <c r="AB192" s="151"/>
      <c r="AC192" s="151"/>
      <c r="AD192" s="151"/>
      <c r="AE192" s="151"/>
      <c r="AF192" s="151"/>
      <c r="AG192" s="151"/>
      <c r="AH192" s="151"/>
      <c r="AI192" s="151"/>
      <c r="AJ192" s="151"/>
      <c r="AK192" s="151"/>
      <c r="AL192" s="151"/>
      <c r="AM192" s="151"/>
      <c r="AN192" s="151"/>
      <c r="AO192" s="151"/>
      <c r="AP192" s="151"/>
      <c r="AQ192" s="151"/>
      <c r="AR192" s="151"/>
      <c r="AS192" s="151"/>
      <c r="AT192" s="151"/>
      <c r="AU192" s="151"/>
      <c r="AV192" s="151"/>
      <c r="AW192" s="151"/>
      <c r="AX192" s="151"/>
      <c r="AY192" s="151"/>
      <c r="AZ192" s="151"/>
      <c r="BA192" s="151"/>
      <c r="BB192" s="151"/>
      <c r="BC192" s="151"/>
      <c r="BD192" s="151"/>
      <c r="BE192" s="151"/>
      <c r="BF192" s="151"/>
      <c r="BG192" s="151"/>
      <c r="BH192" s="151"/>
      <c r="BI192" s="151"/>
      <c r="BJ192" s="151"/>
      <c r="BK192" s="151"/>
      <c r="BL192" s="122"/>
      <c r="BM192" s="122"/>
      <c r="BN192" s="122"/>
      <c r="BO192" s="122"/>
      <c r="BP192" s="122"/>
      <c r="BQ192" s="122"/>
      <c r="BR192" s="122"/>
    </row>
    <row r="193" spans="1:70" ht="16.5" x14ac:dyDescent="0.3">
      <c r="A193" s="52"/>
      <c r="B193" s="196"/>
      <c r="C193" s="193"/>
      <c r="D193" s="194"/>
      <c r="E193" s="61"/>
      <c r="U193" s="151"/>
      <c r="V193" s="151"/>
      <c r="W193" s="151"/>
      <c r="X193" s="151"/>
      <c r="Y193" s="151"/>
      <c r="Z193" s="151"/>
      <c r="AA193" s="151"/>
      <c r="AB193" s="151"/>
      <c r="AC193" s="151"/>
      <c r="AD193" s="151"/>
      <c r="AE193" s="151"/>
      <c r="AF193" s="151"/>
      <c r="AG193" s="151"/>
      <c r="AH193" s="151"/>
      <c r="AI193" s="151"/>
      <c r="AJ193" s="151"/>
      <c r="AK193" s="151"/>
      <c r="AL193" s="151"/>
      <c r="AM193" s="151"/>
      <c r="AN193" s="151"/>
      <c r="AO193" s="151"/>
      <c r="AP193" s="151"/>
      <c r="AQ193" s="151"/>
      <c r="AR193" s="151"/>
      <c r="AS193" s="151"/>
      <c r="AT193" s="151"/>
      <c r="AU193" s="151"/>
      <c r="AV193" s="151"/>
      <c r="AW193" s="151"/>
      <c r="AX193" s="151"/>
      <c r="AY193" s="151"/>
      <c r="AZ193" s="151"/>
      <c r="BA193" s="151"/>
      <c r="BB193" s="151"/>
      <c r="BC193" s="151"/>
      <c r="BD193" s="151"/>
      <c r="BE193" s="151"/>
      <c r="BF193" s="151"/>
      <c r="BG193" s="151"/>
      <c r="BH193" s="151"/>
      <c r="BI193" s="151"/>
      <c r="BJ193" s="151"/>
      <c r="BK193" s="151"/>
      <c r="BL193" s="122"/>
      <c r="BM193" s="122"/>
      <c r="BN193" s="122"/>
      <c r="BO193" s="122"/>
      <c r="BP193" s="122"/>
      <c r="BQ193" s="122"/>
      <c r="BR193" s="122"/>
    </row>
    <row r="194" spans="1:70" ht="16.5" x14ac:dyDescent="0.3">
      <c r="A194" s="52"/>
      <c r="B194" s="192"/>
      <c r="C194" s="193"/>
      <c r="D194" s="194"/>
      <c r="E194" s="61"/>
      <c r="U194" s="151"/>
      <c r="V194" s="151"/>
      <c r="W194" s="151"/>
      <c r="X194" s="151"/>
      <c r="Y194" s="151"/>
      <c r="Z194" s="151"/>
      <c r="AA194" s="151"/>
      <c r="AB194" s="151"/>
      <c r="AC194" s="151"/>
      <c r="AD194" s="151"/>
      <c r="AE194" s="151"/>
      <c r="AF194" s="151"/>
      <c r="AG194" s="151"/>
      <c r="AH194" s="151"/>
      <c r="AI194" s="151"/>
      <c r="AJ194" s="151"/>
      <c r="AK194" s="151"/>
      <c r="AL194" s="151"/>
      <c r="AM194" s="151"/>
      <c r="AN194" s="151"/>
      <c r="AO194" s="151"/>
      <c r="AP194" s="151"/>
      <c r="AQ194" s="151"/>
      <c r="AR194" s="151"/>
      <c r="AS194" s="151"/>
      <c r="AT194" s="151"/>
      <c r="AU194" s="151"/>
      <c r="AV194" s="151"/>
      <c r="AW194" s="151"/>
      <c r="AX194" s="151"/>
      <c r="AY194" s="151"/>
      <c r="AZ194" s="151"/>
      <c r="BA194" s="151"/>
      <c r="BB194" s="151"/>
      <c r="BC194" s="151"/>
      <c r="BD194" s="151"/>
      <c r="BE194" s="151"/>
      <c r="BF194" s="151"/>
      <c r="BG194" s="151"/>
      <c r="BH194" s="151"/>
      <c r="BI194" s="151"/>
      <c r="BJ194" s="151"/>
      <c r="BK194" s="151"/>
      <c r="BL194" s="122"/>
      <c r="BM194" s="122"/>
      <c r="BN194" s="122"/>
      <c r="BO194" s="122"/>
      <c r="BP194" s="122"/>
      <c r="BQ194" s="122"/>
      <c r="BR194" s="122"/>
    </row>
    <row r="195" spans="1:70" ht="16.5" x14ac:dyDescent="0.3">
      <c r="A195" s="52"/>
      <c r="B195" s="192"/>
      <c r="C195" s="193"/>
      <c r="D195" s="194"/>
      <c r="E195" s="61"/>
      <c r="U195" s="151"/>
      <c r="V195" s="151"/>
      <c r="W195" s="151"/>
      <c r="X195" s="151"/>
      <c r="Y195" s="151"/>
      <c r="Z195" s="151"/>
      <c r="AA195" s="151"/>
      <c r="AB195" s="151"/>
      <c r="AC195" s="151"/>
      <c r="AD195" s="151"/>
      <c r="AE195" s="151"/>
      <c r="AF195" s="151"/>
      <c r="AG195" s="151"/>
      <c r="AH195" s="151"/>
      <c r="AI195" s="151"/>
      <c r="AJ195" s="151"/>
      <c r="AK195" s="151"/>
      <c r="AL195" s="151"/>
      <c r="AM195" s="151"/>
      <c r="AN195" s="151"/>
      <c r="AO195" s="151"/>
      <c r="AP195" s="151"/>
      <c r="AQ195" s="151"/>
      <c r="AR195" s="151"/>
      <c r="AS195" s="151"/>
      <c r="AT195" s="151"/>
      <c r="AU195" s="151"/>
      <c r="AV195" s="151"/>
      <c r="AW195" s="151"/>
      <c r="AX195" s="151"/>
      <c r="AY195" s="151"/>
      <c r="AZ195" s="151"/>
      <c r="BA195" s="151"/>
      <c r="BB195" s="151"/>
      <c r="BC195" s="151"/>
      <c r="BD195" s="151"/>
      <c r="BE195" s="151"/>
      <c r="BF195" s="151"/>
      <c r="BG195" s="151"/>
      <c r="BH195" s="151"/>
      <c r="BI195" s="151"/>
      <c r="BJ195" s="151"/>
      <c r="BK195" s="151"/>
      <c r="BL195" s="122"/>
      <c r="BM195" s="122"/>
      <c r="BN195" s="122"/>
      <c r="BO195" s="122"/>
      <c r="BP195" s="122"/>
      <c r="BQ195" s="122"/>
      <c r="BR195" s="122"/>
    </row>
    <row r="196" spans="1:70" ht="16.5" x14ac:dyDescent="0.3">
      <c r="A196" s="52"/>
      <c r="B196" s="192"/>
      <c r="C196" s="193"/>
      <c r="D196" s="194"/>
      <c r="E196" s="61"/>
      <c r="U196" s="151"/>
      <c r="V196" s="151"/>
      <c r="W196" s="151"/>
      <c r="X196" s="151"/>
      <c r="Y196" s="151"/>
      <c r="Z196" s="151"/>
      <c r="AA196" s="151"/>
      <c r="AB196" s="151"/>
      <c r="AC196" s="151"/>
      <c r="AD196" s="151"/>
      <c r="AE196" s="151"/>
      <c r="AF196" s="151"/>
      <c r="AG196" s="151"/>
      <c r="AH196" s="151"/>
      <c r="AI196" s="151"/>
      <c r="AJ196" s="151"/>
      <c r="AK196" s="151"/>
      <c r="AL196" s="151"/>
      <c r="AM196" s="151"/>
      <c r="AN196" s="151"/>
      <c r="AO196" s="151"/>
      <c r="AP196" s="151"/>
      <c r="AQ196" s="151"/>
      <c r="AR196" s="151"/>
      <c r="AS196" s="151"/>
      <c r="AT196" s="151"/>
      <c r="AU196" s="151"/>
      <c r="AV196" s="151"/>
      <c r="AW196" s="151"/>
      <c r="AX196" s="151"/>
      <c r="AY196" s="151"/>
      <c r="AZ196" s="151"/>
      <c r="BA196" s="151"/>
      <c r="BB196" s="151"/>
      <c r="BC196" s="151"/>
      <c r="BD196" s="151"/>
      <c r="BE196" s="151"/>
      <c r="BF196" s="151"/>
      <c r="BG196" s="151"/>
      <c r="BH196" s="151"/>
      <c r="BI196" s="151"/>
      <c r="BJ196" s="151"/>
      <c r="BK196" s="151"/>
      <c r="BL196" s="122"/>
      <c r="BM196" s="122"/>
      <c r="BN196" s="122"/>
      <c r="BO196" s="122"/>
      <c r="BP196" s="122"/>
      <c r="BQ196" s="122"/>
      <c r="BR196" s="122"/>
    </row>
    <row r="197" spans="1:70" ht="16.5" x14ac:dyDescent="0.3">
      <c r="A197" s="52"/>
      <c r="B197" s="196"/>
      <c r="C197" s="193"/>
      <c r="D197" s="194"/>
      <c r="E197" s="61"/>
      <c r="U197" s="151"/>
      <c r="V197" s="151"/>
      <c r="W197" s="151"/>
      <c r="X197" s="151"/>
      <c r="Y197" s="151"/>
      <c r="Z197" s="151"/>
      <c r="AA197" s="151"/>
      <c r="AB197" s="151"/>
      <c r="AC197" s="151"/>
      <c r="AD197" s="151"/>
      <c r="AE197" s="151"/>
      <c r="AF197" s="151"/>
      <c r="AG197" s="151"/>
      <c r="AH197" s="151"/>
      <c r="AI197" s="151"/>
      <c r="AJ197" s="151"/>
      <c r="AK197" s="151"/>
      <c r="AL197" s="151"/>
      <c r="AM197" s="151"/>
      <c r="AN197" s="151"/>
      <c r="AO197" s="151"/>
      <c r="AP197" s="151"/>
      <c r="AQ197" s="151"/>
      <c r="AR197" s="151"/>
      <c r="AS197" s="151"/>
      <c r="AT197" s="151"/>
      <c r="AU197" s="151"/>
      <c r="AV197" s="151"/>
      <c r="AW197" s="151"/>
      <c r="AX197" s="151"/>
      <c r="AY197" s="151"/>
      <c r="AZ197" s="151"/>
      <c r="BA197" s="151"/>
      <c r="BB197" s="151"/>
      <c r="BC197" s="151"/>
      <c r="BD197" s="151"/>
      <c r="BE197" s="151"/>
      <c r="BF197" s="151"/>
      <c r="BG197" s="151"/>
      <c r="BH197" s="151"/>
      <c r="BI197" s="151"/>
      <c r="BJ197" s="151"/>
      <c r="BK197" s="151"/>
      <c r="BL197" s="122"/>
      <c r="BM197" s="122"/>
      <c r="BN197" s="122"/>
      <c r="BO197" s="122"/>
      <c r="BP197" s="122"/>
      <c r="BQ197" s="122"/>
      <c r="BR197" s="122"/>
    </row>
    <row r="198" spans="1:70" ht="16.5" x14ac:dyDescent="0.3">
      <c r="A198" s="52"/>
      <c r="B198" s="192"/>
      <c r="C198" s="193"/>
      <c r="D198" s="194"/>
      <c r="E198" s="61"/>
      <c r="U198" s="151"/>
      <c r="V198" s="151"/>
      <c r="W198" s="151"/>
      <c r="X198" s="151"/>
      <c r="Y198" s="151"/>
      <c r="Z198" s="151"/>
      <c r="AA198" s="151"/>
      <c r="AB198" s="151"/>
      <c r="AC198" s="151"/>
      <c r="AD198" s="151"/>
      <c r="AE198" s="151"/>
      <c r="AF198" s="151"/>
      <c r="AG198" s="151"/>
      <c r="AH198" s="151"/>
      <c r="AI198" s="151"/>
      <c r="AJ198" s="151"/>
      <c r="AK198" s="151"/>
      <c r="AL198" s="151"/>
      <c r="AM198" s="151"/>
      <c r="AN198" s="151"/>
      <c r="AO198" s="151"/>
      <c r="AP198" s="151"/>
      <c r="AQ198" s="151"/>
      <c r="AR198" s="151"/>
      <c r="AS198" s="151"/>
      <c r="AT198" s="151"/>
      <c r="AU198" s="151"/>
      <c r="AV198" s="151"/>
      <c r="AW198" s="151"/>
      <c r="AX198" s="151"/>
      <c r="AY198" s="151"/>
      <c r="AZ198" s="151"/>
      <c r="BA198" s="151"/>
      <c r="BB198" s="151"/>
      <c r="BC198" s="151"/>
      <c r="BD198" s="151"/>
      <c r="BE198" s="151"/>
      <c r="BF198" s="151"/>
      <c r="BG198" s="151"/>
      <c r="BH198" s="151"/>
      <c r="BI198" s="151"/>
      <c r="BJ198" s="151"/>
      <c r="BK198" s="151"/>
      <c r="BL198" s="122"/>
      <c r="BM198" s="122"/>
      <c r="BN198" s="122"/>
      <c r="BO198" s="122"/>
      <c r="BP198" s="122"/>
      <c r="BQ198" s="122"/>
      <c r="BR198" s="122"/>
    </row>
    <row r="199" spans="1:70" ht="16.5" x14ac:dyDescent="0.3">
      <c r="A199" s="52"/>
      <c r="B199" s="192"/>
      <c r="C199" s="193"/>
      <c r="D199" s="194"/>
      <c r="E199" s="61"/>
      <c r="U199" s="151"/>
      <c r="V199" s="151"/>
      <c r="W199" s="151"/>
      <c r="X199" s="151"/>
      <c r="Y199" s="151"/>
      <c r="Z199" s="151"/>
      <c r="AA199" s="151"/>
      <c r="AB199" s="151"/>
      <c r="AC199" s="151"/>
      <c r="AD199" s="151"/>
      <c r="AE199" s="151"/>
      <c r="AF199" s="151"/>
      <c r="AG199" s="151"/>
      <c r="AH199" s="151"/>
      <c r="AI199" s="151"/>
      <c r="AJ199" s="151"/>
      <c r="AK199" s="151"/>
      <c r="AL199" s="151"/>
      <c r="AM199" s="151"/>
      <c r="AN199" s="151"/>
      <c r="AO199" s="151"/>
      <c r="AP199" s="151"/>
      <c r="AQ199" s="151"/>
      <c r="AR199" s="151"/>
      <c r="AS199" s="151"/>
      <c r="AT199" s="151"/>
      <c r="AU199" s="151"/>
      <c r="AV199" s="151"/>
      <c r="AW199" s="151"/>
      <c r="AX199" s="151"/>
      <c r="AY199" s="151"/>
      <c r="AZ199" s="151"/>
      <c r="BA199" s="151"/>
      <c r="BB199" s="151"/>
      <c r="BC199" s="151"/>
      <c r="BD199" s="151"/>
      <c r="BE199" s="151"/>
      <c r="BF199" s="151"/>
      <c r="BG199" s="151"/>
      <c r="BH199" s="151"/>
      <c r="BI199" s="151"/>
      <c r="BJ199" s="151"/>
      <c r="BK199" s="151"/>
      <c r="BL199" s="122"/>
      <c r="BM199" s="122"/>
      <c r="BN199" s="122"/>
      <c r="BO199" s="122"/>
      <c r="BP199" s="122"/>
      <c r="BQ199" s="122"/>
      <c r="BR199" s="122"/>
    </row>
    <row r="200" spans="1:70" ht="16.5" x14ac:dyDescent="0.3">
      <c r="A200" s="52"/>
      <c r="B200" s="192"/>
      <c r="C200" s="193"/>
      <c r="D200" s="194"/>
      <c r="E200" s="61"/>
      <c r="U200" s="151"/>
      <c r="V200" s="151"/>
      <c r="W200" s="151"/>
      <c r="X200" s="151"/>
      <c r="Y200" s="151"/>
      <c r="Z200" s="151"/>
      <c r="AA200" s="151"/>
      <c r="AB200" s="151"/>
      <c r="AC200" s="151"/>
      <c r="AD200" s="151"/>
      <c r="AE200" s="151"/>
      <c r="AF200" s="151"/>
      <c r="AG200" s="151"/>
      <c r="AH200" s="151"/>
      <c r="AI200" s="151"/>
      <c r="AJ200" s="151"/>
      <c r="AK200" s="151"/>
      <c r="AL200" s="151"/>
      <c r="AM200" s="151"/>
      <c r="AN200" s="151"/>
      <c r="AO200" s="151"/>
      <c r="AP200" s="151"/>
      <c r="AQ200" s="151"/>
      <c r="AR200" s="151"/>
      <c r="AS200" s="151"/>
      <c r="AT200" s="151"/>
      <c r="AU200" s="151"/>
      <c r="AV200" s="151"/>
      <c r="AW200" s="151"/>
      <c r="AX200" s="151"/>
      <c r="AY200" s="151"/>
      <c r="AZ200" s="151"/>
      <c r="BA200" s="151"/>
      <c r="BB200" s="151"/>
      <c r="BC200" s="151"/>
      <c r="BD200" s="151"/>
      <c r="BE200" s="151"/>
      <c r="BF200" s="151"/>
      <c r="BG200" s="151"/>
      <c r="BH200" s="151"/>
      <c r="BI200" s="151"/>
      <c r="BJ200" s="151"/>
      <c r="BK200" s="151"/>
      <c r="BL200" s="122"/>
      <c r="BM200" s="122"/>
      <c r="BN200" s="122"/>
      <c r="BO200" s="122"/>
      <c r="BP200" s="122"/>
      <c r="BQ200" s="122"/>
      <c r="BR200" s="122"/>
    </row>
    <row r="201" spans="1:70" ht="16.5" x14ac:dyDescent="0.3">
      <c r="A201" s="52"/>
      <c r="B201" s="192"/>
      <c r="C201" s="193"/>
      <c r="D201" s="194"/>
      <c r="E201" s="61"/>
      <c r="U201" s="151"/>
      <c r="V201" s="151"/>
      <c r="W201" s="151"/>
      <c r="X201" s="151"/>
      <c r="Y201" s="151"/>
      <c r="Z201" s="151"/>
      <c r="AA201" s="151"/>
      <c r="AB201" s="151"/>
      <c r="AC201" s="151"/>
      <c r="AD201" s="151"/>
      <c r="AE201" s="151"/>
      <c r="AF201" s="151"/>
      <c r="AG201" s="151"/>
      <c r="AH201" s="151"/>
      <c r="AI201" s="151"/>
      <c r="AJ201" s="151"/>
      <c r="AK201" s="151"/>
      <c r="AL201" s="151"/>
      <c r="AM201" s="151"/>
      <c r="AN201" s="151"/>
      <c r="AO201" s="151"/>
      <c r="AP201" s="151"/>
      <c r="AQ201" s="151"/>
      <c r="AR201" s="151"/>
      <c r="AS201" s="151"/>
      <c r="AT201" s="151"/>
      <c r="AU201" s="151"/>
      <c r="AV201" s="151"/>
      <c r="AW201" s="151"/>
      <c r="AX201" s="151"/>
      <c r="AY201" s="151"/>
      <c r="AZ201" s="151"/>
      <c r="BA201" s="151"/>
      <c r="BB201" s="151"/>
      <c r="BC201" s="151"/>
      <c r="BD201" s="151"/>
      <c r="BE201" s="151"/>
      <c r="BF201" s="151"/>
      <c r="BG201" s="151"/>
      <c r="BH201" s="151"/>
      <c r="BI201" s="151"/>
      <c r="BJ201" s="151"/>
      <c r="BK201" s="151"/>
      <c r="BL201" s="122"/>
      <c r="BM201" s="122"/>
      <c r="BN201" s="122"/>
      <c r="BO201" s="122"/>
      <c r="BP201" s="122"/>
      <c r="BQ201" s="122"/>
      <c r="BR201" s="122"/>
    </row>
    <row r="202" spans="1:70" ht="16.5" x14ac:dyDescent="0.3">
      <c r="A202" s="52"/>
      <c r="B202" s="192"/>
      <c r="C202" s="193"/>
      <c r="D202" s="194"/>
      <c r="E202" s="61"/>
      <c r="U202" s="151"/>
      <c r="V202" s="151"/>
      <c r="W202" s="151"/>
      <c r="X202" s="151"/>
      <c r="Y202" s="151"/>
      <c r="Z202" s="151"/>
      <c r="AA202" s="151"/>
      <c r="AB202" s="151"/>
      <c r="AC202" s="151"/>
      <c r="AD202" s="151"/>
      <c r="AE202" s="151"/>
      <c r="AF202" s="151"/>
      <c r="AG202" s="151"/>
      <c r="AH202" s="151"/>
      <c r="AI202" s="151"/>
      <c r="AJ202" s="151"/>
      <c r="AK202" s="151"/>
      <c r="AL202" s="151"/>
      <c r="AM202" s="151"/>
      <c r="AN202" s="151"/>
      <c r="AO202" s="151"/>
      <c r="AP202" s="151"/>
      <c r="AQ202" s="151"/>
      <c r="AR202" s="151"/>
      <c r="AS202" s="151"/>
      <c r="AT202" s="151"/>
      <c r="AU202" s="151"/>
      <c r="AV202" s="151"/>
      <c r="AW202" s="151"/>
      <c r="AX202" s="151"/>
      <c r="AY202" s="151"/>
      <c r="AZ202" s="151"/>
      <c r="BA202" s="151"/>
      <c r="BB202" s="151"/>
      <c r="BC202" s="151"/>
      <c r="BD202" s="151"/>
      <c r="BE202" s="151"/>
      <c r="BF202" s="151"/>
      <c r="BG202" s="151"/>
      <c r="BH202" s="151"/>
      <c r="BI202" s="151"/>
      <c r="BJ202" s="151"/>
      <c r="BK202" s="151"/>
      <c r="BL202" s="122"/>
      <c r="BM202" s="122"/>
      <c r="BN202" s="122"/>
      <c r="BO202" s="122"/>
      <c r="BP202" s="122"/>
      <c r="BQ202" s="122"/>
      <c r="BR202" s="122"/>
    </row>
    <row r="203" spans="1:70" ht="16.5" x14ac:dyDescent="0.3">
      <c r="A203" s="52"/>
      <c r="B203" s="192"/>
      <c r="C203" s="193"/>
      <c r="D203" s="194"/>
      <c r="E203" s="61"/>
      <c r="U203" s="151"/>
      <c r="V203" s="151"/>
      <c r="W203" s="151"/>
      <c r="X203" s="151"/>
      <c r="Y203" s="151"/>
      <c r="Z203" s="151"/>
      <c r="AA203" s="151"/>
      <c r="AB203" s="151"/>
      <c r="AC203" s="151"/>
      <c r="AD203" s="151"/>
      <c r="AE203" s="151"/>
      <c r="AF203" s="151"/>
      <c r="AG203" s="151"/>
      <c r="AH203" s="151"/>
      <c r="AI203" s="151"/>
      <c r="AJ203" s="151"/>
      <c r="AK203" s="151"/>
      <c r="AL203" s="151"/>
      <c r="AM203" s="151"/>
      <c r="AN203" s="151"/>
      <c r="AO203" s="151"/>
      <c r="AP203" s="151"/>
      <c r="AQ203" s="151"/>
      <c r="AR203" s="151"/>
      <c r="AS203" s="151"/>
      <c r="AT203" s="151"/>
      <c r="AU203" s="151"/>
      <c r="AV203" s="151"/>
      <c r="AW203" s="151"/>
      <c r="AX203" s="151"/>
      <c r="AY203" s="151"/>
      <c r="AZ203" s="151"/>
      <c r="BA203" s="151"/>
      <c r="BB203" s="151"/>
      <c r="BC203" s="151"/>
      <c r="BD203" s="151"/>
      <c r="BE203" s="151"/>
      <c r="BF203" s="151"/>
      <c r="BG203" s="151"/>
      <c r="BH203" s="151"/>
      <c r="BI203" s="151"/>
      <c r="BJ203" s="151"/>
      <c r="BK203" s="151"/>
      <c r="BL203" s="122"/>
      <c r="BM203" s="122"/>
      <c r="BN203" s="122"/>
      <c r="BO203" s="122"/>
      <c r="BP203" s="122"/>
      <c r="BQ203" s="122"/>
      <c r="BR203" s="122"/>
    </row>
    <row r="204" spans="1:70" ht="16.5" x14ac:dyDescent="0.3">
      <c r="A204" s="52"/>
      <c r="B204" s="192"/>
      <c r="C204" s="193"/>
      <c r="D204" s="194"/>
      <c r="E204" s="61"/>
      <c r="U204" s="151"/>
      <c r="V204" s="151"/>
      <c r="W204" s="151"/>
      <c r="X204" s="151"/>
      <c r="Y204" s="151"/>
      <c r="Z204" s="151"/>
      <c r="AA204" s="151"/>
      <c r="AB204" s="151"/>
      <c r="AC204" s="151"/>
      <c r="AD204" s="151"/>
      <c r="AE204" s="151"/>
      <c r="AF204" s="151"/>
      <c r="AG204" s="151"/>
      <c r="AH204" s="151"/>
      <c r="AI204" s="151"/>
      <c r="AJ204" s="151"/>
      <c r="AK204" s="151"/>
      <c r="AL204" s="151"/>
      <c r="AM204" s="151"/>
      <c r="AN204" s="151"/>
      <c r="AO204" s="151"/>
      <c r="AP204" s="151"/>
      <c r="AQ204" s="151"/>
      <c r="AR204" s="151"/>
      <c r="AS204" s="151"/>
      <c r="AT204" s="151"/>
      <c r="AU204" s="151"/>
      <c r="AV204" s="151"/>
      <c r="AW204" s="151"/>
      <c r="AX204" s="151"/>
      <c r="AY204" s="151"/>
      <c r="AZ204" s="151"/>
      <c r="BA204" s="151"/>
      <c r="BB204" s="151"/>
      <c r="BC204" s="151"/>
      <c r="BD204" s="151"/>
      <c r="BE204" s="151"/>
      <c r="BF204" s="151"/>
      <c r="BG204" s="151"/>
      <c r="BH204" s="151"/>
      <c r="BI204" s="151"/>
      <c r="BJ204" s="151"/>
      <c r="BK204" s="151"/>
      <c r="BL204" s="122"/>
      <c r="BM204" s="122"/>
      <c r="BN204" s="122"/>
      <c r="BO204" s="122"/>
      <c r="BP204" s="122"/>
      <c r="BQ204" s="122"/>
      <c r="BR204" s="122"/>
    </row>
    <row r="205" spans="1:70" ht="16.5" x14ac:dyDescent="0.3">
      <c r="A205" s="52"/>
      <c r="B205" s="192"/>
      <c r="C205" s="193"/>
      <c r="D205" s="194"/>
      <c r="E205" s="61"/>
      <c r="U205" s="151"/>
      <c r="V205" s="151"/>
      <c r="W205" s="151"/>
      <c r="X205" s="151"/>
      <c r="Y205" s="151"/>
      <c r="Z205" s="151"/>
      <c r="AA205" s="151"/>
      <c r="AB205" s="151"/>
      <c r="AC205" s="151"/>
      <c r="AD205" s="151"/>
      <c r="AE205" s="151"/>
      <c r="AF205" s="151"/>
      <c r="AG205" s="151"/>
      <c r="AH205" s="151"/>
      <c r="AI205" s="151"/>
      <c r="AJ205" s="151"/>
      <c r="AK205" s="151"/>
      <c r="AL205" s="151"/>
      <c r="AM205" s="151"/>
      <c r="AN205" s="151"/>
      <c r="AO205" s="151"/>
      <c r="AP205" s="151"/>
      <c r="AQ205" s="151"/>
      <c r="AR205" s="151"/>
      <c r="AS205" s="151"/>
      <c r="AT205" s="151"/>
      <c r="AU205" s="151"/>
      <c r="AV205" s="151"/>
      <c r="AW205" s="151"/>
      <c r="AX205" s="151"/>
      <c r="AY205" s="151"/>
      <c r="AZ205" s="151"/>
      <c r="BA205" s="151"/>
      <c r="BB205" s="151"/>
      <c r="BC205" s="151"/>
      <c r="BD205" s="151"/>
      <c r="BE205" s="151"/>
      <c r="BF205" s="151"/>
      <c r="BG205" s="151"/>
      <c r="BH205" s="151"/>
      <c r="BI205" s="151"/>
      <c r="BJ205" s="151"/>
      <c r="BK205" s="151"/>
      <c r="BL205" s="122"/>
      <c r="BM205" s="122"/>
      <c r="BN205" s="122"/>
      <c r="BO205" s="122"/>
      <c r="BP205" s="122"/>
      <c r="BQ205" s="122"/>
      <c r="BR205" s="122"/>
    </row>
    <row r="206" spans="1:70" ht="16.5" x14ac:dyDescent="0.3">
      <c r="A206" s="52"/>
      <c r="B206" s="192"/>
      <c r="C206" s="193"/>
      <c r="D206" s="194"/>
      <c r="E206" s="61"/>
      <c r="U206" s="151"/>
      <c r="V206" s="151"/>
      <c r="W206" s="151"/>
      <c r="X206" s="151"/>
      <c r="Y206" s="151"/>
      <c r="Z206" s="151"/>
      <c r="AA206" s="151"/>
      <c r="AB206" s="151"/>
      <c r="AC206" s="151"/>
      <c r="AD206" s="151"/>
      <c r="AE206" s="151"/>
      <c r="AF206" s="151"/>
      <c r="AG206" s="151"/>
      <c r="AH206" s="151"/>
      <c r="AI206" s="151"/>
      <c r="AJ206" s="151"/>
      <c r="AK206" s="151"/>
      <c r="AL206" s="151"/>
      <c r="AM206" s="151"/>
      <c r="AN206" s="151"/>
      <c r="AO206" s="151"/>
      <c r="AP206" s="151"/>
      <c r="AQ206" s="151"/>
      <c r="AR206" s="151"/>
      <c r="AS206" s="151"/>
      <c r="AT206" s="151"/>
      <c r="AU206" s="151"/>
      <c r="AV206" s="151"/>
      <c r="AW206" s="151"/>
      <c r="AX206" s="151"/>
      <c r="AY206" s="151"/>
      <c r="AZ206" s="151"/>
      <c r="BA206" s="151"/>
      <c r="BB206" s="151"/>
      <c r="BC206" s="151"/>
      <c r="BD206" s="151"/>
      <c r="BE206" s="151"/>
      <c r="BF206" s="151"/>
      <c r="BG206" s="151"/>
      <c r="BH206" s="151"/>
      <c r="BI206" s="151"/>
      <c r="BJ206" s="151"/>
      <c r="BK206" s="151"/>
      <c r="BL206" s="122"/>
      <c r="BM206" s="122"/>
      <c r="BN206" s="122"/>
      <c r="BO206" s="122"/>
      <c r="BP206" s="122"/>
      <c r="BQ206" s="122"/>
      <c r="BR206" s="122"/>
    </row>
    <row r="207" spans="1:70" ht="16.5" x14ac:dyDescent="0.3">
      <c r="A207" s="52"/>
      <c r="B207" s="192"/>
      <c r="C207" s="193"/>
      <c r="D207" s="194"/>
      <c r="E207" s="61"/>
      <c r="U207" s="151"/>
      <c r="V207" s="151"/>
      <c r="W207" s="151"/>
      <c r="X207" s="151"/>
      <c r="Y207" s="151"/>
      <c r="Z207" s="151"/>
      <c r="AA207" s="151"/>
      <c r="AB207" s="151"/>
      <c r="AC207" s="151"/>
      <c r="AD207" s="151"/>
      <c r="AE207" s="151"/>
      <c r="AF207" s="151"/>
      <c r="AG207" s="151"/>
      <c r="AH207" s="151"/>
      <c r="AI207" s="151"/>
      <c r="AJ207" s="151"/>
      <c r="AK207" s="151"/>
      <c r="AL207" s="151"/>
      <c r="AM207" s="151"/>
      <c r="AN207" s="151"/>
      <c r="AO207" s="151"/>
      <c r="AP207" s="151"/>
      <c r="AQ207" s="151"/>
      <c r="AR207" s="151"/>
      <c r="AS207" s="151"/>
      <c r="AT207" s="151"/>
      <c r="AU207" s="151"/>
      <c r="AV207" s="151"/>
      <c r="AW207" s="151"/>
      <c r="AX207" s="151"/>
      <c r="AY207" s="151"/>
      <c r="AZ207" s="151"/>
      <c r="BA207" s="151"/>
      <c r="BB207" s="151"/>
      <c r="BC207" s="151"/>
      <c r="BD207" s="151"/>
      <c r="BE207" s="151"/>
      <c r="BF207" s="151"/>
      <c r="BG207" s="151"/>
      <c r="BH207" s="151"/>
      <c r="BI207" s="151"/>
      <c r="BJ207" s="151"/>
      <c r="BK207" s="151"/>
      <c r="BL207" s="122"/>
      <c r="BM207" s="122"/>
      <c r="BN207" s="122"/>
      <c r="BO207" s="122"/>
      <c r="BP207" s="122"/>
      <c r="BQ207" s="122"/>
      <c r="BR207" s="122"/>
    </row>
    <row r="208" spans="1:70" ht="16.5" x14ac:dyDescent="0.3">
      <c r="A208" s="52"/>
      <c r="B208" s="192"/>
      <c r="C208" s="193"/>
      <c r="D208" s="194"/>
      <c r="E208" s="61"/>
      <c r="U208" s="151"/>
      <c r="V208" s="151"/>
      <c r="W208" s="151"/>
      <c r="X208" s="151"/>
      <c r="Y208" s="151"/>
      <c r="Z208" s="151"/>
      <c r="AA208" s="151"/>
      <c r="AB208" s="151"/>
      <c r="AC208" s="151"/>
      <c r="AD208" s="151"/>
      <c r="AE208" s="151"/>
      <c r="AF208" s="151"/>
      <c r="AG208" s="151"/>
      <c r="AH208" s="151"/>
      <c r="AI208" s="151"/>
      <c r="AJ208" s="151"/>
      <c r="AK208" s="151"/>
      <c r="AL208" s="151"/>
      <c r="AM208" s="151"/>
      <c r="AN208" s="151"/>
      <c r="AO208" s="151"/>
      <c r="AP208" s="151"/>
      <c r="AQ208" s="151"/>
      <c r="AR208" s="151"/>
      <c r="AS208" s="151"/>
      <c r="AT208" s="151"/>
      <c r="AU208" s="151"/>
      <c r="AV208" s="151"/>
      <c r="AW208" s="151"/>
      <c r="AX208" s="151"/>
      <c r="AY208" s="151"/>
      <c r="AZ208" s="151"/>
      <c r="BA208" s="151"/>
      <c r="BB208" s="151"/>
      <c r="BC208" s="151"/>
      <c r="BD208" s="151"/>
      <c r="BE208" s="151"/>
      <c r="BF208" s="151"/>
      <c r="BG208" s="151"/>
      <c r="BH208" s="151"/>
      <c r="BI208" s="151"/>
      <c r="BJ208" s="151"/>
      <c r="BK208" s="151"/>
      <c r="BL208" s="122"/>
      <c r="BM208" s="122"/>
      <c r="BN208" s="122"/>
      <c r="BO208" s="122"/>
      <c r="BP208" s="122"/>
      <c r="BQ208" s="122"/>
      <c r="BR208" s="122"/>
    </row>
    <row r="209" spans="1:70" ht="16.5" x14ac:dyDescent="0.3">
      <c r="A209" s="52"/>
      <c r="B209" s="192"/>
      <c r="C209" s="193"/>
      <c r="D209" s="194"/>
      <c r="E209" s="61"/>
      <c r="U209" s="151"/>
      <c r="V209" s="151"/>
      <c r="W209" s="151"/>
      <c r="X209" s="151"/>
      <c r="Y209" s="151"/>
      <c r="Z209" s="151"/>
      <c r="AA209" s="151"/>
      <c r="AB209" s="151"/>
      <c r="AC209" s="151"/>
      <c r="AD209" s="151"/>
      <c r="AE209" s="151"/>
      <c r="AF209" s="151"/>
      <c r="AG209" s="151"/>
      <c r="AH209" s="151"/>
      <c r="AI209" s="151"/>
      <c r="AJ209" s="151"/>
      <c r="AK209" s="151"/>
      <c r="AL209" s="151"/>
      <c r="AM209" s="151"/>
      <c r="AN209" s="151"/>
      <c r="AO209" s="151"/>
      <c r="AP209" s="151"/>
      <c r="AQ209" s="151"/>
      <c r="AR209" s="151"/>
      <c r="AS209" s="151"/>
      <c r="AT209" s="151"/>
      <c r="AU209" s="151"/>
      <c r="AV209" s="151"/>
      <c r="AW209" s="151"/>
      <c r="AX209" s="151"/>
      <c r="AY209" s="151"/>
      <c r="AZ209" s="151"/>
      <c r="BA209" s="151"/>
      <c r="BB209" s="151"/>
      <c r="BC209" s="151"/>
      <c r="BD209" s="151"/>
      <c r="BE209" s="151"/>
      <c r="BF209" s="151"/>
      <c r="BG209" s="151"/>
      <c r="BH209" s="151"/>
      <c r="BI209" s="151"/>
      <c r="BJ209" s="151"/>
      <c r="BK209" s="151"/>
      <c r="BL209" s="122"/>
      <c r="BM209" s="122"/>
      <c r="BN209" s="122"/>
      <c r="BO209" s="122"/>
      <c r="BP209" s="122"/>
      <c r="BQ209" s="122"/>
      <c r="BR209" s="122"/>
    </row>
    <row r="210" spans="1:70" ht="16.5" x14ac:dyDescent="0.3">
      <c r="A210" s="52"/>
      <c r="B210" s="192"/>
      <c r="C210" s="193"/>
      <c r="D210" s="194"/>
      <c r="E210" s="61"/>
      <c r="U210" s="151"/>
      <c r="V210" s="151"/>
      <c r="W210" s="151"/>
      <c r="X210" s="151"/>
      <c r="Y210" s="151"/>
      <c r="Z210" s="151"/>
      <c r="AA210" s="151"/>
      <c r="AB210" s="151"/>
      <c r="AC210" s="151"/>
      <c r="AD210" s="151"/>
      <c r="AE210" s="151"/>
      <c r="AF210" s="151"/>
      <c r="AG210" s="151"/>
      <c r="AH210" s="151"/>
      <c r="AI210" s="151"/>
      <c r="AJ210" s="151"/>
      <c r="AK210" s="151"/>
      <c r="AL210" s="151"/>
      <c r="AM210" s="151"/>
      <c r="AN210" s="151"/>
      <c r="AO210" s="151"/>
      <c r="AP210" s="151"/>
      <c r="AQ210" s="151"/>
      <c r="AR210" s="151"/>
      <c r="AS210" s="151"/>
      <c r="AT210" s="151"/>
      <c r="AU210" s="151"/>
      <c r="AV210" s="151"/>
      <c r="AW210" s="151"/>
      <c r="AX210" s="151"/>
      <c r="AY210" s="151"/>
      <c r="AZ210" s="151"/>
      <c r="BA210" s="151"/>
      <c r="BB210" s="151"/>
      <c r="BC210" s="151"/>
      <c r="BD210" s="151"/>
      <c r="BE210" s="151"/>
      <c r="BF210" s="151"/>
      <c r="BG210" s="151"/>
      <c r="BH210" s="151"/>
      <c r="BI210" s="151"/>
      <c r="BJ210" s="151"/>
      <c r="BK210" s="151"/>
      <c r="BL210" s="122"/>
      <c r="BM210" s="122"/>
      <c r="BN210" s="122"/>
      <c r="BO210" s="122"/>
      <c r="BP210" s="122"/>
      <c r="BQ210" s="122"/>
      <c r="BR210" s="122"/>
    </row>
    <row r="211" spans="1:70" ht="16.5" x14ac:dyDescent="0.3">
      <c r="A211" s="52"/>
      <c r="B211" s="192"/>
      <c r="C211" s="193"/>
      <c r="D211" s="194"/>
      <c r="E211" s="61"/>
      <c r="U211" s="151"/>
      <c r="V211" s="151"/>
      <c r="W211" s="151"/>
      <c r="X211" s="151"/>
      <c r="Y211" s="151"/>
      <c r="Z211" s="151"/>
      <c r="AA211" s="151"/>
      <c r="AB211" s="151"/>
      <c r="AC211" s="151"/>
      <c r="AD211" s="151"/>
      <c r="AE211" s="151"/>
      <c r="AF211" s="151"/>
      <c r="AG211" s="151"/>
      <c r="AH211" s="151"/>
      <c r="AI211" s="151"/>
      <c r="AJ211" s="151"/>
      <c r="AK211" s="151"/>
      <c r="AL211" s="151"/>
      <c r="AM211" s="151"/>
      <c r="AN211" s="151"/>
      <c r="AO211" s="151"/>
      <c r="AP211" s="151"/>
      <c r="AQ211" s="151"/>
      <c r="AR211" s="151"/>
      <c r="AS211" s="151"/>
      <c r="AT211" s="151"/>
      <c r="AU211" s="151"/>
      <c r="AV211" s="151"/>
      <c r="AW211" s="151"/>
      <c r="AX211" s="151"/>
      <c r="AY211" s="151"/>
      <c r="AZ211" s="151"/>
      <c r="BA211" s="151"/>
      <c r="BB211" s="151"/>
      <c r="BC211" s="151"/>
      <c r="BD211" s="151"/>
      <c r="BE211" s="151"/>
      <c r="BF211" s="151"/>
      <c r="BG211" s="151"/>
      <c r="BH211" s="151"/>
      <c r="BI211" s="151"/>
      <c r="BJ211" s="151"/>
      <c r="BK211" s="151"/>
      <c r="BL211" s="122"/>
      <c r="BM211" s="122"/>
      <c r="BN211" s="122"/>
      <c r="BO211" s="122"/>
      <c r="BP211" s="122"/>
      <c r="BQ211" s="122"/>
      <c r="BR211" s="122"/>
    </row>
    <row r="212" spans="1:70" ht="16.5" x14ac:dyDescent="0.3">
      <c r="A212" s="52"/>
      <c r="B212" s="192"/>
      <c r="C212" s="193"/>
      <c r="D212" s="194"/>
      <c r="E212" s="61"/>
      <c r="U212" s="151"/>
      <c r="V212" s="151"/>
      <c r="W212" s="151"/>
      <c r="X212" s="151"/>
      <c r="Y212" s="151"/>
      <c r="Z212" s="151"/>
      <c r="AA212" s="151"/>
      <c r="AB212" s="151"/>
      <c r="AC212" s="151"/>
      <c r="AD212" s="151"/>
      <c r="AE212" s="151"/>
      <c r="AF212" s="151"/>
      <c r="AG212" s="151"/>
      <c r="AH212" s="151"/>
      <c r="AI212" s="151"/>
      <c r="AJ212" s="151"/>
      <c r="AK212" s="151"/>
      <c r="AL212" s="151"/>
      <c r="AM212" s="151"/>
      <c r="AN212" s="151"/>
      <c r="AO212" s="151"/>
      <c r="AP212" s="151"/>
      <c r="AQ212" s="151"/>
      <c r="AR212" s="151"/>
      <c r="AS212" s="151"/>
      <c r="AT212" s="151"/>
      <c r="AU212" s="151"/>
      <c r="AV212" s="151"/>
      <c r="AW212" s="151"/>
      <c r="AX212" s="151"/>
      <c r="AY212" s="151"/>
      <c r="AZ212" s="151"/>
      <c r="BA212" s="151"/>
      <c r="BB212" s="151"/>
      <c r="BC212" s="151"/>
      <c r="BD212" s="151"/>
      <c r="BE212" s="151"/>
      <c r="BF212" s="151"/>
      <c r="BG212" s="151"/>
      <c r="BH212" s="151"/>
      <c r="BI212" s="151"/>
      <c r="BJ212" s="151"/>
      <c r="BK212" s="151"/>
      <c r="BL212" s="122"/>
      <c r="BM212" s="122"/>
      <c r="BN212" s="122"/>
      <c r="BO212" s="122"/>
      <c r="BP212" s="122"/>
      <c r="BQ212" s="122"/>
      <c r="BR212" s="122"/>
    </row>
    <row r="213" spans="1:70" ht="16.5" x14ac:dyDescent="0.3">
      <c r="A213" s="52"/>
      <c r="B213" s="192"/>
      <c r="C213" s="193"/>
      <c r="D213" s="194"/>
      <c r="E213" s="61"/>
      <c r="U213" s="151"/>
      <c r="V213" s="151"/>
      <c r="W213" s="151"/>
      <c r="X213" s="151"/>
      <c r="Y213" s="151"/>
      <c r="Z213" s="151"/>
      <c r="AA213" s="151"/>
      <c r="AB213" s="151"/>
      <c r="AC213" s="151"/>
      <c r="AD213" s="151"/>
      <c r="AE213" s="151"/>
      <c r="AF213" s="151"/>
      <c r="AG213" s="151"/>
      <c r="AH213" s="151"/>
      <c r="AI213" s="151"/>
      <c r="AJ213" s="151"/>
      <c r="AK213" s="151"/>
      <c r="AL213" s="151"/>
      <c r="AM213" s="151"/>
      <c r="AN213" s="151"/>
      <c r="AO213" s="151"/>
      <c r="AP213" s="151"/>
      <c r="AQ213" s="151"/>
      <c r="AR213" s="151"/>
      <c r="AS213" s="151"/>
      <c r="AT213" s="151"/>
      <c r="AU213" s="151"/>
      <c r="AV213" s="151"/>
      <c r="AW213" s="151"/>
      <c r="AX213" s="151"/>
      <c r="AY213" s="151"/>
      <c r="AZ213" s="151"/>
      <c r="BA213" s="151"/>
      <c r="BB213" s="151"/>
      <c r="BC213" s="151"/>
      <c r="BD213" s="151"/>
      <c r="BE213" s="151"/>
      <c r="BF213" s="151"/>
      <c r="BG213" s="151"/>
      <c r="BH213" s="151"/>
      <c r="BI213" s="151"/>
      <c r="BJ213" s="151"/>
      <c r="BK213" s="151"/>
      <c r="BL213" s="122"/>
      <c r="BM213" s="122"/>
      <c r="BN213" s="122"/>
      <c r="BO213" s="122"/>
      <c r="BP213" s="122"/>
      <c r="BQ213" s="122"/>
      <c r="BR213" s="122"/>
    </row>
    <row r="214" spans="1:70" ht="16.5" x14ac:dyDescent="0.3">
      <c r="A214" s="52"/>
      <c r="B214" s="192"/>
      <c r="C214" s="193"/>
      <c r="D214" s="194"/>
      <c r="E214" s="61"/>
      <c r="U214" s="151"/>
      <c r="V214" s="151"/>
      <c r="W214" s="151"/>
      <c r="X214" s="151"/>
      <c r="Y214" s="151"/>
      <c r="Z214" s="151"/>
      <c r="AA214" s="151"/>
      <c r="AB214" s="151"/>
      <c r="AC214" s="151"/>
      <c r="AD214" s="151"/>
      <c r="AE214" s="151"/>
      <c r="AF214" s="151"/>
      <c r="AG214" s="151"/>
      <c r="AH214" s="151"/>
      <c r="AI214" s="151"/>
      <c r="AJ214" s="151"/>
      <c r="AK214" s="151"/>
      <c r="AL214" s="151"/>
      <c r="AM214" s="151"/>
      <c r="AN214" s="151"/>
      <c r="AO214" s="151"/>
      <c r="AP214" s="151"/>
      <c r="AQ214" s="151"/>
      <c r="AR214" s="151"/>
      <c r="AS214" s="151"/>
      <c r="AT214" s="151"/>
      <c r="AU214" s="151"/>
      <c r="AV214" s="151"/>
      <c r="AW214" s="151"/>
      <c r="AX214" s="151"/>
      <c r="AY214" s="151"/>
      <c r="AZ214" s="151"/>
      <c r="BA214" s="151"/>
      <c r="BB214" s="151"/>
      <c r="BC214" s="151"/>
      <c r="BD214" s="151"/>
      <c r="BE214" s="151"/>
      <c r="BF214" s="151"/>
      <c r="BG214" s="151"/>
      <c r="BH214" s="151"/>
      <c r="BI214" s="151"/>
      <c r="BJ214" s="151"/>
      <c r="BK214" s="151"/>
      <c r="BL214" s="122"/>
      <c r="BM214" s="122"/>
      <c r="BN214" s="122"/>
      <c r="BO214" s="122"/>
      <c r="BP214" s="122"/>
      <c r="BQ214" s="122"/>
      <c r="BR214" s="122"/>
    </row>
    <row r="215" spans="1:70" ht="16.5" x14ac:dyDescent="0.3">
      <c r="A215" s="52"/>
      <c r="B215" s="192"/>
      <c r="C215" s="193"/>
      <c r="D215" s="194"/>
      <c r="E215" s="61"/>
      <c r="U215" s="151"/>
      <c r="V215" s="151"/>
      <c r="W215" s="151"/>
      <c r="X215" s="151"/>
      <c r="Y215" s="151"/>
      <c r="Z215" s="151"/>
      <c r="AA215" s="151"/>
      <c r="AB215" s="151"/>
      <c r="AC215" s="151"/>
      <c r="AD215" s="151"/>
      <c r="AE215" s="151"/>
      <c r="AF215" s="151"/>
      <c r="AG215" s="151"/>
      <c r="AH215" s="151"/>
      <c r="AI215" s="151"/>
      <c r="AJ215" s="151"/>
      <c r="AK215" s="151"/>
      <c r="AL215" s="151"/>
      <c r="AM215" s="151"/>
      <c r="AN215" s="151"/>
      <c r="AO215" s="151"/>
      <c r="AP215" s="151"/>
      <c r="AQ215" s="151"/>
      <c r="AR215" s="151"/>
      <c r="AS215" s="151"/>
      <c r="AT215" s="151"/>
      <c r="AU215" s="151"/>
      <c r="AV215" s="151"/>
      <c r="AW215" s="151"/>
      <c r="AX215" s="151"/>
      <c r="AY215" s="151"/>
      <c r="AZ215" s="151"/>
      <c r="BA215" s="151"/>
      <c r="BB215" s="151"/>
      <c r="BC215" s="151"/>
      <c r="BD215" s="151"/>
      <c r="BE215" s="151"/>
      <c r="BF215" s="151"/>
      <c r="BG215" s="151"/>
      <c r="BH215" s="151"/>
      <c r="BI215" s="151"/>
      <c r="BJ215" s="151"/>
      <c r="BK215" s="151"/>
      <c r="BL215" s="122"/>
      <c r="BM215" s="122"/>
      <c r="BN215" s="122"/>
      <c r="BO215" s="122"/>
      <c r="BP215" s="122"/>
      <c r="BQ215" s="122"/>
      <c r="BR215" s="122"/>
    </row>
    <row r="216" spans="1:70" ht="16.5" x14ac:dyDescent="0.3">
      <c r="A216" s="52"/>
      <c r="B216" s="192"/>
      <c r="C216" s="193"/>
      <c r="D216" s="194"/>
      <c r="E216" s="61"/>
      <c r="U216" s="151"/>
      <c r="V216" s="151"/>
      <c r="W216" s="151"/>
      <c r="X216" s="151"/>
      <c r="Y216" s="151"/>
      <c r="Z216" s="151"/>
      <c r="AA216" s="151"/>
      <c r="AB216" s="151"/>
      <c r="AC216" s="151"/>
      <c r="AD216" s="151"/>
      <c r="AE216" s="151"/>
      <c r="AF216" s="151"/>
      <c r="AG216" s="151"/>
      <c r="AH216" s="151"/>
      <c r="AI216" s="151"/>
      <c r="AJ216" s="151"/>
      <c r="AK216" s="151"/>
      <c r="AL216" s="151"/>
      <c r="AM216" s="151"/>
      <c r="AN216" s="151"/>
      <c r="AO216" s="151"/>
      <c r="AP216" s="151"/>
      <c r="AQ216" s="151"/>
      <c r="AR216" s="151"/>
      <c r="AS216" s="151"/>
      <c r="AT216" s="151"/>
      <c r="AU216" s="151"/>
      <c r="AV216" s="151"/>
      <c r="AW216" s="151"/>
      <c r="AX216" s="151"/>
      <c r="AY216" s="151"/>
      <c r="AZ216" s="151"/>
      <c r="BA216" s="151"/>
      <c r="BB216" s="151"/>
      <c r="BC216" s="151"/>
      <c r="BD216" s="151"/>
      <c r="BE216" s="151"/>
      <c r="BF216" s="151"/>
      <c r="BG216" s="151"/>
      <c r="BH216" s="151"/>
      <c r="BI216" s="151"/>
      <c r="BJ216" s="151"/>
      <c r="BK216" s="151"/>
      <c r="BL216" s="122"/>
      <c r="BM216" s="122"/>
      <c r="BN216" s="122"/>
      <c r="BO216" s="122"/>
      <c r="BP216" s="122"/>
      <c r="BQ216" s="122"/>
      <c r="BR216" s="122"/>
    </row>
    <row r="217" spans="1:70" ht="16.5" x14ac:dyDescent="0.3">
      <c r="A217" s="52"/>
      <c r="B217" s="192"/>
      <c r="C217" s="193"/>
      <c r="D217" s="194"/>
      <c r="E217" s="61"/>
      <c r="U217" s="151"/>
      <c r="V217" s="151"/>
      <c r="W217" s="151"/>
      <c r="X217" s="151"/>
      <c r="Y217" s="151"/>
      <c r="Z217" s="151"/>
      <c r="AA217" s="151"/>
      <c r="AB217" s="151"/>
      <c r="AC217" s="151"/>
      <c r="AD217" s="151"/>
      <c r="AE217" s="151"/>
      <c r="AF217" s="151"/>
      <c r="AG217" s="151"/>
      <c r="AH217" s="151"/>
      <c r="AI217" s="151"/>
      <c r="AJ217" s="151"/>
      <c r="AK217" s="151"/>
      <c r="AL217" s="151"/>
      <c r="AM217" s="151"/>
      <c r="AN217" s="151"/>
      <c r="AO217" s="151"/>
      <c r="AP217" s="151"/>
      <c r="AQ217" s="151"/>
      <c r="AR217" s="151"/>
      <c r="AS217" s="151"/>
      <c r="AT217" s="151"/>
      <c r="AU217" s="151"/>
      <c r="AV217" s="151"/>
      <c r="AW217" s="151"/>
      <c r="AX217" s="151"/>
      <c r="AY217" s="151"/>
      <c r="AZ217" s="151"/>
      <c r="BA217" s="151"/>
      <c r="BB217" s="151"/>
      <c r="BC217" s="151"/>
      <c r="BD217" s="151"/>
      <c r="BE217" s="151"/>
      <c r="BF217" s="151"/>
      <c r="BG217" s="151"/>
      <c r="BH217" s="151"/>
      <c r="BI217" s="151"/>
      <c r="BJ217" s="151"/>
      <c r="BK217" s="151"/>
      <c r="BL217" s="122"/>
      <c r="BM217" s="122"/>
      <c r="BN217" s="122"/>
      <c r="BO217" s="122"/>
      <c r="BP217" s="122"/>
      <c r="BQ217" s="122"/>
      <c r="BR217" s="122"/>
    </row>
    <row r="218" spans="1:70" ht="16.5" x14ac:dyDescent="0.3">
      <c r="A218" s="52"/>
      <c r="B218" s="192"/>
      <c r="C218" s="193"/>
      <c r="D218" s="194"/>
      <c r="E218" s="61"/>
      <c r="U218" s="151"/>
      <c r="V218" s="151"/>
      <c r="W218" s="151"/>
      <c r="X218" s="151"/>
      <c r="Y218" s="151"/>
      <c r="Z218" s="151"/>
      <c r="AA218" s="151"/>
      <c r="AB218" s="151"/>
      <c r="AC218" s="151"/>
      <c r="AD218" s="151"/>
      <c r="AE218" s="151"/>
      <c r="AF218" s="151"/>
      <c r="AG218" s="151"/>
      <c r="AH218" s="151"/>
      <c r="AI218" s="151"/>
      <c r="AJ218" s="151"/>
      <c r="AK218" s="151"/>
      <c r="AL218" s="151"/>
      <c r="AM218" s="151"/>
      <c r="AN218" s="151"/>
      <c r="AO218" s="151"/>
      <c r="AP218" s="151"/>
      <c r="AQ218" s="151"/>
      <c r="AR218" s="151"/>
      <c r="AS218" s="151"/>
      <c r="AT218" s="151"/>
      <c r="AU218" s="151"/>
      <c r="AV218" s="151"/>
      <c r="AW218" s="151"/>
      <c r="AX218" s="151"/>
      <c r="AY218" s="151"/>
      <c r="AZ218" s="151"/>
      <c r="BA218" s="151"/>
      <c r="BB218" s="151"/>
      <c r="BC218" s="151"/>
      <c r="BD218" s="151"/>
      <c r="BE218" s="151"/>
      <c r="BF218" s="151"/>
      <c r="BG218" s="151"/>
      <c r="BH218" s="151"/>
      <c r="BI218" s="151"/>
      <c r="BJ218" s="151"/>
      <c r="BK218" s="151"/>
      <c r="BL218" s="122"/>
      <c r="BM218" s="122"/>
      <c r="BN218" s="122"/>
      <c r="BO218" s="122"/>
      <c r="BP218" s="122"/>
      <c r="BQ218" s="122"/>
      <c r="BR218" s="122"/>
    </row>
    <row r="219" spans="1:70" ht="16.5" x14ac:dyDescent="0.3">
      <c r="A219" s="52"/>
      <c r="B219" s="192"/>
      <c r="C219" s="193"/>
      <c r="D219" s="194"/>
      <c r="E219" s="61"/>
      <c r="U219" s="151"/>
      <c r="V219" s="151"/>
      <c r="W219" s="151"/>
      <c r="X219" s="151"/>
      <c r="Y219" s="151"/>
      <c r="Z219" s="151"/>
      <c r="AA219" s="151"/>
      <c r="AB219" s="151"/>
      <c r="AC219" s="151"/>
      <c r="AD219" s="151"/>
      <c r="AE219" s="151"/>
      <c r="AF219" s="151"/>
      <c r="AG219" s="151"/>
      <c r="AH219" s="151"/>
      <c r="AI219" s="151"/>
      <c r="AJ219" s="151"/>
      <c r="AK219" s="151"/>
      <c r="AL219" s="151"/>
      <c r="AM219" s="151"/>
      <c r="AN219" s="151"/>
      <c r="AO219" s="151"/>
      <c r="AP219" s="151"/>
      <c r="AQ219" s="151"/>
      <c r="AR219" s="151"/>
      <c r="AS219" s="151"/>
      <c r="AT219" s="151"/>
      <c r="AU219" s="151"/>
      <c r="AV219" s="151"/>
      <c r="AW219" s="151"/>
      <c r="AX219" s="151"/>
      <c r="AY219" s="151"/>
      <c r="AZ219" s="151"/>
      <c r="BA219" s="151"/>
      <c r="BB219" s="151"/>
      <c r="BC219" s="151"/>
      <c r="BD219" s="151"/>
      <c r="BE219" s="151"/>
      <c r="BF219" s="151"/>
      <c r="BG219" s="151"/>
      <c r="BH219" s="151"/>
      <c r="BI219" s="151"/>
      <c r="BJ219" s="151"/>
      <c r="BK219" s="151"/>
      <c r="BL219" s="122"/>
      <c r="BM219" s="122"/>
      <c r="BN219" s="122"/>
      <c r="BO219" s="122"/>
      <c r="BP219" s="122"/>
      <c r="BQ219" s="122"/>
      <c r="BR219" s="122"/>
    </row>
    <row r="220" spans="1:70" ht="16.5" x14ac:dyDescent="0.3">
      <c r="A220" s="52"/>
      <c r="B220" s="192"/>
      <c r="C220" s="193"/>
      <c r="D220" s="194"/>
      <c r="E220" s="61"/>
      <c r="U220" s="151"/>
      <c r="V220" s="151"/>
      <c r="W220" s="151"/>
      <c r="X220" s="151"/>
      <c r="Y220" s="151"/>
      <c r="Z220" s="151"/>
      <c r="AA220" s="151"/>
      <c r="AB220" s="151"/>
      <c r="AC220" s="151"/>
      <c r="AD220" s="151"/>
      <c r="AE220" s="151"/>
      <c r="AF220" s="151"/>
      <c r="AG220" s="151"/>
      <c r="AH220" s="151"/>
      <c r="AI220" s="151"/>
      <c r="AJ220" s="151"/>
      <c r="AK220" s="151"/>
      <c r="AL220" s="151"/>
      <c r="AM220" s="151"/>
      <c r="AN220" s="151"/>
      <c r="AO220" s="151"/>
      <c r="AP220" s="151"/>
      <c r="AQ220" s="151"/>
      <c r="AR220" s="151"/>
      <c r="AS220" s="151"/>
      <c r="AT220" s="151"/>
      <c r="AU220" s="151"/>
      <c r="AV220" s="151"/>
      <c r="AW220" s="151"/>
      <c r="AX220" s="151"/>
      <c r="AY220" s="151"/>
      <c r="AZ220" s="151"/>
      <c r="BA220" s="151"/>
      <c r="BB220" s="151"/>
      <c r="BC220" s="151"/>
      <c r="BD220" s="151"/>
      <c r="BE220" s="151"/>
      <c r="BF220" s="151"/>
      <c r="BG220" s="151"/>
      <c r="BH220" s="151"/>
      <c r="BI220" s="151"/>
      <c r="BJ220" s="151"/>
      <c r="BK220" s="151"/>
      <c r="BL220" s="122"/>
      <c r="BM220" s="122"/>
      <c r="BN220" s="122"/>
      <c r="BO220" s="122"/>
      <c r="BP220" s="122"/>
      <c r="BQ220" s="122"/>
      <c r="BR220" s="122"/>
    </row>
    <row r="221" spans="1:70" ht="16.5" x14ac:dyDescent="0.3">
      <c r="A221" s="52"/>
      <c r="B221" s="192"/>
      <c r="C221" s="193"/>
      <c r="D221" s="194"/>
      <c r="E221" s="61"/>
      <c r="U221" s="151"/>
      <c r="V221" s="151"/>
      <c r="W221" s="151"/>
      <c r="X221" s="151"/>
      <c r="Y221" s="151"/>
      <c r="Z221" s="151"/>
      <c r="AA221" s="151"/>
      <c r="AB221" s="151"/>
      <c r="AC221" s="151"/>
      <c r="AD221" s="151"/>
      <c r="AE221" s="151"/>
      <c r="AF221" s="151"/>
      <c r="AG221" s="151"/>
      <c r="AH221" s="151"/>
      <c r="AI221" s="151"/>
      <c r="AJ221" s="151"/>
      <c r="AK221" s="151"/>
      <c r="AL221" s="151"/>
      <c r="AM221" s="151"/>
      <c r="AN221" s="151"/>
      <c r="AO221" s="151"/>
      <c r="AP221" s="151"/>
      <c r="AQ221" s="151"/>
      <c r="AR221" s="151"/>
      <c r="AS221" s="151"/>
      <c r="AT221" s="151"/>
      <c r="AU221" s="151"/>
      <c r="AV221" s="151"/>
      <c r="AW221" s="151"/>
      <c r="AX221" s="151"/>
      <c r="AY221" s="151"/>
      <c r="AZ221" s="151"/>
      <c r="BA221" s="151"/>
      <c r="BB221" s="151"/>
      <c r="BC221" s="151"/>
      <c r="BD221" s="151"/>
      <c r="BE221" s="151"/>
      <c r="BF221" s="151"/>
      <c r="BG221" s="151"/>
      <c r="BH221" s="151"/>
      <c r="BI221" s="151"/>
      <c r="BJ221" s="151"/>
      <c r="BK221" s="151"/>
      <c r="BL221" s="122"/>
      <c r="BM221" s="122"/>
      <c r="BN221" s="122"/>
      <c r="BO221" s="122"/>
      <c r="BP221" s="122"/>
      <c r="BQ221" s="122"/>
      <c r="BR221" s="122"/>
    </row>
    <row r="222" spans="1:70" ht="16.5" x14ac:dyDescent="0.3">
      <c r="A222" s="52"/>
      <c r="B222" s="192"/>
      <c r="C222" s="193"/>
      <c r="D222" s="194"/>
      <c r="E222" s="61"/>
      <c r="U222" s="151"/>
      <c r="V222" s="151"/>
      <c r="W222" s="151"/>
      <c r="X222" s="151"/>
      <c r="Y222" s="151"/>
      <c r="Z222" s="151"/>
      <c r="AA222" s="151"/>
      <c r="AB222" s="151"/>
      <c r="AC222" s="151"/>
      <c r="AD222" s="151"/>
      <c r="AE222" s="151"/>
      <c r="AF222" s="151"/>
      <c r="AG222" s="151"/>
      <c r="AH222" s="151"/>
      <c r="AI222" s="151"/>
      <c r="AJ222" s="151"/>
      <c r="AK222" s="151"/>
      <c r="AL222" s="151"/>
      <c r="AM222" s="151"/>
      <c r="AN222" s="151"/>
      <c r="AO222" s="151"/>
      <c r="AP222" s="151"/>
      <c r="AQ222" s="151"/>
      <c r="AR222" s="151"/>
      <c r="AS222" s="151"/>
      <c r="AT222" s="151"/>
      <c r="AU222" s="151"/>
      <c r="AV222" s="151"/>
      <c r="AW222" s="151"/>
      <c r="AX222" s="151"/>
      <c r="AY222" s="151"/>
      <c r="AZ222" s="151"/>
      <c r="BA222" s="151"/>
      <c r="BB222" s="151"/>
      <c r="BC222" s="151"/>
      <c r="BD222" s="151"/>
      <c r="BE222" s="151"/>
      <c r="BF222" s="151"/>
      <c r="BG222" s="151"/>
      <c r="BH222" s="151"/>
      <c r="BI222" s="151"/>
      <c r="BJ222" s="151"/>
      <c r="BK222" s="151"/>
      <c r="BL222" s="122"/>
      <c r="BM222" s="122"/>
      <c r="BN222" s="122"/>
      <c r="BO222" s="122"/>
      <c r="BP222" s="122"/>
      <c r="BQ222" s="122"/>
      <c r="BR222" s="122"/>
    </row>
    <row r="223" spans="1:70" ht="16.5" x14ac:dyDescent="0.3">
      <c r="A223" s="52"/>
      <c r="B223" s="192"/>
      <c r="C223" s="193"/>
      <c r="D223" s="194"/>
      <c r="E223" s="61"/>
      <c r="U223" s="151"/>
      <c r="V223" s="151"/>
      <c r="W223" s="151"/>
      <c r="X223" s="151"/>
      <c r="Y223" s="151"/>
      <c r="Z223" s="151"/>
      <c r="AA223" s="151"/>
      <c r="AB223" s="151"/>
      <c r="AC223" s="151"/>
      <c r="AD223" s="151"/>
      <c r="AE223" s="151"/>
      <c r="AF223" s="151"/>
      <c r="AG223" s="151"/>
      <c r="AH223" s="151"/>
      <c r="AI223" s="151"/>
      <c r="AJ223" s="151"/>
      <c r="AK223" s="151"/>
      <c r="AL223" s="151"/>
      <c r="AM223" s="151"/>
      <c r="AN223" s="151"/>
      <c r="AO223" s="151"/>
      <c r="AP223" s="151"/>
      <c r="AQ223" s="151"/>
      <c r="AR223" s="151"/>
      <c r="AS223" s="151"/>
      <c r="AT223" s="151"/>
      <c r="AU223" s="151"/>
      <c r="AV223" s="151"/>
      <c r="AW223" s="151"/>
      <c r="AX223" s="151"/>
      <c r="AY223" s="151"/>
      <c r="AZ223" s="151"/>
      <c r="BA223" s="151"/>
      <c r="BB223" s="151"/>
      <c r="BC223" s="151"/>
      <c r="BD223" s="151"/>
      <c r="BE223" s="151"/>
      <c r="BF223" s="151"/>
      <c r="BG223" s="151"/>
      <c r="BH223" s="151"/>
      <c r="BI223" s="151"/>
      <c r="BJ223" s="151"/>
      <c r="BK223" s="151"/>
      <c r="BL223" s="122"/>
      <c r="BM223" s="122"/>
      <c r="BN223" s="122"/>
      <c r="BO223" s="122"/>
      <c r="BP223" s="122"/>
      <c r="BQ223" s="122"/>
      <c r="BR223" s="122"/>
    </row>
    <row r="224" spans="1:70" ht="16.5" x14ac:dyDescent="0.3">
      <c r="A224" s="52"/>
      <c r="B224" s="192"/>
      <c r="C224" s="193"/>
      <c r="D224" s="194"/>
      <c r="E224" s="61"/>
      <c r="U224" s="151"/>
      <c r="V224" s="151"/>
      <c r="W224" s="151"/>
      <c r="X224" s="151"/>
      <c r="Y224" s="151"/>
      <c r="Z224" s="151"/>
      <c r="AA224" s="151"/>
      <c r="AB224" s="151"/>
      <c r="AC224" s="151"/>
      <c r="AD224" s="151"/>
      <c r="AE224" s="151"/>
      <c r="AF224" s="151"/>
      <c r="AG224" s="151"/>
      <c r="AH224" s="151"/>
      <c r="AI224" s="151"/>
      <c r="AJ224" s="151"/>
      <c r="AK224" s="151"/>
      <c r="AL224" s="151"/>
      <c r="AM224" s="151"/>
      <c r="AN224" s="151"/>
      <c r="AO224" s="151"/>
      <c r="AP224" s="151"/>
      <c r="AQ224" s="151"/>
      <c r="AR224" s="151"/>
      <c r="AS224" s="151"/>
      <c r="AT224" s="151"/>
      <c r="AU224" s="151"/>
      <c r="AV224" s="151"/>
      <c r="AW224" s="151"/>
      <c r="AX224" s="151"/>
      <c r="AY224" s="151"/>
      <c r="AZ224" s="151"/>
      <c r="BA224" s="151"/>
      <c r="BB224" s="151"/>
      <c r="BC224" s="151"/>
      <c r="BD224" s="151"/>
      <c r="BE224" s="151"/>
      <c r="BF224" s="151"/>
      <c r="BG224" s="151"/>
      <c r="BH224" s="151"/>
      <c r="BI224" s="151"/>
      <c r="BJ224" s="151"/>
      <c r="BK224" s="151"/>
      <c r="BL224" s="122"/>
      <c r="BM224" s="122"/>
      <c r="BN224" s="122"/>
      <c r="BO224" s="122"/>
      <c r="BP224" s="122"/>
      <c r="BQ224" s="122"/>
      <c r="BR224" s="122"/>
    </row>
    <row r="225" spans="1:70" ht="16.5" x14ac:dyDescent="0.3">
      <c r="A225" s="52"/>
      <c r="B225" s="192"/>
      <c r="C225" s="193"/>
      <c r="D225" s="194"/>
      <c r="E225" s="61"/>
      <c r="U225" s="151"/>
      <c r="V225" s="151"/>
      <c r="W225" s="151"/>
      <c r="X225" s="151"/>
      <c r="Y225" s="151"/>
      <c r="Z225" s="151"/>
      <c r="AA225" s="151"/>
      <c r="AB225" s="151"/>
      <c r="AC225" s="151"/>
      <c r="AD225" s="151"/>
      <c r="AE225" s="151"/>
      <c r="AF225" s="151"/>
      <c r="AG225" s="151"/>
      <c r="AH225" s="151"/>
      <c r="AI225" s="151"/>
      <c r="AJ225" s="151"/>
      <c r="AK225" s="151"/>
      <c r="AL225" s="151"/>
      <c r="AM225" s="151"/>
      <c r="AN225" s="151"/>
      <c r="AO225" s="151"/>
      <c r="AP225" s="151"/>
      <c r="AQ225" s="151"/>
      <c r="AR225" s="151"/>
      <c r="AS225" s="151"/>
      <c r="AT225" s="151"/>
      <c r="AU225" s="151"/>
      <c r="AV225" s="151"/>
      <c r="AW225" s="151"/>
      <c r="AX225" s="151"/>
      <c r="AY225" s="151"/>
      <c r="AZ225" s="151"/>
      <c r="BA225" s="151"/>
      <c r="BB225" s="151"/>
      <c r="BC225" s="151"/>
      <c r="BD225" s="151"/>
      <c r="BE225" s="151"/>
      <c r="BF225" s="151"/>
      <c r="BG225" s="151"/>
      <c r="BH225" s="151"/>
      <c r="BI225" s="151"/>
      <c r="BJ225" s="151"/>
      <c r="BK225" s="151"/>
      <c r="BL225" s="122"/>
      <c r="BM225" s="122"/>
      <c r="BN225" s="122"/>
      <c r="BO225" s="122"/>
      <c r="BP225" s="122"/>
      <c r="BQ225" s="122"/>
      <c r="BR225" s="122"/>
    </row>
    <row r="226" spans="1:70" ht="16.5" x14ac:dyDescent="0.3">
      <c r="A226" s="52"/>
      <c r="B226" s="192"/>
      <c r="C226" s="193"/>
      <c r="D226" s="194"/>
      <c r="E226" s="61"/>
      <c r="U226" s="151"/>
      <c r="V226" s="151"/>
      <c r="W226" s="151"/>
      <c r="X226" s="151"/>
      <c r="Y226" s="151"/>
      <c r="Z226" s="151"/>
      <c r="AA226" s="151"/>
      <c r="AB226" s="151"/>
      <c r="AC226" s="151"/>
      <c r="AD226" s="151"/>
      <c r="AE226" s="151"/>
      <c r="AF226" s="151"/>
      <c r="AG226" s="151"/>
      <c r="AH226" s="151"/>
      <c r="AI226" s="151"/>
      <c r="AJ226" s="151"/>
      <c r="AK226" s="151"/>
      <c r="AL226" s="151"/>
      <c r="AM226" s="151"/>
      <c r="AN226" s="151"/>
      <c r="AO226" s="151"/>
      <c r="AP226" s="151"/>
      <c r="AQ226" s="151"/>
      <c r="AR226" s="151"/>
      <c r="AS226" s="151"/>
      <c r="AT226" s="151"/>
      <c r="AU226" s="151"/>
      <c r="AV226" s="151"/>
      <c r="AW226" s="151"/>
      <c r="AX226" s="151"/>
      <c r="AY226" s="151"/>
      <c r="AZ226" s="151"/>
      <c r="BA226" s="151"/>
      <c r="BB226" s="151"/>
      <c r="BC226" s="151"/>
      <c r="BD226" s="151"/>
      <c r="BE226" s="151"/>
      <c r="BF226" s="151"/>
      <c r="BG226" s="151"/>
      <c r="BH226" s="151"/>
      <c r="BI226" s="151"/>
      <c r="BJ226" s="151"/>
      <c r="BK226" s="151"/>
      <c r="BL226" s="122"/>
      <c r="BM226" s="122"/>
      <c r="BN226" s="122"/>
      <c r="BO226" s="122"/>
      <c r="BP226" s="122"/>
      <c r="BQ226" s="122"/>
      <c r="BR226" s="122"/>
    </row>
    <row r="227" spans="1:70" ht="16.5" x14ac:dyDescent="0.3">
      <c r="A227" s="52"/>
      <c r="B227" s="192"/>
      <c r="C227" s="193"/>
      <c r="D227" s="194"/>
      <c r="E227" s="61"/>
      <c r="U227" s="151"/>
      <c r="V227" s="151"/>
      <c r="W227" s="151"/>
      <c r="X227" s="151"/>
      <c r="Y227" s="151"/>
      <c r="Z227" s="151"/>
      <c r="AA227" s="151"/>
      <c r="AB227" s="151"/>
      <c r="AC227" s="151"/>
      <c r="AD227" s="151"/>
      <c r="AE227" s="151"/>
      <c r="AF227" s="151"/>
      <c r="AG227" s="151"/>
      <c r="AH227" s="151"/>
      <c r="AI227" s="151"/>
      <c r="AJ227" s="151"/>
      <c r="AK227" s="151"/>
      <c r="AL227" s="151"/>
      <c r="AM227" s="151"/>
      <c r="AN227" s="151"/>
      <c r="AO227" s="151"/>
      <c r="AP227" s="151"/>
      <c r="AQ227" s="151"/>
      <c r="AR227" s="151"/>
      <c r="AS227" s="151"/>
      <c r="AT227" s="151"/>
      <c r="AU227" s="151"/>
      <c r="AV227" s="151"/>
      <c r="AW227" s="151"/>
      <c r="AX227" s="151"/>
      <c r="AY227" s="151"/>
      <c r="AZ227" s="151"/>
      <c r="BA227" s="151"/>
      <c r="BB227" s="151"/>
      <c r="BC227" s="151"/>
      <c r="BD227" s="151"/>
      <c r="BE227" s="151"/>
      <c r="BF227" s="151"/>
      <c r="BG227" s="151"/>
      <c r="BH227" s="151"/>
      <c r="BI227" s="151"/>
      <c r="BJ227" s="151"/>
      <c r="BK227" s="151"/>
      <c r="BL227" s="122"/>
      <c r="BM227" s="122"/>
      <c r="BN227" s="122"/>
      <c r="BO227" s="122"/>
      <c r="BP227" s="122"/>
      <c r="BQ227" s="122"/>
      <c r="BR227" s="122"/>
    </row>
    <row r="228" spans="1:70" ht="16.5" x14ac:dyDescent="0.3">
      <c r="A228" s="52"/>
      <c r="B228" s="192"/>
      <c r="C228" s="193"/>
      <c r="D228" s="194"/>
      <c r="E228" s="61"/>
      <c r="U228" s="151"/>
      <c r="V228" s="151"/>
      <c r="W228" s="151"/>
      <c r="X228" s="151"/>
      <c r="Y228" s="151"/>
      <c r="Z228" s="151"/>
      <c r="AA228" s="151"/>
      <c r="AB228" s="151"/>
      <c r="AC228" s="151"/>
      <c r="AD228" s="151"/>
      <c r="AE228" s="151"/>
      <c r="AF228" s="151"/>
      <c r="AG228" s="151"/>
      <c r="AH228" s="151"/>
      <c r="AI228" s="151"/>
      <c r="AJ228" s="151"/>
      <c r="AK228" s="151"/>
      <c r="AL228" s="151"/>
      <c r="AM228" s="151"/>
      <c r="AN228" s="151"/>
      <c r="AO228" s="151"/>
      <c r="AP228" s="151"/>
      <c r="AQ228" s="151"/>
      <c r="AR228" s="151"/>
      <c r="AS228" s="151"/>
      <c r="AT228" s="151"/>
      <c r="AU228" s="151"/>
      <c r="AV228" s="151"/>
      <c r="AW228" s="151"/>
      <c r="AX228" s="151"/>
      <c r="AY228" s="151"/>
      <c r="AZ228" s="151"/>
      <c r="BA228" s="151"/>
      <c r="BB228" s="151"/>
      <c r="BC228" s="151"/>
      <c r="BD228" s="151"/>
      <c r="BE228" s="151"/>
      <c r="BF228" s="151"/>
      <c r="BG228" s="151"/>
      <c r="BH228" s="151"/>
      <c r="BI228" s="151"/>
      <c r="BJ228" s="151"/>
      <c r="BK228" s="151"/>
      <c r="BL228" s="122"/>
      <c r="BM228" s="122"/>
      <c r="BN228" s="122"/>
      <c r="BO228" s="122"/>
      <c r="BP228" s="122"/>
      <c r="BQ228" s="122"/>
      <c r="BR228" s="122"/>
    </row>
    <row r="229" spans="1:70" ht="16.5" x14ac:dyDescent="0.3">
      <c r="A229" s="52"/>
      <c r="B229" s="192"/>
      <c r="C229" s="193"/>
      <c r="D229" s="194"/>
      <c r="E229" s="61"/>
      <c r="U229" s="151"/>
      <c r="V229" s="151"/>
      <c r="W229" s="151"/>
      <c r="X229" s="151"/>
      <c r="Y229" s="151"/>
      <c r="Z229" s="151"/>
      <c r="AA229" s="151"/>
      <c r="AB229" s="151"/>
      <c r="AC229" s="151"/>
      <c r="AD229" s="151"/>
      <c r="AE229" s="151"/>
      <c r="AF229" s="151"/>
      <c r="AG229" s="151"/>
      <c r="AH229" s="151"/>
      <c r="AI229" s="151"/>
      <c r="AJ229" s="151"/>
      <c r="AK229" s="151"/>
      <c r="AL229" s="151"/>
      <c r="AM229" s="151"/>
      <c r="AN229" s="151"/>
      <c r="AO229" s="151"/>
      <c r="AP229" s="151"/>
      <c r="AQ229" s="151"/>
      <c r="AR229" s="151"/>
      <c r="AS229" s="151"/>
      <c r="AT229" s="151"/>
      <c r="AU229" s="151"/>
      <c r="AV229" s="151"/>
      <c r="AW229" s="151"/>
      <c r="AX229" s="151"/>
      <c r="AY229" s="151"/>
      <c r="AZ229" s="151"/>
      <c r="BA229" s="151"/>
      <c r="BB229" s="151"/>
      <c r="BC229" s="151"/>
      <c r="BD229" s="151"/>
      <c r="BE229" s="151"/>
      <c r="BF229" s="151"/>
      <c r="BG229" s="151"/>
      <c r="BH229" s="151"/>
      <c r="BI229" s="151"/>
      <c r="BJ229" s="151"/>
      <c r="BK229" s="151"/>
      <c r="BL229" s="122"/>
      <c r="BM229" s="122"/>
      <c r="BN229" s="122"/>
      <c r="BO229" s="122"/>
      <c r="BP229" s="122"/>
      <c r="BQ229" s="122"/>
      <c r="BR229" s="122"/>
    </row>
    <row r="230" spans="1:70" ht="16.5" x14ac:dyDescent="0.3">
      <c r="A230" s="52"/>
      <c r="B230" s="192"/>
      <c r="C230" s="193"/>
      <c r="D230" s="194"/>
      <c r="E230" s="61"/>
      <c r="U230" s="151"/>
      <c r="V230" s="151"/>
      <c r="W230" s="151"/>
      <c r="X230" s="151"/>
      <c r="Y230" s="151"/>
      <c r="Z230" s="151"/>
      <c r="AA230" s="151"/>
      <c r="AB230" s="151"/>
      <c r="AC230" s="151"/>
      <c r="AD230" s="151"/>
      <c r="AE230" s="151"/>
      <c r="AF230" s="151"/>
      <c r="AG230" s="151"/>
      <c r="AH230" s="151"/>
      <c r="AI230" s="151"/>
      <c r="AJ230" s="151"/>
      <c r="AK230" s="151"/>
      <c r="AL230" s="151"/>
      <c r="AM230" s="151"/>
      <c r="AN230" s="151"/>
      <c r="AO230" s="151"/>
      <c r="AP230" s="151"/>
      <c r="AQ230" s="151"/>
      <c r="AR230" s="151"/>
      <c r="AS230" s="151"/>
      <c r="AT230" s="151"/>
      <c r="AU230" s="151"/>
      <c r="AV230" s="151"/>
      <c r="AW230" s="151"/>
      <c r="AX230" s="151"/>
      <c r="AY230" s="151"/>
      <c r="AZ230" s="151"/>
      <c r="BA230" s="151"/>
      <c r="BB230" s="151"/>
      <c r="BC230" s="151"/>
      <c r="BD230" s="151"/>
      <c r="BE230" s="151"/>
      <c r="BF230" s="151"/>
      <c r="BG230" s="151"/>
      <c r="BH230" s="151"/>
      <c r="BI230" s="151"/>
      <c r="BJ230" s="151"/>
      <c r="BK230" s="151"/>
      <c r="BL230" s="122"/>
      <c r="BM230" s="122"/>
      <c r="BN230" s="122"/>
      <c r="BO230" s="122"/>
      <c r="BP230" s="122"/>
      <c r="BQ230" s="122"/>
      <c r="BR230" s="122"/>
    </row>
    <row r="231" spans="1:70" ht="16.5" x14ac:dyDescent="0.3">
      <c r="A231" s="52"/>
      <c r="B231" s="192"/>
      <c r="C231" s="193"/>
      <c r="D231" s="194"/>
      <c r="E231" s="61"/>
      <c r="U231" s="151"/>
      <c r="V231" s="151"/>
      <c r="W231" s="151"/>
      <c r="X231" s="151"/>
      <c r="Y231" s="151"/>
      <c r="Z231" s="151"/>
      <c r="AA231" s="151"/>
      <c r="AB231" s="151"/>
      <c r="AC231" s="151"/>
      <c r="AD231" s="151"/>
      <c r="AE231" s="151"/>
      <c r="AF231" s="151"/>
      <c r="AG231" s="151"/>
      <c r="AH231" s="151"/>
      <c r="AI231" s="151"/>
      <c r="AJ231" s="151"/>
      <c r="AK231" s="151"/>
      <c r="AL231" s="151"/>
      <c r="AM231" s="151"/>
      <c r="AN231" s="151"/>
      <c r="AO231" s="151"/>
      <c r="AP231" s="151"/>
      <c r="AQ231" s="151"/>
      <c r="AR231" s="151"/>
      <c r="AS231" s="151"/>
      <c r="AT231" s="151"/>
      <c r="AU231" s="151"/>
      <c r="AV231" s="151"/>
      <c r="AW231" s="151"/>
      <c r="AX231" s="151"/>
      <c r="AY231" s="151"/>
      <c r="AZ231" s="151"/>
      <c r="BA231" s="151"/>
      <c r="BB231" s="151"/>
      <c r="BC231" s="151"/>
      <c r="BD231" s="151"/>
      <c r="BE231" s="151"/>
      <c r="BF231" s="151"/>
      <c r="BG231" s="151"/>
      <c r="BH231" s="151"/>
      <c r="BI231" s="151"/>
      <c r="BJ231" s="151"/>
      <c r="BK231" s="151"/>
      <c r="BL231" s="122"/>
      <c r="BM231" s="122"/>
      <c r="BN231" s="122"/>
      <c r="BO231" s="122"/>
      <c r="BP231" s="122"/>
      <c r="BQ231" s="122"/>
      <c r="BR231" s="122"/>
    </row>
    <row r="232" spans="1:70" ht="16.5" x14ac:dyDescent="0.3">
      <c r="A232" s="52"/>
      <c r="B232" s="192"/>
      <c r="C232" s="193"/>
      <c r="D232" s="194"/>
      <c r="E232" s="61"/>
      <c r="U232" s="151"/>
      <c r="V232" s="151"/>
      <c r="W232" s="151"/>
      <c r="X232" s="151"/>
      <c r="Y232" s="151"/>
      <c r="Z232" s="151"/>
      <c r="AA232" s="151"/>
      <c r="AB232" s="151"/>
      <c r="AC232" s="151"/>
      <c r="AD232" s="151"/>
      <c r="AE232" s="151"/>
      <c r="AF232" s="151"/>
      <c r="AG232" s="151"/>
      <c r="AH232" s="151"/>
      <c r="AI232" s="151"/>
      <c r="AJ232" s="151"/>
      <c r="AK232" s="151"/>
      <c r="AL232" s="151"/>
      <c r="AM232" s="151"/>
      <c r="AN232" s="151"/>
      <c r="AO232" s="151"/>
      <c r="AP232" s="151"/>
      <c r="AQ232" s="151"/>
      <c r="AR232" s="151"/>
      <c r="AS232" s="151"/>
      <c r="AT232" s="151"/>
      <c r="AU232" s="151"/>
      <c r="AV232" s="151"/>
      <c r="AW232" s="151"/>
      <c r="AX232" s="151"/>
      <c r="AY232" s="151"/>
      <c r="AZ232" s="151"/>
      <c r="BA232" s="151"/>
      <c r="BB232" s="151"/>
      <c r="BC232" s="151"/>
      <c r="BD232" s="151"/>
      <c r="BE232" s="151"/>
      <c r="BF232" s="151"/>
      <c r="BG232" s="151"/>
      <c r="BH232" s="151"/>
      <c r="BI232" s="151"/>
      <c r="BJ232" s="151"/>
      <c r="BK232" s="151"/>
      <c r="BL232" s="122"/>
      <c r="BM232" s="122"/>
      <c r="BN232" s="122"/>
      <c r="BO232" s="122"/>
      <c r="BP232" s="122"/>
      <c r="BQ232" s="122"/>
      <c r="BR232" s="122"/>
    </row>
    <row r="233" spans="1:70" ht="16.5" x14ac:dyDescent="0.3">
      <c r="A233" s="52"/>
      <c r="B233" s="192"/>
      <c r="C233" s="193"/>
      <c r="D233" s="194"/>
      <c r="E233" s="61"/>
      <c r="U233" s="151"/>
      <c r="V233" s="151"/>
      <c r="W233" s="151"/>
      <c r="X233" s="151"/>
      <c r="Y233" s="151"/>
      <c r="Z233" s="151"/>
      <c r="AA233" s="151"/>
      <c r="AB233" s="151"/>
      <c r="AC233" s="151"/>
      <c r="AD233" s="151"/>
      <c r="AE233" s="151"/>
      <c r="AF233" s="151"/>
      <c r="AG233" s="151"/>
      <c r="AH233" s="151"/>
      <c r="AI233" s="151"/>
      <c r="AJ233" s="151"/>
      <c r="AK233" s="151"/>
      <c r="AL233" s="151"/>
      <c r="AM233" s="151"/>
      <c r="AN233" s="151"/>
      <c r="AO233" s="151"/>
      <c r="AP233" s="151"/>
      <c r="AQ233" s="151"/>
      <c r="AR233" s="151"/>
      <c r="AS233" s="151"/>
      <c r="AT233" s="151"/>
      <c r="AU233" s="151"/>
      <c r="AV233" s="151"/>
      <c r="AW233" s="151"/>
      <c r="AX233" s="151"/>
      <c r="AY233" s="151"/>
      <c r="AZ233" s="151"/>
      <c r="BA233" s="151"/>
      <c r="BB233" s="151"/>
      <c r="BC233" s="151"/>
      <c r="BD233" s="151"/>
      <c r="BE233" s="151"/>
      <c r="BF233" s="151"/>
      <c r="BG233" s="151"/>
      <c r="BH233" s="151"/>
      <c r="BI233" s="151"/>
      <c r="BJ233" s="151"/>
      <c r="BK233" s="151"/>
      <c r="BL233" s="122"/>
      <c r="BM233" s="122"/>
      <c r="BN233" s="122"/>
      <c r="BO233" s="122"/>
      <c r="BP233" s="122"/>
      <c r="BQ233" s="122"/>
      <c r="BR233" s="122"/>
    </row>
    <row r="234" spans="1:70" ht="16.5" x14ac:dyDescent="0.3">
      <c r="A234" s="52"/>
      <c r="B234" s="192"/>
      <c r="C234" s="193"/>
      <c r="D234" s="194"/>
      <c r="E234" s="61"/>
      <c r="U234" s="151"/>
      <c r="V234" s="151"/>
      <c r="W234" s="151"/>
      <c r="X234" s="151"/>
      <c r="Y234" s="151"/>
      <c r="Z234" s="151"/>
      <c r="AA234" s="151"/>
      <c r="AB234" s="151"/>
      <c r="AC234" s="151"/>
      <c r="AD234" s="151"/>
      <c r="AE234" s="151"/>
      <c r="AF234" s="151"/>
      <c r="AG234" s="151"/>
      <c r="AH234" s="151"/>
      <c r="AI234" s="151"/>
      <c r="AJ234" s="151"/>
      <c r="AK234" s="151"/>
      <c r="AL234" s="151"/>
      <c r="AM234" s="151"/>
      <c r="AN234" s="151"/>
      <c r="AO234" s="151"/>
      <c r="AP234" s="151"/>
      <c r="AQ234" s="151"/>
      <c r="AR234" s="151"/>
      <c r="AS234" s="151"/>
      <c r="AT234" s="151"/>
      <c r="AU234" s="151"/>
      <c r="AV234" s="151"/>
      <c r="AW234" s="151"/>
      <c r="AX234" s="151"/>
      <c r="AY234" s="151"/>
      <c r="AZ234" s="151"/>
      <c r="BA234" s="151"/>
      <c r="BB234" s="151"/>
      <c r="BC234" s="151"/>
      <c r="BD234" s="151"/>
      <c r="BE234" s="151"/>
      <c r="BF234" s="151"/>
      <c r="BG234" s="151"/>
      <c r="BH234" s="151"/>
      <c r="BI234" s="151"/>
      <c r="BJ234" s="151"/>
      <c r="BK234" s="151"/>
      <c r="BL234" s="122"/>
      <c r="BM234" s="122"/>
      <c r="BN234" s="122"/>
      <c r="BO234" s="122"/>
      <c r="BP234" s="122"/>
      <c r="BQ234" s="122"/>
      <c r="BR234" s="122"/>
    </row>
    <row r="235" spans="1:70" ht="16.5" x14ac:dyDescent="0.3">
      <c r="A235" s="52"/>
      <c r="B235" s="192"/>
      <c r="C235" s="193"/>
      <c r="D235" s="194"/>
      <c r="E235" s="61"/>
      <c r="U235" s="151"/>
      <c r="V235" s="151"/>
      <c r="W235" s="151"/>
      <c r="X235" s="151"/>
      <c r="Y235" s="151"/>
      <c r="Z235" s="151"/>
      <c r="AA235" s="151"/>
      <c r="AB235" s="151"/>
      <c r="AC235" s="151"/>
      <c r="AD235" s="151"/>
      <c r="AE235" s="151"/>
      <c r="AF235" s="151"/>
      <c r="AG235" s="151"/>
      <c r="AH235" s="151"/>
      <c r="AI235" s="151"/>
      <c r="AJ235" s="151"/>
      <c r="AK235" s="151"/>
      <c r="AL235" s="151"/>
      <c r="AM235" s="151"/>
      <c r="AN235" s="151"/>
      <c r="AO235" s="151"/>
      <c r="AP235" s="151"/>
      <c r="AQ235" s="151"/>
      <c r="AR235" s="151"/>
      <c r="AS235" s="151"/>
      <c r="AT235" s="151"/>
      <c r="AU235" s="151"/>
      <c r="AV235" s="151"/>
      <c r="AW235" s="151"/>
      <c r="AX235" s="151"/>
      <c r="AY235" s="151"/>
      <c r="AZ235" s="151"/>
      <c r="BA235" s="151"/>
      <c r="BB235" s="151"/>
      <c r="BC235" s="151"/>
      <c r="BD235" s="151"/>
      <c r="BE235" s="151"/>
      <c r="BF235" s="151"/>
      <c r="BG235" s="151"/>
      <c r="BH235" s="151"/>
      <c r="BI235" s="151"/>
      <c r="BJ235" s="151"/>
      <c r="BK235" s="151"/>
      <c r="BL235" s="122"/>
      <c r="BM235" s="122"/>
      <c r="BN235" s="122"/>
      <c r="BO235" s="122"/>
      <c r="BP235" s="122"/>
      <c r="BQ235" s="122"/>
      <c r="BR235" s="122"/>
    </row>
    <row r="236" spans="1:70" ht="16.5" x14ac:dyDescent="0.3">
      <c r="A236" s="52"/>
      <c r="B236" s="192"/>
      <c r="C236" s="193"/>
      <c r="D236" s="194"/>
      <c r="E236" s="61"/>
      <c r="U236" s="151"/>
      <c r="V236" s="151"/>
      <c r="W236" s="151"/>
      <c r="X236" s="151"/>
      <c r="Y236" s="151"/>
      <c r="Z236" s="151"/>
      <c r="AA236" s="151"/>
      <c r="AB236" s="151"/>
      <c r="AC236" s="151"/>
      <c r="AD236" s="151"/>
      <c r="AE236" s="151"/>
      <c r="AF236" s="151"/>
      <c r="AG236" s="151"/>
      <c r="AH236" s="151"/>
      <c r="AI236" s="151"/>
      <c r="AJ236" s="151"/>
      <c r="AK236" s="151"/>
      <c r="AL236" s="151"/>
      <c r="AM236" s="151"/>
      <c r="AN236" s="151"/>
      <c r="AO236" s="151"/>
      <c r="AP236" s="151"/>
      <c r="AQ236" s="151"/>
      <c r="AR236" s="151"/>
      <c r="AS236" s="151"/>
      <c r="AT236" s="151"/>
      <c r="AU236" s="151"/>
      <c r="AV236" s="151"/>
      <c r="AW236" s="151"/>
      <c r="AX236" s="151"/>
      <c r="AY236" s="151"/>
      <c r="AZ236" s="151"/>
      <c r="BA236" s="151"/>
      <c r="BB236" s="151"/>
      <c r="BC236" s="151"/>
      <c r="BD236" s="151"/>
      <c r="BE236" s="151"/>
      <c r="BF236" s="151"/>
      <c r="BG236" s="151"/>
      <c r="BH236" s="151"/>
      <c r="BI236" s="151"/>
      <c r="BJ236" s="151"/>
      <c r="BK236" s="151"/>
      <c r="BL236" s="122"/>
      <c r="BM236" s="122"/>
      <c r="BN236" s="122"/>
      <c r="BO236" s="122"/>
      <c r="BP236" s="122"/>
      <c r="BQ236" s="122"/>
      <c r="BR236" s="122"/>
    </row>
    <row r="237" spans="1:70" ht="16.5" x14ac:dyDescent="0.3">
      <c r="A237" s="52"/>
      <c r="B237" s="192"/>
      <c r="C237" s="193"/>
      <c r="D237" s="194"/>
      <c r="E237" s="61"/>
      <c r="U237" s="151"/>
      <c r="V237" s="151"/>
      <c r="W237" s="151"/>
      <c r="X237" s="151"/>
      <c r="Y237" s="151"/>
      <c r="Z237" s="151"/>
      <c r="AA237" s="151"/>
      <c r="AB237" s="151"/>
      <c r="AC237" s="151"/>
      <c r="AD237" s="151"/>
      <c r="AE237" s="151"/>
      <c r="AF237" s="151"/>
      <c r="AG237" s="151"/>
      <c r="AH237" s="151"/>
      <c r="AI237" s="151"/>
      <c r="AJ237" s="151"/>
      <c r="AK237" s="151"/>
      <c r="AL237" s="151"/>
      <c r="AM237" s="151"/>
      <c r="AN237" s="151"/>
      <c r="AO237" s="151"/>
      <c r="AP237" s="151"/>
      <c r="AQ237" s="151"/>
      <c r="AR237" s="151"/>
      <c r="AS237" s="151"/>
      <c r="AT237" s="151"/>
      <c r="AU237" s="151"/>
      <c r="AV237" s="151"/>
      <c r="AW237" s="151"/>
      <c r="AX237" s="151"/>
      <c r="AY237" s="151"/>
      <c r="AZ237" s="151"/>
      <c r="BA237" s="151"/>
      <c r="BB237" s="151"/>
      <c r="BC237" s="151"/>
      <c r="BD237" s="151"/>
      <c r="BE237" s="151"/>
      <c r="BF237" s="151"/>
      <c r="BG237" s="151"/>
      <c r="BH237" s="151"/>
      <c r="BI237" s="151"/>
      <c r="BJ237" s="151"/>
      <c r="BK237" s="151"/>
      <c r="BL237" s="122"/>
      <c r="BM237" s="122"/>
      <c r="BN237" s="122"/>
      <c r="BO237" s="122"/>
      <c r="BP237" s="122"/>
      <c r="BQ237" s="122"/>
      <c r="BR237" s="122"/>
    </row>
    <row r="238" spans="1:70" ht="16.5" x14ac:dyDescent="0.3">
      <c r="A238" s="52"/>
      <c r="B238" s="192"/>
      <c r="C238" s="193"/>
      <c r="D238" s="194"/>
      <c r="E238" s="61"/>
      <c r="U238" s="151"/>
      <c r="V238" s="151"/>
      <c r="W238" s="151"/>
      <c r="X238" s="151"/>
      <c r="Y238" s="151"/>
      <c r="Z238" s="151"/>
      <c r="AA238" s="151"/>
      <c r="AB238" s="151"/>
      <c r="AC238" s="151"/>
      <c r="AD238" s="151"/>
      <c r="AE238" s="151"/>
      <c r="AF238" s="151"/>
      <c r="AG238" s="151"/>
      <c r="AH238" s="151"/>
      <c r="AI238" s="151"/>
      <c r="AJ238" s="151"/>
      <c r="AK238" s="151"/>
      <c r="AL238" s="151"/>
      <c r="AM238" s="151"/>
      <c r="AN238" s="151"/>
      <c r="AO238" s="151"/>
      <c r="AP238" s="151"/>
      <c r="AQ238" s="151"/>
      <c r="AR238" s="151"/>
      <c r="AS238" s="151"/>
      <c r="AT238" s="151"/>
      <c r="AU238" s="151"/>
      <c r="AV238" s="151"/>
      <c r="AW238" s="151"/>
      <c r="AX238" s="151"/>
      <c r="AY238" s="151"/>
      <c r="AZ238" s="151"/>
      <c r="BA238" s="151"/>
      <c r="BB238" s="151"/>
      <c r="BC238" s="151"/>
      <c r="BD238" s="151"/>
      <c r="BE238" s="151"/>
      <c r="BF238" s="151"/>
      <c r="BG238" s="151"/>
      <c r="BH238" s="151"/>
      <c r="BI238" s="151"/>
      <c r="BJ238" s="151"/>
      <c r="BK238" s="151"/>
      <c r="BL238" s="122"/>
      <c r="BM238" s="122"/>
      <c r="BN238" s="122"/>
      <c r="BO238" s="122"/>
      <c r="BP238" s="122"/>
      <c r="BQ238" s="122"/>
      <c r="BR238" s="122"/>
    </row>
    <row r="239" spans="1:70" ht="16.5" x14ac:dyDescent="0.3">
      <c r="A239" s="52"/>
      <c r="B239" s="192"/>
      <c r="C239" s="193"/>
      <c r="D239" s="194"/>
      <c r="E239" s="61"/>
      <c r="U239" s="151"/>
      <c r="V239" s="151"/>
      <c r="W239" s="151"/>
      <c r="X239" s="151"/>
      <c r="Y239" s="151"/>
      <c r="Z239" s="151"/>
      <c r="AA239" s="151"/>
      <c r="AB239" s="151"/>
      <c r="AC239" s="151"/>
      <c r="AD239" s="151"/>
      <c r="AE239" s="151"/>
      <c r="AF239" s="151"/>
      <c r="AG239" s="151"/>
      <c r="AH239" s="151"/>
      <c r="AI239" s="151"/>
      <c r="AJ239" s="151"/>
      <c r="AK239" s="151"/>
      <c r="AL239" s="151"/>
      <c r="AM239" s="151"/>
      <c r="AN239" s="151"/>
      <c r="AO239" s="151"/>
      <c r="AP239" s="151"/>
      <c r="AQ239" s="151"/>
      <c r="AR239" s="151"/>
      <c r="AS239" s="151"/>
      <c r="AT239" s="151"/>
      <c r="AU239" s="151"/>
      <c r="AV239" s="151"/>
      <c r="AW239" s="151"/>
      <c r="AX239" s="151"/>
      <c r="AY239" s="151"/>
      <c r="AZ239" s="151"/>
      <c r="BA239" s="151"/>
      <c r="BB239" s="151"/>
      <c r="BC239" s="151"/>
      <c r="BD239" s="151"/>
      <c r="BE239" s="151"/>
      <c r="BF239" s="151"/>
      <c r="BG239" s="151"/>
      <c r="BH239" s="151"/>
      <c r="BI239" s="151"/>
      <c r="BJ239" s="151"/>
      <c r="BK239" s="151"/>
      <c r="BL239" s="122"/>
      <c r="BM239" s="122"/>
      <c r="BN239" s="122"/>
      <c r="BO239" s="122"/>
      <c r="BP239" s="122"/>
      <c r="BQ239" s="122"/>
      <c r="BR239" s="122"/>
    </row>
    <row r="240" spans="1:70" ht="16.5" x14ac:dyDescent="0.3">
      <c r="A240" s="52"/>
      <c r="B240" s="192"/>
      <c r="C240" s="193"/>
      <c r="D240" s="194"/>
      <c r="E240" s="61"/>
      <c r="U240" s="151"/>
      <c r="V240" s="151"/>
      <c r="W240" s="151"/>
      <c r="X240" s="151"/>
      <c r="Y240" s="151"/>
      <c r="Z240" s="151"/>
      <c r="AA240" s="151"/>
      <c r="AB240" s="151"/>
      <c r="AC240" s="151"/>
      <c r="AD240" s="151"/>
      <c r="AE240" s="151"/>
      <c r="AF240" s="151"/>
      <c r="AG240" s="151"/>
      <c r="AH240" s="151"/>
      <c r="AI240" s="151"/>
      <c r="AJ240" s="151"/>
      <c r="AK240" s="151"/>
      <c r="AL240" s="151"/>
      <c r="AM240" s="151"/>
      <c r="AN240" s="151"/>
      <c r="AO240" s="151"/>
      <c r="AP240" s="151"/>
      <c r="AQ240" s="151"/>
      <c r="AR240" s="151"/>
      <c r="AS240" s="151"/>
      <c r="AT240" s="151"/>
      <c r="AU240" s="151"/>
      <c r="AV240" s="151"/>
      <c r="AW240" s="151"/>
      <c r="AX240" s="151"/>
      <c r="AY240" s="151"/>
      <c r="AZ240" s="151"/>
      <c r="BA240" s="151"/>
      <c r="BB240" s="151"/>
      <c r="BC240" s="151"/>
      <c r="BD240" s="151"/>
      <c r="BE240" s="151"/>
      <c r="BF240" s="151"/>
      <c r="BG240" s="151"/>
      <c r="BH240" s="151"/>
      <c r="BI240" s="151"/>
      <c r="BJ240" s="151"/>
      <c r="BK240" s="151"/>
      <c r="BL240" s="122"/>
      <c r="BM240" s="122"/>
      <c r="BN240" s="122"/>
      <c r="BO240" s="122"/>
      <c r="BP240" s="122"/>
      <c r="BQ240" s="122"/>
      <c r="BR240" s="122"/>
    </row>
    <row r="241" spans="1:70" ht="16.5" x14ac:dyDescent="0.3">
      <c r="A241" s="52"/>
      <c r="B241" s="192"/>
      <c r="C241" s="193"/>
      <c r="D241" s="194"/>
      <c r="E241" s="61"/>
      <c r="U241" s="151"/>
      <c r="V241" s="151"/>
      <c r="W241" s="151"/>
      <c r="X241" s="151"/>
      <c r="Y241" s="151"/>
      <c r="Z241" s="151"/>
      <c r="AA241" s="151"/>
      <c r="AB241" s="151"/>
      <c r="AC241" s="151"/>
      <c r="AD241" s="151"/>
      <c r="AE241" s="151"/>
      <c r="AF241" s="151"/>
      <c r="AG241" s="151"/>
      <c r="AH241" s="151"/>
      <c r="AI241" s="151"/>
      <c r="AJ241" s="151"/>
      <c r="AK241" s="151"/>
      <c r="AL241" s="151"/>
      <c r="AM241" s="151"/>
      <c r="AN241" s="151"/>
      <c r="AO241" s="151"/>
      <c r="AP241" s="151"/>
      <c r="AQ241" s="151"/>
      <c r="AR241" s="151"/>
      <c r="AS241" s="151"/>
      <c r="AT241" s="151"/>
      <c r="AU241" s="151"/>
      <c r="AV241" s="151"/>
      <c r="AW241" s="151"/>
      <c r="AX241" s="151"/>
      <c r="AY241" s="151"/>
      <c r="AZ241" s="151"/>
      <c r="BA241" s="151"/>
      <c r="BB241" s="151"/>
      <c r="BC241" s="151"/>
      <c r="BD241" s="151"/>
      <c r="BE241" s="151"/>
      <c r="BF241" s="151"/>
      <c r="BG241" s="151"/>
      <c r="BH241" s="151"/>
      <c r="BI241" s="151"/>
      <c r="BJ241" s="151"/>
      <c r="BK241" s="151"/>
      <c r="BL241" s="122"/>
      <c r="BM241" s="122"/>
      <c r="BN241" s="122"/>
      <c r="BO241" s="122"/>
      <c r="BP241" s="122"/>
      <c r="BQ241" s="122"/>
      <c r="BR241" s="122"/>
    </row>
    <row r="242" spans="1:70" ht="16.5" x14ac:dyDescent="0.3">
      <c r="A242" s="52"/>
      <c r="B242" s="192"/>
      <c r="C242" s="193"/>
      <c r="D242" s="194"/>
      <c r="E242" s="61"/>
      <c r="U242" s="151"/>
      <c r="V242" s="151"/>
      <c r="W242" s="151"/>
      <c r="X242" s="151"/>
      <c r="Y242" s="151"/>
      <c r="Z242" s="151"/>
      <c r="AA242" s="151"/>
      <c r="AB242" s="151"/>
      <c r="AC242" s="151"/>
      <c r="AD242" s="151"/>
      <c r="AE242" s="151"/>
      <c r="AF242" s="151"/>
      <c r="AG242" s="151"/>
      <c r="AH242" s="151"/>
      <c r="AI242" s="151"/>
      <c r="AJ242" s="151"/>
      <c r="AK242" s="151"/>
      <c r="AL242" s="151"/>
      <c r="AM242" s="151"/>
      <c r="AN242" s="151"/>
      <c r="AO242" s="151"/>
      <c r="AP242" s="151"/>
      <c r="AQ242" s="151"/>
      <c r="AR242" s="151"/>
      <c r="AS242" s="151"/>
      <c r="AT242" s="151"/>
      <c r="AU242" s="151"/>
      <c r="AV242" s="151"/>
      <c r="AW242" s="151"/>
      <c r="AX242" s="151"/>
      <c r="AY242" s="151"/>
      <c r="AZ242" s="151"/>
      <c r="BA242" s="151"/>
      <c r="BB242" s="151"/>
      <c r="BC242" s="151"/>
      <c r="BD242" s="151"/>
      <c r="BE242" s="151"/>
      <c r="BF242" s="151"/>
      <c r="BG242" s="151"/>
      <c r="BH242" s="151"/>
      <c r="BI242" s="151"/>
      <c r="BJ242" s="151"/>
      <c r="BK242" s="151"/>
      <c r="BL242" s="122"/>
      <c r="BM242" s="122"/>
      <c r="BN242" s="122"/>
      <c r="BO242" s="122"/>
      <c r="BP242" s="122"/>
      <c r="BQ242" s="122"/>
      <c r="BR242" s="122"/>
    </row>
    <row r="243" spans="1:70" ht="16.5" x14ac:dyDescent="0.3">
      <c r="A243" s="52"/>
      <c r="B243" s="192"/>
      <c r="C243" s="193"/>
      <c r="D243" s="194"/>
      <c r="E243" s="61"/>
      <c r="U243" s="151"/>
      <c r="V243" s="151"/>
      <c r="W243" s="151"/>
      <c r="X243" s="151"/>
      <c r="Y243" s="151"/>
      <c r="Z243" s="151"/>
      <c r="AA243" s="151"/>
      <c r="AB243" s="151"/>
      <c r="AC243" s="151"/>
      <c r="AD243" s="151"/>
      <c r="AE243" s="151"/>
      <c r="AF243" s="151"/>
      <c r="AG243" s="151"/>
      <c r="AH243" s="151"/>
      <c r="AI243" s="151"/>
      <c r="AJ243" s="151"/>
      <c r="AK243" s="151"/>
      <c r="AL243" s="151"/>
      <c r="AM243" s="151"/>
      <c r="AN243" s="151"/>
      <c r="AO243" s="151"/>
      <c r="AP243" s="151"/>
      <c r="AQ243" s="151"/>
      <c r="AR243" s="151"/>
      <c r="AS243" s="151"/>
      <c r="AT243" s="151"/>
      <c r="AU243" s="151"/>
      <c r="AV243" s="151"/>
      <c r="AW243" s="151"/>
      <c r="AX243" s="151"/>
      <c r="AY243" s="151"/>
      <c r="AZ243" s="151"/>
      <c r="BA243" s="151"/>
      <c r="BB243" s="151"/>
      <c r="BC243" s="151"/>
      <c r="BD243" s="151"/>
      <c r="BE243" s="151"/>
      <c r="BF243" s="151"/>
      <c r="BG243" s="151"/>
      <c r="BH243" s="151"/>
      <c r="BI243" s="151"/>
      <c r="BJ243" s="151"/>
      <c r="BK243" s="151"/>
      <c r="BL243" s="122"/>
      <c r="BM243" s="122"/>
      <c r="BN243" s="122"/>
      <c r="BO243" s="122"/>
      <c r="BP243" s="122"/>
      <c r="BQ243" s="122"/>
      <c r="BR243" s="122"/>
    </row>
    <row r="244" spans="1:70" ht="16.5" x14ac:dyDescent="0.3">
      <c r="A244" s="52"/>
      <c r="B244" s="192"/>
      <c r="C244" s="193"/>
      <c r="D244" s="194"/>
      <c r="E244" s="61"/>
      <c r="U244" s="151"/>
      <c r="V244" s="151"/>
      <c r="W244" s="151"/>
      <c r="X244" s="151"/>
      <c r="Y244" s="151"/>
      <c r="Z244" s="151"/>
      <c r="AA244" s="151"/>
      <c r="AB244" s="151"/>
      <c r="AC244" s="151"/>
      <c r="AD244" s="151"/>
      <c r="AE244" s="151"/>
      <c r="AF244" s="151"/>
      <c r="AG244" s="151"/>
      <c r="AH244" s="151"/>
      <c r="AI244" s="151"/>
      <c r="AJ244" s="151"/>
      <c r="AK244" s="151"/>
      <c r="AL244" s="151"/>
      <c r="AM244" s="151"/>
      <c r="AN244" s="151"/>
      <c r="AO244" s="151"/>
      <c r="AP244" s="151"/>
      <c r="AQ244" s="151"/>
      <c r="AR244" s="151"/>
      <c r="AS244" s="151"/>
      <c r="AT244" s="151"/>
      <c r="AU244" s="151"/>
      <c r="AV244" s="151"/>
      <c r="AW244" s="151"/>
      <c r="AX244" s="151"/>
      <c r="AY244" s="151"/>
      <c r="AZ244" s="151"/>
      <c r="BA244" s="151"/>
      <c r="BB244" s="151"/>
      <c r="BC244" s="151"/>
      <c r="BD244" s="151"/>
      <c r="BE244" s="151"/>
      <c r="BF244" s="151"/>
      <c r="BG244" s="151"/>
      <c r="BH244" s="151"/>
      <c r="BI244" s="151"/>
      <c r="BJ244" s="151"/>
      <c r="BK244" s="151"/>
      <c r="BL244" s="122"/>
      <c r="BM244" s="122"/>
      <c r="BN244" s="122"/>
      <c r="BO244" s="122"/>
      <c r="BP244" s="122"/>
      <c r="BQ244" s="122"/>
      <c r="BR244" s="122"/>
    </row>
    <row r="245" spans="1:70" ht="16.5" x14ac:dyDescent="0.3">
      <c r="A245" s="52"/>
      <c r="B245" s="192"/>
      <c r="C245" s="193"/>
      <c r="D245" s="194"/>
      <c r="E245" s="61"/>
      <c r="U245" s="151"/>
      <c r="V245" s="151"/>
      <c r="W245" s="151"/>
      <c r="X245" s="151"/>
      <c r="Y245" s="151"/>
      <c r="Z245" s="151"/>
      <c r="AA245" s="151"/>
      <c r="AB245" s="151"/>
      <c r="AC245" s="151"/>
      <c r="AD245" s="151"/>
      <c r="AE245" s="151"/>
      <c r="AF245" s="151"/>
      <c r="AG245" s="151"/>
      <c r="AH245" s="151"/>
      <c r="AI245" s="151"/>
      <c r="AJ245" s="151"/>
      <c r="AK245" s="151"/>
      <c r="AL245" s="151"/>
      <c r="AM245" s="151"/>
      <c r="AN245" s="151"/>
      <c r="AO245" s="151"/>
      <c r="AP245" s="151"/>
      <c r="AQ245" s="151"/>
      <c r="AR245" s="151"/>
      <c r="AS245" s="151"/>
      <c r="AT245" s="151"/>
      <c r="AU245" s="151"/>
      <c r="AV245" s="151"/>
      <c r="AW245" s="151"/>
      <c r="AX245" s="151"/>
      <c r="AY245" s="151"/>
      <c r="AZ245" s="151"/>
      <c r="BA245" s="151"/>
      <c r="BB245" s="151"/>
      <c r="BC245" s="151"/>
      <c r="BD245" s="151"/>
      <c r="BE245" s="151"/>
      <c r="BF245" s="151"/>
      <c r="BG245" s="151"/>
      <c r="BH245" s="151"/>
      <c r="BI245" s="151"/>
      <c r="BJ245" s="151"/>
      <c r="BK245" s="151"/>
      <c r="BL245" s="122"/>
      <c r="BM245" s="122"/>
      <c r="BN245" s="122"/>
      <c r="BO245" s="122"/>
      <c r="BP245" s="122"/>
      <c r="BQ245" s="122"/>
      <c r="BR245" s="122"/>
    </row>
    <row r="246" spans="1:70" ht="16.5" x14ac:dyDescent="0.3">
      <c r="A246" s="52"/>
      <c r="B246" s="192"/>
      <c r="C246" s="193"/>
      <c r="D246" s="194"/>
      <c r="E246" s="61"/>
      <c r="U246" s="151"/>
      <c r="V246" s="151"/>
      <c r="W246" s="151"/>
      <c r="X246" s="151"/>
      <c r="Y246" s="151"/>
      <c r="Z246" s="151"/>
      <c r="AA246" s="151"/>
      <c r="AB246" s="151"/>
      <c r="AC246" s="151"/>
      <c r="AD246" s="151"/>
      <c r="AE246" s="151"/>
      <c r="AF246" s="151"/>
      <c r="AG246" s="151"/>
      <c r="AH246" s="151"/>
      <c r="AI246" s="151"/>
      <c r="AJ246" s="151"/>
      <c r="AK246" s="151"/>
      <c r="AL246" s="151"/>
      <c r="AM246" s="151"/>
      <c r="AN246" s="151"/>
      <c r="AO246" s="151"/>
      <c r="AP246" s="151"/>
      <c r="AQ246" s="151"/>
      <c r="AR246" s="151"/>
      <c r="AS246" s="151"/>
      <c r="AT246" s="151"/>
      <c r="AU246" s="151"/>
      <c r="AV246" s="151"/>
      <c r="AW246" s="151"/>
      <c r="AX246" s="151"/>
      <c r="AY246" s="151"/>
      <c r="AZ246" s="151"/>
      <c r="BA246" s="151"/>
      <c r="BB246" s="151"/>
      <c r="BC246" s="151"/>
      <c r="BD246" s="151"/>
      <c r="BE246" s="151"/>
      <c r="BF246" s="151"/>
      <c r="BG246" s="151"/>
      <c r="BH246" s="151"/>
      <c r="BI246" s="151"/>
      <c r="BJ246" s="151"/>
      <c r="BK246" s="151"/>
      <c r="BL246" s="122"/>
      <c r="BM246" s="122"/>
      <c r="BN246" s="122"/>
      <c r="BO246" s="122"/>
      <c r="BP246" s="122"/>
      <c r="BQ246" s="122"/>
      <c r="BR246" s="122"/>
    </row>
    <row r="247" spans="1:70" ht="16.5" x14ac:dyDescent="0.3">
      <c r="A247" s="52"/>
      <c r="B247" s="192"/>
      <c r="C247" s="193"/>
      <c r="D247" s="194"/>
      <c r="E247" s="61"/>
      <c r="U247" s="151"/>
      <c r="V247" s="151"/>
      <c r="W247" s="151"/>
      <c r="X247" s="151"/>
      <c r="Y247" s="151"/>
      <c r="Z247" s="151"/>
      <c r="AA247" s="151"/>
      <c r="AB247" s="151"/>
      <c r="AC247" s="151"/>
      <c r="AD247" s="151"/>
      <c r="AE247" s="151"/>
      <c r="AF247" s="151"/>
      <c r="AG247" s="151"/>
      <c r="AH247" s="151"/>
      <c r="AI247" s="151"/>
      <c r="AJ247" s="151"/>
      <c r="AK247" s="151"/>
      <c r="AL247" s="151"/>
      <c r="AM247" s="151"/>
      <c r="AN247" s="151"/>
      <c r="AO247" s="151"/>
      <c r="AP247" s="151"/>
      <c r="AQ247" s="151"/>
      <c r="AR247" s="151"/>
      <c r="AS247" s="151"/>
      <c r="AT247" s="151"/>
      <c r="AU247" s="151"/>
      <c r="AV247" s="151"/>
      <c r="AW247" s="151"/>
      <c r="AX247" s="151"/>
      <c r="AY247" s="151"/>
      <c r="AZ247" s="151"/>
      <c r="BA247" s="151"/>
      <c r="BB247" s="151"/>
      <c r="BC247" s="151"/>
      <c r="BD247" s="151"/>
      <c r="BE247" s="151"/>
      <c r="BF247" s="151"/>
      <c r="BG247" s="151"/>
      <c r="BH247" s="151"/>
      <c r="BI247" s="151"/>
      <c r="BJ247" s="151"/>
      <c r="BK247" s="151"/>
      <c r="BL247" s="122"/>
      <c r="BM247" s="122"/>
      <c r="BN247" s="122"/>
      <c r="BO247" s="122"/>
      <c r="BP247" s="122"/>
      <c r="BQ247" s="122"/>
      <c r="BR247" s="122"/>
    </row>
    <row r="248" spans="1:70" ht="16.5" x14ac:dyDescent="0.3">
      <c r="A248" s="52"/>
      <c r="B248" s="192"/>
      <c r="C248" s="193"/>
      <c r="D248" s="194"/>
      <c r="E248" s="61"/>
      <c r="U248" s="151"/>
      <c r="V248" s="151"/>
      <c r="W248" s="151"/>
      <c r="X248" s="151"/>
      <c r="Y248" s="151"/>
      <c r="Z248" s="151"/>
      <c r="AA248" s="151"/>
      <c r="AB248" s="151"/>
      <c r="AC248" s="151"/>
      <c r="AD248" s="151"/>
      <c r="AE248" s="151"/>
      <c r="AF248" s="151"/>
      <c r="AG248" s="151"/>
      <c r="AH248" s="151"/>
      <c r="AI248" s="151"/>
      <c r="AJ248" s="151"/>
      <c r="AK248" s="151"/>
      <c r="AL248" s="151"/>
      <c r="AM248" s="151"/>
      <c r="AN248" s="151"/>
      <c r="AO248" s="151"/>
      <c r="AP248" s="151"/>
      <c r="AQ248" s="151"/>
      <c r="AR248" s="151"/>
      <c r="AS248" s="151"/>
      <c r="AT248" s="151"/>
      <c r="AU248" s="151"/>
      <c r="AV248" s="151"/>
      <c r="AW248" s="151"/>
      <c r="AX248" s="151"/>
      <c r="AY248" s="151"/>
      <c r="AZ248" s="151"/>
      <c r="BA248" s="151"/>
      <c r="BB248" s="151"/>
      <c r="BC248" s="151"/>
      <c r="BD248" s="151"/>
      <c r="BE248" s="151"/>
      <c r="BF248" s="151"/>
      <c r="BG248" s="151"/>
      <c r="BH248" s="151"/>
      <c r="BI248" s="151"/>
      <c r="BJ248" s="151"/>
      <c r="BK248" s="151"/>
      <c r="BL248" s="122"/>
      <c r="BM248" s="122"/>
      <c r="BN248" s="122"/>
      <c r="BO248" s="122"/>
      <c r="BP248" s="122"/>
      <c r="BQ248" s="122"/>
      <c r="BR248" s="122"/>
    </row>
    <row r="249" spans="1:70" ht="16.5" x14ac:dyDescent="0.3">
      <c r="A249" s="52"/>
      <c r="B249" s="192"/>
      <c r="C249" s="193"/>
      <c r="D249" s="194"/>
      <c r="E249" s="61"/>
      <c r="U249" s="151"/>
      <c r="V249" s="151"/>
      <c r="W249" s="151"/>
      <c r="X249" s="151"/>
      <c r="Y249" s="151"/>
      <c r="Z249" s="151"/>
      <c r="AA249" s="151"/>
      <c r="AB249" s="151"/>
      <c r="AC249" s="151"/>
      <c r="AD249" s="151"/>
      <c r="AE249" s="151"/>
      <c r="AF249" s="151"/>
      <c r="AG249" s="151"/>
      <c r="AH249" s="151"/>
      <c r="AI249" s="151"/>
      <c r="AJ249" s="151"/>
      <c r="AK249" s="151"/>
      <c r="AL249" s="151"/>
      <c r="AM249" s="151"/>
      <c r="AN249" s="151"/>
      <c r="AO249" s="151"/>
      <c r="AP249" s="151"/>
      <c r="AQ249" s="151"/>
      <c r="AR249" s="151"/>
      <c r="AS249" s="151"/>
      <c r="AT249" s="151"/>
      <c r="AU249" s="151"/>
      <c r="AV249" s="151"/>
      <c r="AW249" s="151"/>
      <c r="AX249" s="151"/>
      <c r="AY249" s="151"/>
      <c r="AZ249" s="151"/>
      <c r="BA249" s="151"/>
      <c r="BB249" s="151"/>
      <c r="BC249" s="151"/>
      <c r="BD249" s="151"/>
      <c r="BE249" s="151"/>
      <c r="BF249" s="151"/>
      <c r="BG249" s="151"/>
      <c r="BH249" s="151"/>
      <c r="BI249" s="151"/>
      <c r="BJ249" s="151"/>
      <c r="BK249" s="151"/>
      <c r="BL249" s="122"/>
      <c r="BM249" s="122"/>
      <c r="BN249" s="122"/>
      <c r="BO249" s="122"/>
      <c r="BP249" s="122"/>
      <c r="BQ249" s="122"/>
      <c r="BR249" s="122"/>
    </row>
    <row r="250" spans="1:70" ht="16.5" x14ac:dyDescent="0.3">
      <c r="A250" s="52"/>
      <c r="B250" s="192"/>
      <c r="C250" s="193"/>
      <c r="D250" s="194"/>
      <c r="E250" s="61"/>
      <c r="U250" s="151"/>
      <c r="V250" s="151"/>
      <c r="W250" s="151"/>
      <c r="X250" s="151"/>
      <c r="Y250" s="151"/>
      <c r="Z250" s="151"/>
      <c r="AA250" s="151"/>
      <c r="AB250" s="151"/>
      <c r="AC250" s="151"/>
      <c r="AD250" s="151"/>
      <c r="AE250" s="151"/>
      <c r="AF250" s="151"/>
      <c r="AG250" s="151"/>
      <c r="AH250" s="151"/>
      <c r="AI250" s="151"/>
      <c r="AJ250" s="151"/>
      <c r="AK250" s="151"/>
      <c r="AL250" s="151"/>
      <c r="AM250" s="151"/>
      <c r="AN250" s="151"/>
      <c r="AO250" s="151"/>
      <c r="AP250" s="151"/>
      <c r="AQ250" s="151"/>
      <c r="AR250" s="151"/>
      <c r="AS250" s="151"/>
      <c r="AT250" s="151"/>
      <c r="AU250" s="151"/>
      <c r="AV250" s="151"/>
      <c r="AW250" s="151"/>
      <c r="AX250" s="151"/>
      <c r="AY250" s="151"/>
      <c r="AZ250" s="151"/>
      <c r="BA250" s="151"/>
      <c r="BB250" s="151"/>
      <c r="BC250" s="151"/>
      <c r="BD250" s="151"/>
      <c r="BE250" s="151"/>
      <c r="BF250" s="151"/>
      <c r="BG250" s="151"/>
      <c r="BH250" s="151"/>
      <c r="BI250" s="151"/>
      <c r="BJ250" s="151"/>
      <c r="BK250" s="151"/>
      <c r="BL250" s="122"/>
      <c r="BM250" s="122"/>
      <c r="BN250" s="122"/>
      <c r="BO250" s="122"/>
      <c r="BP250" s="122"/>
      <c r="BQ250" s="122"/>
      <c r="BR250" s="122"/>
    </row>
    <row r="251" spans="1:70" ht="16.5" x14ac:dyDescent="0.3">
      <c r="A251" s="52"/>
      <c r="B251" s="192"/>
      <c r="C251" s="193"/>
      <c r="D251" s="194"/>
      <c r="E251" s="61"/>
      <c r="U251" s="151"/>
      <c r="V251" s="151"/>
      <c r="W251" s="151"/>
      <c r="X251" s="151"/>
      <c r="Y251" s="151"/>
      <c r="Z251" s="151"/>
      <c r="AA251" s="151"/>
      <c r="AB251" s="151"/>
      <c r="AC251" s="151"/>
      <c r="AD251" s="151"/>
      <c r="AE251" s="151"/>
      <c r="AF251" s="151"/>
      <c r="AG251" s="151"/>
      <c r="AH251" s="151"/>
      <c r="AI251" s="151"/>
      <c r="AJ251" s="151"/>
      <c r="AK251" s="151"/>
      <c r="AL251" s="151"/>
      <c r="AM251" s="151"/>
      <c r="AN251" s="151"/>
      <c r="AO251" s="151"/>
      <c r="AP251" s="151"/>
      <c r="AQ251" s="151"/>
      <c r="AR251" s="151"/>
      <c r="AS251" s="151"/>
      <c r="AT251" s="151"/>
      <c r="AU251" s="151"/>
      <c r="AV251" s="151"/>
      <c r="AW251" s="151"/>
      <c r="AX251" s="151"/>
      <c r="AY251" s="151"/>
      <c r="AZ251" s="151"/>
      <c r="BA251" s="151"/>
      <c r="BB251" s="151"/>
      <c r="BC251" s="151"/>
      <c r="BD251" s="151"/>
      <c r="BE251" s="151"/>
      <c r="BF251" s="151"/>
      <c r="BG251" s="151"/>
      <c r="BH251" s="151"/>
      <c r="BI251" s="151"/>
      <c r="BJ251" s="151"/>
      <c r="BK251" s="151"/>
      <c r="BL251" s="122"/>
      <c r="BM251" s="122"/>
      <c r="BN251" s="122"/>
      <c r="BO251" s="122"/>
      <c r="BP251" s="122"/>
      <c r="BQ251" s="122"/>
      <c r="BR251" s="122"/>
    </row>
    <row r="252" spans="1:70" ht="16.5" x14ac:dyDescent="0.3">
      <c r="A252" s="52"/>
      <c r="B252" s="192"/>
      <c r="C252" s="193"/>
      <c r="D252" s="194"/>
      <c r="E252" s="61"/>
      <c r="U252" s="151"/>
      <c r="V252" s="151"/>
      <c r="W252" s="151"/>
      <c r="X252" s="151"/>
      <c r="Y252" s="151"/>
      <c r="Z252" s="151"/>
      <c r="AA252" s="151"/>
      <c r="AB252" s="151"/>
      <c r="AC252" s="151"/>
      <c r="AD252" s="151"/>
      <c r="AE252" s="151"/>
      <c r="AF252" s="151"/>
      <c r="AG252" s="151"/>
      <c r="AH252" s="151"/>
      <c r="AI252" s="151"/>
      <c r="AJ252" s="151"/>
      <c r="AK252" s="151"/>
      <c r="AL252" s="151"/>
      <c r="AM252" s="151"/>
      <c r="AN252" s="151"/>
      <c r="AO252" s="151"/>
      <c r="AP252" s="151"/>
      <c r="AQ252" s="151"/>
      <c r="AR252" s="151"/>
      <c r="AS252" s="151"/>
      <c r="AT252" s="151"/>
      <c r="AU252" s="151"/>
      <c r="AV252" s="151"/>
      <c r="AW252" s="151"/>
      <c r="AX252" s="151"/>
      <c r="AY252" s="151"/>
      <c r="AZ252" s="151"/>
      <c r="BA252" s="151"/>
      <c r="BB252" s="151"/>
      <c r="BC252" s="151"/>
      <c r="BD252" s="151"/>
      <c r="BE252" s="151"/>
      <c r="BF252" s="151"/>
      <c r="BG252" s="151"/>
      <c r="BH252" s="151"/>
      <c r="BI252" s="151"/>
      <c r="BJ252" s="151"/>
      <c r="BK252" s="151"/>
      <c r="BL252" s="122"/>
      <c r="BM252" s="122"/>
      <c r="BN252" s="122"/>
      <c r="BO252" s="122"/>
      <c r="BP252" s="122"/>
      <c r="BQ252" s="122"/>
      <c r="BR252" s="122"/>
    </row>
    <row r="253" spans="1:70" ht="16.5" x14ac:dyDescent="0.3">
      <c r="A253" s="52"/>
      <c r="B253" s="192"/>
      <c r="C253" s="193"/>
      <c r="D253" s="194"/>
      <c r="E253" s="61"/>
      <c r="U253" s="151"/>
      <c r="V253" s="151"/>
      <c r="W253" s="151"/>
      <c r="X253" s="151"/>
      <c r="Y253" s="151"/>
      <c r="Z253" s="151"/>
      <c r="AA253" s="151"/>
      <c r="AB253" s="151"/>
      <c r="AC253" s="151"/>
      <c r="AD253" s="151"/>
      <c r="AE253" s="151"/>
      <c r="AF253" s="151"/>
      <c r="AG253" s="151"/>
      <c r="AH253" s="151"/>
      <c r="AI253" s="151"/>
      <c r="AJ253" s="151"/>
      <c r="AK253" s="151"/>
      <c r="AL253" s="151"/>
      <c r="AM253" s="151"/>
      <c r="AN253" s="151"/>
      <c r="AO253" s="151"/>
      <c r="AP253" s="151"/>
      <c r="AQ253" s="151"/>
      <c r="AR253" s="151"/>
      <c r="AS253" s="151"/>
      <c r="AT253" s="151"/>
      <c r="AU253" s="151"/>
      <c r="AV253" s="151"/>
      <c r="AW253" s="151"/>
      <c r="AX253" s="151"/>
      <c r="AY253" s="151"/>
      <c r="AZ253" s="151"/>
      <c r="BA253" s="151"/>
      <c r="BB253" s="151"/>
      <c r="BC253" s="151"/>
      <c r="BD253" s="151"/>
      <c r="BE253" s="151"/>
      <c r="BF253" s="151"/>
      <c r="BG253" s="151"/>
      <c r="BH253" s="151"/>
      <c r="BI253" s="151"/>
      <c r="BJ253" s="151"/>
      <c r="BK253" s="151"/>
      <c r="BL253" s="122"/>
      <c r="BM253" s="122"/>
      <c r="BN253" s="122"/>
      <c r="BO253" s="122"/>
      <c r="BP253" s="122"/>
      <c r="BQ253" s="122"/>
      <c r="BR253" s="122"/>
    </row>
    <row r="254" spans="1:70" ht="16.5" x14ac:dyDescent="0.3">
      <c r="A254" s="52"/>
      <c r="B254" s="192"/>
      <c r="C254" s="193"/>
      <c r="D254" s="194"/>
      <c r="E254" s="61"/>
      <c r="U254" s="151"/>
      <c r="V254" s="151"/>
      <c r="W254" s="151"/>
      <c r="X254" s="151"/>
      <c r="Y254" s="151"/>
      <c r="Z254" s="151"/>
      <c r="AA254" s="151"/>
      <c r="AB254" s="151"/>
      <c r="AC254" s="151"/>
      <c r="AD254" s="151"/>
      <c r="AE254" s="151"/>
      <c r="AF254" s="151"/>
      <c r="AG254" s="151"/>
      <c r="AH254" s="151"/>
      <c r="AI254" s="151"/>
      <c r="AJ254" s="151"/>
      <c r="AK254" s="151"/>
      <c r="AL254" s="151"/>
      <c r="AM254" s="151"/>
      <c r="AN254" s="151"/>
      <c r="AO254" s="151"/>
      <c r="AP254" s="151"/>
      <c r="AQ254" s="151"/>
      <c r="AR254" s="151"/>
      <c r="AS254" s="151"/>
      <c r="AT254" s="151"/>
      <c r="AU254" s="151"/>
      <c r="AV254" s="151"/>
      <c r="AW254" s="151"/>
      <c r="AX254" s="151"/>
      <c r="AY254" s="151"/>
      <c r="AZ254" s="151"/>
      <c r="BA254" s="151"/>
      <c r="BB254" s="151"/>
      <c r="BC254" s="151"/>
      <c r="BD254" s="151"/>
      <c r="BE254" s="151"/>
      <c r="BF254" s="151"/>
      <c r="BG254" s="151"/>
      <c r="BH254" s="151"/>
      <c r="BI254" s="151"/>
      <c r="BJ254" s="151"/>
      <c r="BK254" s="151"/>
      <c r="BL254" s="122"/>
      <c r="BM254" s="122"/>
      <c r="BN254" s="122"/>
      <c r="BO254" s="122"/>
      <c r="BP254" s="122"/>
      <c r="BQ254" s="122"/>
      <c r="BR254" s="122"/>
    </row>
    <row r="255" spans="1:70" ht="16.5" x14ac:dyDescent="0.3">
      <c r="A255" s="52"/>
      <c r="B255" s="192"/>
      <c r="C255" s="193"/>
      <c r="D255" s="194"/>
      <c r="E255" s="61"/>
      <c r="U255" s="151"/>
      <c r="V255" s="151"/>
      <c r="W255" s="151"/>
      <c r="X255" s="151"/>
      <c r="Y255" s="151"/>
      <c r="Z255" s="151"/>
      <c r="AA255" s="151"/>
      <c r="AB255" s="151"/>
      <c r="AC255" s="151"/>
      <c r="AD255" s="151"/>
      <c r="AE255" s="151"/>
      <c r="AF255" s="151"/>
      <c r="AG255" s="151"/>
      <c r="AH255" s="151"/>
      <c r="AI255" s="151"/>
      <c r="AJ255" s="151"/>
      <c r="AK255" s="151"/>
      <c r="AL255" s="151"/>
      <c r="AM255" s="151"/>
      <c r="AN255" s="151"/>
      <c r="AO255" s="151"/>
      <c r="AP255" s="151"/>
      <c r="AQ255" s="151"/>
      <c r="AR255" s="151"/>
      <c r="AS255" s="151"/>
      <c r="AT255" s="151"/>
      <c r="AU255" s="151"/>
      <c r="AV255" s="151"/>
      <c r="AW255" s="151"/>
      <c r="AX255" s="151"/>
      <c r="AY255" s="151"/>
      <c r="AZ255" s="151"/>
      <c r="BA255" s="151"/>
      <c r="BB255" s="151"/>
      <c r="BC255" s="151"/>
      <c r="BD255" s="151"/>
      <c r="BE255" s="151"/>
      <c r="BF255" s="151"/>
      <c r="BG255" s="151"/>
      <c r="BH255" s="151"/>
      <c r="BI255" s="151"/>
      <c r="BJ255" s="151"/>
      <c r="BK255" s="151"/>
      <c r="BL255" s="122"/>
      <c r="BM255" s="122"/>
      <c r="BN255" s="122"/>
      <c r="BO255" s="122"/>
      <c r="BP255" s="122"/>
      <c r="BQ255" s="122"/>
      <c r="BR255" s="122"/>
    </row>
    <row r="256" spans="1:70" ht="16.5" x14ac:dyDescent="0.3">
      <c r="A256" s="52"/>
      <c r="B256" s="192"/>
      <c r="C256" s="193"/>
      <c r="D256" s="194"/>
      <c r="E256" s="61"/>
      <c r="U256" s="151"/>
      <c r="V256" s="151"/>
      <c r="W256" s="151"/>
      <c r="X256" s="151"/>
      <c r="Y256" s="151"/>
      <c r="Z256" s="151"/>
      <c r="AA256" s="151"/>
      <c r="AB256" s="151"/>
      <c r="AC256" s="151"/>
      <c r="AD256" s="151"/>
      <c r="AE256" s="151"/>
      <c r="AF256" s="151"/>
      <c r="AG256" s="151"/>
      <c r="AH256" s="151"/>
      <c r="AI256" s="151"/>
      <c r="AJ256" s="151"/>
      <c r="AK256" s="151"/>
      <c r="AL256" s="151"/>
      <c r="AM256" s="151"/>
      <c r="AN256" s="151"/>
      <c r="AO256" s="151"/>
      <c r="AP256" s="151"/>
      <c r="AQ256" s="151"/>
      <c r="AR256" s="151"/>
      <c r="AS256" s="151"/>
      <c r="AT256" s="151"/>
      <c r="AU256" s="151"/>
      <c r="AV256" s="151"/>
      <c r="AW256" s="151"/>
      <c r="AX256" s="151"/>
      <c r="AY256" s="151"/>
      <c r="AZ256" s="151"/>
      <c r="BA256" s="151"/>
      <c r="BB256" s="151"/>
      <c r="BC256" s="151"/>
      <c r="BD256" s="151"/>
      <c r="BE256" s="151"/>
      <c r="BF256" s="151"/>
      <c r="BG256" s="151"/>
      <c r="BH256" s="151"/>
      <c r="BI256" s="151"/>
      <c r="BJ256" s="151"/>
      <c r="BK256" s="151"/>
      <c r="BL256" s="122"/>
      <c r="BM256" s="122"/>
      <c r="BN256" s="122"/>
      <c r="BO256" s="122"/>
      <c r="BP256" s="122"/>
      <c r="BQ256" s="122"/>
      <c r="BR256" s="122"/>
    </row>
    <row r="257" spans="1:70" ht="16.5" x14ac:dyDescent="0.3">
      <c r="A257" s="52"/>
      <c r="B257" s="192"/>
      <c r="C257" s="193"/>
      <c r="D257" s="194"/>
      <c r="E257" s="61"/>
      <c r="U257" s="151"/>
      <c r="V257" s="151"/>
      <c r="W257" s="151"/>
      <c r="X257" s="151"/>
      <c r="Y257" s="151"/>
      <c r="Z257" s="151"/>
      <c r="AA257" s="151"/>
      <c r="AB257" s="151"/>
      <c r="AC257" s="151"/>
      <c r="AD257" s="151"/>
      <c r="AE257" s="151"/>
      <c r="AF257" s="151"/>
      <c r="AG257" s="151"/>
      <c r="AH257" s="151"/>
      <c r="AI257" s="151"/>
      <c r="AJ257" s="151"/>
      <c r="AK257" s="151"/>
      <c r="AL257" s="151"/>
      <c r="AM257" s="151"/>
      <c r="AN257" s="151"/>
      <c r="AO257" s="151"/>
      <c r="AP257" s="151"/>
      <c r="AQ257" s="151"/>
      <c r="AR257" s="151"/>
      <c r="AS257" s="151"/>
      <c r="AT257" s="151"/>
      <c r="AU257" s="151"/>
      <c r="AV257" s="151"/>
      <c r="AW257" s="151"/>
      <c r="AX257" s="151"/>
      <c r="AY257" s="151"/>
      <c r="AZ257" s="151"/>
      <c r="BA257" s="151"/>
      <c r="BB257" s="151"/>
      <c r="BC257" s="151"/>
      <c r="BD257" s="151"/>
      <c r="BE257" s="151"/>
      <c r="BF257" s="151"/>
      <c r="BG257" s="151"/>
      <c r="BH257" s="151"/>
      <c r="BI257" s="151"/>
      <c r="BJ257" s="151"/>
      <c r="BK257" s="151"/>
      <c r="BL257" s="122"/>
      <c r="BM257" s="122"/>
      <c r="BN257" s="122"/>
      <c r="BO257" s="122"/>
      <c r="BP257" s="122"/>
      <c r="BQ257" s="122"/>
      <c r="BR257" s="122"/>
    </row>
    <row r="258" spans="1:70" ht="16.5" x14ac:dyDescent="0.3">
      <c r="A258" s="52"/>
      <c r="B258" s="192"/>
      <c r="C258" s="193"/>
      <c r="D258" s="194"/>
      <c r="E258" s="61"/>
      <c r="U258" s="151"/>
      <c r="V258" s="151"/>
      <c r="W258" s="151"/>
      <c r="X258" s="151"/>
      <c r="Y258" s="151"/>
      <c r="Z258" s="151"/>
      <c r="AA258" s="151"/>
      <c r="AB258" s="151"/>
      <c r="AC258" s="151"/>
      <c r="AD258" s="151"/>
      <c r="AE258" s="151"/>
      <c r="AF258" s="151"/>
      <c r="AG258" s="151"/>
      <c r="AH258" s="151"/>
      <c r="AI258" s="151"/>
      <c r="AJ258" s="151"/>
      <c r="AK258" s="151"/>
      <c r="AL258" s="151"/>
      <c r="AM258" s="151"/>
      <c r="AN258" s="151"/>
      <c r="AO258" s="151"/>
      <c r="AP258" s="151"/>
      <c r="AQ258" s="151"/>
      <c r="AR258" s="151"/>
      <c r="AS258" s="151"/>
      <c r="AT258" s="151"/>
      <c r="AU258" s="151"/>
      <c r="AV258" s="151"/>
      <c r="AW258" s="151"/>
      <c r="AX258" s="151"/>
      <c r="AY258" s="151"/>
      <c r="AZ258" s="151"/>
      <c r="BA258" s="151"/>
      <c r="BB258" s="151"/>
      <c r="BC258" s="151"/>
      <c r="BD258" s="151"/>
      <c r="BE258" s="151"/>
      <c r="BF258" s="151"/>
      <c r="BG258" s="151"/>
      <c r="BH258" s="151"/>
      <c r="BI258" s="151"/>
      <c r="BJ258" s="151"/>
      <c r="BK258" s="151"/>
      <c r="BL258" s="122"/>
      <c r="BM258" s="122"/>
      <c r="BN258" s="122"/>
      <c r="BO258" s="122"/>
      <c r="BP258" s="122"/>
      <c r="BQ258" s="122"/>
      <c r="BR258" s="122"/>
    </row>
    <row r="259" spans="1:70" ht="16.5" x14ac:dyDescent="0.3">
      <c r="A259" s="52"/>
      <c r="B259" s="192"/>
      <c r="C259" s="193"/>
      <c r="D259" s="194"/>
      <c r="E259" s="61"/>
      <c r="U259" s="151"/>
      <c r="V259" s="151"/>
      <c r="W259" s="151"/>
      <c r="X259" s="151"/>
      <c r="Y259" s="151"/>
      <c r="Z259" s="151"/>
      <c r="AA259" s="151"/>
      <c r="AB259" s="151"/>
      <c r="AC259" s="151"/>
      <c r="AD259" s="151"/>
      <c r="AE259" s="151"/>
      <c r="AF259" s="151"/>
      <c r="AG259" s="151"/>
      <c r="AH259" s="151"/>
      <c r="AI259" s="151"/>
      <c r="AJ259" s="151"/>
      <c r="AK259" s="151"/>
      <c r="AL259" s="151"/>
      <c r="AM259" s="151"/>
      <c r="AN259" s="151"/>
      <c r="AO259" s="151"/>
      <c r="AP259" s="151"/>
      <c r="AQ259" s="151"/>
      <c r="AR259" s="151"/>
      <c r="AS259" s="151"/>
      <c r="AT259" s="151"/>
      <c r="AU259" s="151"/>
      <c r="AV259" s="151"/>
      <c r="AW259" s="151"/>
      <c r="AX259" s="151"/>
      <c r="AY259" s="151"/>
      <c r="AZ259" s="151"/>
      <c r="BA259" s="151"/>
      <c r="BB259" s="151"/>
      <c r="BC259" s="151"/>
      <c r="BD259" s="151"/>
      <c r="BE259" s="151"/>
      <c r="BF259" s="151"/>
      <c r="BG259" s="151"/>
      <c r="BH259" s="151"/>
      <c r="BI259" s="151"/>
      <c r="BJ259" s="151"/>
      <c r="BK259" s="151"/>
      <c r="BL259" s="122"/>
      <c r="BM259" s="122"/>
      <c r="BN259" s="122"/>
      <c r="BO259" s="122"/>
      <c r="BP259" s="122"/>
      <c r="BQ259" s="122"/>
      <c r="BR259" s="122"/>
    </row>
    <row r="260" spans="1:70" ht="16.5" x14ac:dyDescent="0.3">
      <c r="A260" s="52"/>
      <c r="B260" s="192"/>
      <c r="C260" s="193"/>
      <c r="D260" s="194"/>
      <c r="E260" s="61"/>
      <c r="U260" s="151"/>
      <c r="V260" s="151"/>
      <c r="W260" s="151"/>
      <c r="X260" s="151"/>
      <c r="Y260" s="151"/>
      <c r="Z260" s="151"/>
      <c r="AA260" s="151"/>
      <c r="AB260" s="151"/>
      <c r="AC260" s="151"/>
      <c r="AD260" s="151"/>
      <c r="AE260" s="151"/>
      <c r="AF260" s="151"/>
      <c r="AG260" s="151"/>
      <c r="AH260" s="151"/>
      <c r="AI260" s="151"/>
      <c r="AJ260" s="151"/>
      <c r="AK260" s="151"/>
      <c r="AL260" s="151"/>
      <c r="AM260" s="151"/>
      <c r="AN260" s="151"/>
      <c r="AO260" s="151"/>
      <c r="AP260" s="151"/>
      <c r="AQ260" s="151"/>
      <c r="AR260" s="151"/>
      <c r="AS260" s="151"/>
      <c r="AT260" s="151"/>
      <c r="AU260" s="151"/>
      <c r="AV260" s="151"/>
      <c r="AW260" s="151"/>
      <c r="AX260" s="151"/>
      <c r="AY260" s="151"/>
      <c r="AZ260" s="151"/>
      <c r="BA260" s="151"/>
      <c r="BB260" s="151"/>
      <c r="BC260" s="151"/>
      <c r="BD260" s="151"/>
      <c r="BE260" s="151"/>
      <c r="BF260" s="151"/>
      <c r="BG260" s="151"/>
      <c r="BH260" s="151"/>
      <c r="BI260" s="151"/>
      <c r="BJ260" s="151"/>
      <c r="BK260" s="151"/>
      <c r="BL260" s="122"/>
      <c r="BM260" s="122"/>
      <c r="BN260" s="122"/>
      <c r="BO260" s="122"/>
      <c r="BP260" s="122"/>
      <c r="BQ260" s="122"/>
      <c r="BR260" s="122"/>
    </row>
    <row r="261" spans="1:70" ht="16.5" x14ac:dyDescent="0.3">
      <c r="A261" s="52"/>
      <c r="B261" s="192"/>
      <c r="C261" s="193"/>
      <c r="D261" s="194"/>
      <c r="E261" s="61"/>
      <c r="U261" s="151"/>
      <c r="V261" s="151"/>
      <c r="W261" s="151"/>
      <c r="X261" s="151"/>
      <c r="Y261" s="151"/>
      <c r="Z261" s="151"/>
      <c r="AA261" s="151"/>
      <c r="AB261" s="151"/>
      <c r="AC261" s="151"/>
      <c r="AD261" s="151"/>
      <c r="AE261" s="151"/>
      <c r="AF261" s="151"/>
      <c r="AG261" s="151"/>
      <c r="AH261" s="151"/>
      <c r="AI261" s="151"/>
      <c r="AJ261" s="151"/>
      <c r="AK261" s="151"/>
      <c r="AL261" s="151"/>
      <c r="AM261" s="151"/>
      <c r="AN261" s="151"/>
      <c r="AO261" s="151"/>
      <c r="AP261" s="151"/>
      <c r="AQ261" s="151"/>
      <c r="AR261" s="151"/>
      <c r="AS261" s="151"/>
      <c r="AT261" s="151"/>
      <c r="AU261" s="151"/>
      <c r="AV261" s="151"/>
      <c r="AW261" s="151"/>
      <c r="AX261" s="151"/>
      <c r="AY261" s="151"/>
      <c r="AZ261" s="151"/>
      <c r="BA261" s="151"/>
      <c r="BB261" s="151"/>
      <c r="BC261" s="151"/>
      <c r="BD261" s="151"/>
      <c r="BE261" s="151"/>
      <c r="BF261" s="151"/>
      <c r="BG261" s="151"/>
      <c r="BH261" s="151"/>
      <c r="BI261" s="151"/>
      <c r="BJ261" s="151"/>
      <c r="BK261" s="151"/>
      <c r="BL261" s="122"/>
      <c r="BM261" s="122"/>
      <c r="BN261" s="122"/>
      <c r="BO261" s="122"/>
      <c r="BP261" s="122"/>
      <c r="BQ261" s="122"/>
      <c r="BR261" s="122"/>
    </row>
    <row r="262" spans="1:70" ht="16.5" x14ac:dyDescent="0.3">
      <c r="A262" s="52"/>
      <c r="B262" s="192"/>
      <c r="C262" s="193"/>
      <c r="D262" s="194"/>
      <c r="E262" s="61"/>
      <c r="U262" s="151"/>
      <c r="V262" s="151"/>
      <c r="W262" s="151"/>
      <c r="X262" s="151"/>
      <c r="Y262" s="151"/>
      <c r="Z262" s="151"/>
      <c r="AA262" s="151"/>
      <c r="AB262" s="151"/>
      <c r="AC262" s="151"/>
      <c r="AD262" s="151"/>
      <c r="AE262" s="151"/>
      <c r="AF262" s="151"/>
      <c r="AG262" s="151"/>
      <c r="AH262" s="151"/>
      <c r="AI262" s="151"/>
      <c r="AJ262" s="151"/>
      <c r="AK262" s="151"/>
      <c r="AL262" s="151"/>
      <c r="AM262" s="151"/>
      <c r="AN262" s="151"/>
      <c r="AO262" s="151"/>
      <c r="AP262" s="151"/>
      <c r="AQ262" s="151"/>
      <c r="AR262" s="151"/>
      <c r="AS262" s="151"/>
      <c r="AT262" s="151"/>
      <c r="AU262" s="151"/>
      <c r="AV262" s="151"/>
      <c r="AW262" s="151"/>
      <c r="AX262" s="151"/>
      <c r="AY262" s="151"/>
      <c r="AZ262" s="151"/>
      <c r="BA262" s="151"/>
      <c r="BB262" s="151"/>
      <c r="BC262" s="151"/>
      <c r="BD262" s="151"/>
      <c r="BE262" s="151"/>
      <c r="BF262" s="151"/>
      <c r="BG262" s="151"/>
      <c r="BH262" s="151"/>
      <c r="BI262" s="151"/>
      <c r="BJ262" s="151"/>
      <c r="BK262" s="151"/>
      <c r="BL262" s="122"/>
      <c r="BM262" s="122"/>
      <c r="BN262" s="122"/>
      <c r="BO262" s="122"/>
      <c r="BP262" s="122"/>
      <c r="BQ262" s="122"/>
      <c r="BR262" s="122"/>
    </row>
    <row r="263" spans="1:70" ht="16.5" x14ac:dyDescent="0.3">
      <c r="A263" s="52"/>
      <c r="B263" s="192"/>
      <c r="C263" s="193"/>
      <c r="D263" s="194"/>
      <c r="E263" s="61"/>
      <c r="U263" s="151"/>
      <c r="V263" s="151"/>
      <c r="W263" s="151"/>
      <c r="X263" s="151"/>
      <c r="Y263" s="151"/>
      <c r="Z263" s="151"/>
      <c r="AA263" s="151"/>
      <c r="AB263" s="151"/>
      <c r="AC263" s="151"/>
      <c r="AD263" s="151"/>
      <c r="AE263" s="151"/>
      <c r="AF263" s="151"/>
      <c r="AG263" s="151"/>
      <c r="AH263" s="151"/>
      <c r="AI263" s="151"/>
      <c r="AJ263" s="151"/>
      <c r="AK263" s="151"/>
      <c r="AL263" s="151"/>
      <c r="AM263" s="151"/>
      <c r="AN263" s="151"/>
      <c r="AO263" s="151"/>
      <c r="AP263" s="151"/>
      <c r="AQ263" s="151"/>
      <c r="AR263" s="151"/>
      <c r="AS263" s="151"/>
      <c r="AT263" s="151"/>
      <c r="AU263" s="151"/>
      <c r="AV263" s="151"/>
      <c r="AW263" s="151"/>
      <c r="AX263" s="151"/>
      <c r="AY263" s="151"/>
      <c r="AZ263" s="151"/>
      <c r="BA263" s="151"/>
      <c r="BB263" s="151"/>
      <c r="BC263" s="151"/>
      <c r="BD263" s="151"/>
      <c r="BE263" s="151"/>
      <c r="BF263" s="151"/>
      <c r="BG263" s="151"/>
      <c r="BH263" s="151"/>
      <c r="BI263" s="151"/>
      <c r="BJ263" s="151"/>
      <c r="BK263" s="151"/>
      <c r="BL263" s="122"/>
      <c r="BM263" s="122"/>
      <c r="BN263" s="122"/>
      <c r="BO263" s="122"/>
      <c r="BP263" s="122"/>
      <c r="BQ263" s="122"/>
      <c r="BR263" s="122"/>
    </row>
    <row r="264" spans="1:70" ht="16.5" x14ac:dyDescent="0.3">
      <c r="A264" s="52"/>
      <c r="B264" s="192"/>
      <c r="C264" s="193"/>
      <c r="D264" s="194"/>
      <c r="E264" s="61"/>
      <c r="U264" s="151"/>
      <c r="V264" s="151"/>
      <c r="W264" s="151"/>
      <c r="X264" s="151"/>
      <c r="Y264" s="151"/>
      <c r="Z264" s="151"/>
      <c r="AA264" s="151"/>
      <c r="AB264" s="151"/>
      <c r="AC264" s="151"/>
      <c r="AD264" s="151"/>
      <c r="AE264" s="151"/>
      <c r="AF264" s="151"/>
      <c r="AG264" s="151"/>
      <c r="AH264" s="151"/>
      <c r="AI264" s="151"/>
      <c r="AJ264" s="151"/>
      <c r="AK264" s="151"/>
      <c r="AL264" s="151"/>
      <c r="AM264" s="151"/>
      <c r="AN264" s="151"/>
      <c r="AO264" s="151"/>
      <c r="AP264" s="151"/>
      <c r="AQ264" s="151"/>
      <c r="AR264" s="151"/>
      <c r="AS264" s="151"/>
      <c r="AT264" s="151"/>
      <c r="AU264" s="151"/>
      <c r="AV264" s="151"/>
      <c r="AW264" s="151"/>
      <c r="AX264" s="151"/>
      <c r="AY264" s="151"/>
      <c r="AZ264" s="151"/>
      <c r="BA264" s="151"/>
      <c r="BB264" s="151"/>
      <c r="BC264" s="151"/>
      <c r="BD264" s="151"/>
      <c r="BE264" s="151"/>
      <c r="BF264" s="151"/>
      <c r="BG264" s="151"/>
      <c r="BH264" s="151"/>
      <c r="BI264" s="151"/>
      <c r="BJ264" s="151"/>
      <c r="BK264" s="151"/>
      <c r="BL264" s="122"/>
      <c r="BM264" s="122"/>
      <c r="BN264" s="122"/>
      <c r="BO264" s="122"/>
      <c r="BP264" s="122"/>
      <c r="BQ264" s="122"/>
      <c r="BR264" s="122"/>
    </row>
    <row r="265" spans="1:70" ht="16.5" x14ac:dyDescent="0.3">
      <c r="A265" s="52"/>
      <c r="B265" s="192"/>
      <c r="C265" s="193"/>
      <c r="D265" s="194"/>
      <c r="E265" s="61"/>
      <c r="U265" s="151"/>
      <c r="V265" s="151"/>
      <c r="W265" s="151"/>
      <c r="X265" s="151"/>
      <c r="Y265" s="151"/>
      <c r="Z265" s="151"/>
      <c r="AA265" s="151"/>
      <c r="AB265" s="151"/>
      <c r="AC265" s="151"/>
      <c r="AD265" s="151"/>
      <c r="AE265" s="151"/>
      <c r="AF265" s="151"/>
      <c r="AG265" s="151"/>
      <c r="AH265" s="151"/>
      <c r="AI265" s="151"/>
      <c r="AJ265" s="151"/>
      <c r="AK265" s="151"/>
      <c r="AL265" s="151"/>
      <c r="AM265" s="151"/>
      <c r="AN265" s="151"/>
      <c r="AO265" s="151"/>
      <c r="AP265" s="151"/>
      <c r="AQ265" s="151"/>
      <c r="AR265" s="151"/>
      <c r="AS265" s="151"/>
      <c r="AT265" s="151"/>
      <c r="AU265" s="151"/>
      <c r="AV265" s="151"/>
      <c r="AW265" s="151"/>
      <c r="AX265" s="151"/>
      <c r="AY265" s="151"/>
      <c r="AZ265" s="151"/>
      <c r="BA265" s="151"/>
      <c r="BB265" s="151"/>
      <c r="BC265" s="151"/>
      <c r="BD265" s="151"/>
      <c r="BE265" s="151"/>
      <c r="BF265" s="151"/>
      <c r="BG265" s="151"/>
      <c r="BH265" s="151"/>
      <c r="BI265" s="151"/>
      <c r="BJ265" s="151"/>
      <c r="BK265" s="151"/>
      <c r="BL265" s="122"/>
      <c r="BM265" s="122"/>
      <c r="BN265" s="122"/>
      <c r="BO265" s="122"/>
      <c r="BP265" s="122"/>
      <c r="BQ265" s="122"/>
      <c r="BR265" s="122"/>
    </row>
    <row r="266" spans="1:70" ht="16.5" x14ac:dyDescent="0.3">
      <c r="A266" s="52"/>
      <c r="B266" s="192"/>
      <c r="C266" s="193"/>
      <c r="D266" s="194"/>
      <c r="E266" s="61"/>
      <c r="U266" s="151"/>
      <c r="V266" s="151"/>
      <c r="W266" s="151"/>
      <c r="X266" s="151"/>
      <c r="Y266" s="151"/>
      <c r="Z266" s="151"/>
      <c r="AA266" s="151"/>
      <c r="AB266" s="151"/>
      <c r="AC266" s="151"/>
      <c r="AD266" s="151"/>
      <c r="AE266" s="151"/>
      <c r="AF266" s="151"/>
      <c r="AG266" s="151"/>
      <c r="AH266" s="151"/>
      <c r="AI266" s="151"/>
      <c r="AJ266" s="151"/>
      <c r="AK266" s="151"/>
      <c r="AL266" s="151"/>
      <c r="AM266" s="151"/>
      <c r="AN266" s="151"/>
      <c r="AO266" s="151"/>
      <c r="AP266" s="151"/>
      <c r="AQ266" s="151"/>
      <c r="AR266" s="151"/>
      <c r="AS266" s="151"/>
      <c r="AT266" s="151"/>
      <c r="AU266" s="151"/>
      <c r="AV266" s="151"/>
      <c r="AW266" s="151"/>
      <c r="AX266" s="151"/>
      <c r="AY266" s="151"/>
      <c r="AZ266" s="151"/>
      <c r="BA266" s="151"/>
      <c r="BB266" s="151"/>
      <c r="BC266" s="151"/>
      <c r="BD266" s="151"/>
      <c r="BE266" s="151"/>
      <c r="BF266" s="151"/>
      <c r="BG266" s="151"/>
      <c r="BH266" s="151"/>
      <c r="BI266" s="151"/>
      <c r="BJ266" s="151"/>
      <c r="BK266" s="151"/>
      <c r="BL266" s="122"/>
      <c r="BM266" s="122"/>
      <c r="BN266" s="122"/>
      <c r="BO266" s="122"/>
      <c r="BP266" s="122"/>
      <c r="BQ266" s="122"/>
      <c r="BR266" s="122"/>
    </row>
    <row r="267" spans="1:70" ht="16.5" x14ac:dyDescent="0.3">
      <c r="A267" s="52"/>
      <c r="B267" s="192"/>
      <c r="C267" s="193"/>
      <c r="D267" s="194"/>
      <c r="E267" s="61"/>
      <c r="U267" s="151"/>
      <c r="V267" s="151"/>
      <c r="W267" s="151"/>
      <c r="X267" s="151"/>
      <c r="Y267" s="151"/>
      <c r="Z267" s="151"/>
      <c r="AA267" s="151"/>
      <c r="AB267" s="151"/>
      <c r="AC267" s="151"/>
      <c r="AD267" s="151"/>
      <c r="AE267" s="151"/>
      <c r="AF267" s="151"/>
      <c r="AG267" s="151"/>
      <c r="AH267" s="151"/>
      <c r="AI267" s="151"/>
      <c r="AJ267" s="151"/>
      <c r="AK267" s="151"/>
      <c r="AL267" s="151"/>
      <c r="AM267" s="151"/>
      <c r="AN267" s="151"/>
      <c r="AO267" s="151"/>
      <c r="AP267" s="151"/>
      <c r="AQ267" s="151"/>
      <c r="AR267" s="151"/>
      <c r="AS267" s="151"/>
      <c r="AT267" s="151"/>
      <c r="AU267" s="151"/>
      <c r="AV267" s="151"/>
      <c r="AW267" s="151"/>
      <c r="AX267" s="151"/>
      <c r="AY267" s="151"/>
      <c r="AZ267" s="151"/>
      <c r="BA267" s="151"/>
      <c r="BB267" s="151"/>
      <c r="BC267" s="151"/>
      <c r="BD267" s="151"/>
      <c r="BE267" s="151"/>
      <c r="BF267" s="151"/>
      <c r="BG267" s="151"/>
      <c r="BH267" s="151"/>
      <c r="BI267" s="151"/>
      <c r="BJ267" s="151"/>
      <c r="BK267" s="151"/>
      <c r="BL267" s="122"/>
      <c r="BM267" s="122"/>
      <c r="BN267" s="122"/>
      <c r="BO267" s="122"/>
      <c r="BP267" s="122"/>
      <c r="BQ267" s="122"/>
      <c r="BR267" s="122"/>
    </row>
    <row r="268" spans="1:70" ht="16.5" x14ac:dyDescent="0.3">
      <c r="A268" s="52"/>
      <c r="B268" s="192"/>
      <c r="C268" s="193"/>
      <c r="D268" s="194"/>
      <c r="E268" s="61"/>
      <c r="U268" s="151"/>
      <c r="V268" s="151"/>
      <c r="W268" s="151"/>
      <c r="X268" s="151"/>
      <c r="Y268" s="151"/>
      <c r="Z268" s="151"/>
      <c r="AA268" s="151"/>
      <c r="AB268" s="151"/>
      <c r="AC268" s="151"/>
      <c r="AD268" s="151"/>
      <c r="AE268" s="151"/>
      <c r="AF268" s="151"/>
      <c r="AG268" s="151"/>
      <c r="AH268" s="151"/>
      <c r="AI268" s="151"/>
      <c r="AJ268" s="151"/>
      <c r="AK268" s="151"/>
      <c r="AL268" s="151"/>
      <c r="AM268" s="151"/>
      <c r="AN268" s="151"/>
      <c r="AO268" s="151"/>
      <c r="AP268" s="151"/>
      <c r="AQ268" s="151"/>
      <c r="AR268" s="151"/>
      <c r="AS268" s="151"/>
      <c r="AT268" s="151"/>
      <c r="AU268" s="151"/>
      <c r="AV268" s="151"/>
      <c r="AW268" s="151"/>
      <c r="AX268" s="151"/>
      <c r="AY268" s="151"/>
      <c r="AZ268" s="151"/>
      <c r="BA268" s="151"/>
      <c r="BB268" s="151"/>
      <c r="BC268" s="151"/>
      <c r="BD268" s="151"/>
      <c r="BE268" s="151"/>
      <c r="BF268" s="151"/>
      <c r="BG268" s="151"/>
      <c r="BH268" s="151"/>
      <c r="BI268" s="151"/>
      <c r="BJ268" s="151"/>
      <c r="BK268" s="151"/>
      <c r="BL268" s="122"/>
      <c r="BM268" s="122"/>
      <c r="BN268" s="122"/>
      <c r="BO268" s="122"/>
      <c r="BP268" s="122"/>
      <c r="BQ268" s="122"/>
      <c r="BR268" s="122"/>
    </row>
    <row r="269" spans="1:70" ht="16.5" x14ac:dyDescent="0.3">
      <c r="A269" s="52"/>
      <c r="B269" s="192"/>
      <c r="C269" s="193"/>
      <c r="D269" s="194"/>
      <c r="E269" s="61"/>
      <c r="U269" s="151"/>
      <c r="V269" s="151"/>
      <c r="W269" s="151"/>
      <c r="X269" s="151"/>
      <c r="Y269" s="151"/>
      <c r="Z269" s="151"/>
      <c r="AA269" s="151"/>
      <c r="AB269" s="151"/>
      <c r="AC269" s="151"/>
      <c r="AD269" s="151"/>
      <c r="AE269" s="151"/>
      <c r="AF269" s="151"/>
      <c r="AG269" s="151"/>
      <c r="AH269" s="151"/>
      <c r="AI269" s="151"/>
      <c r="AJ269" s="151"/>
      <c r="AK269" s="151"/>
      <c r="AL269" s="151"/>
      <c r="AM269" s="151"/>
      <c r="AN269" s="151"/>
      <c r="AO269" s="151"/>
      <c r="AP269" s="151"/>
      <c r="AQ269" s="151"/>
      <c r="AR269" s="151"/>
      <c r="AS269" s="151"/>
      <c r="AT269" s="151"/>
      <c r="AU269" s="151"/>
      <c r="AV269" s="151"/>
      <c r="AW269" s="151"/>
      <c r="AX269" s="151"/>
      <c r="AY269" s="151"/>
      <c r="AZ269" s="151"/>
      <c r="BA269" s="151"/>
      <c r="BB269" s="151"/>
      <c r="BC269" s="151"/>
      <c r="BD269" s="151"/>
      <c r="BE269" s="151"/>
      <c r="BF269" s="151"/>
      <c r="BG269" s="151"/>
      <c r="BH269" s="151"/>
      <c r="BI269" s="151"/>
      <c r="BJ269" s="151"/>
      <c r="BK269" s="151"/>
      <c r="BL269" s="122"/>
      <c r="BM269" s="122"/>
      <c r="BN269" s="122"/>
      <c r="BO269" s="122"/>
      <c r="BP269" s="122"/>
      <c r="BQ269" s="122"/>
      <c r="BR269" s="122"/>
    </row>
    <row r="270" spans="1:70" ht="16.5" x14ac:dyDescent="0.3">
      <c r="A270" s="52"/>
      <c r="B270" s="192"/>
      <c r="C270" s="193"/>
      <c r="D270" s="194"/>
      <c r="E270" s="61"/>
      <c r="U270" s="151"/>
      <c r="V270" s="151"/>
      <c r="W270" s="151"/>
      <c r="X270" s="151"/>
      <c r="Y270" s="151"/>
      <c r="Z270" s="151"/>
      <c r="AA270" s="151"/>
      <c r="AB270" s="151"/>
      <c r="AC270" s="151"/>
      <c r="AD270" s="151"/>
      <c r="AE270" s="151"/>
      <c r="AF270" s="151"/>
      <c r="AG270" s="151"/>
      <c r="AH270" s="151"/>
      <c r="AI270" s="151"/>
      <c r="AJ270" s="151"/>
      <c r="AK270" s="151"/>
      <c r="AL270" s="151"/>
      <c r="AM270" s="151"/>
      <c r="AN270" s="151"/>
      <c r="AO270" s="151"/>
      <c r="AP270" s="151"/>
      <c r="AQ270" s="151"/>
      <c r="AR270" s="151"/>
      <c r="AS270" s="151"/>
      <c r="AT270" s="151"/>
      <c r="AU270" s="151"/>
      <c r="AV270" s="151"/>
      <c r="AW270" s="151"/>
      <c r="AX270" s="151"/>
      <c r="AY270" s="151"/>
      <c r="AZ270" s="151"/>
      <c r="BA270" s="151"/>
      <c r="BB270" s="151"/>
      <c r="BC270" s="151"/>
      <c r="BD270" s="151"/>
      <c r="BE270" s="151"/>
      <c r="BF270" s="151"/>
      <c r="BG270" s="151"/>
      <c r="BH270" s="151"/>
      <c r="BI270" s="151"/>
      <c r="BJ270" s="151"/>
      <c r="BK270" s="151"/>
      <c r="BL270" s="122"/>
      <c r="BM270" s="122"/>
      <c r="BN270" s="122"/>
      <c r="BO270" s="122"/>
      <c r="BP270" s="122"/>
      <c r="BQ270" s="122"/>
      <c r="BR270" s="122"/>
    </row>
    <row r="271" spans="1:70" ht="16.5" x14ac:dyDescent="0.3">
      <c r="A271" s="52"/>
      <c r="B271" s="192"/>
      <c r="C271" s="193"/>
      <c r="D271" s="194"/>
      <c r="E271" s="61"/>
      <c r="U271" s="151"/>
      <c r="V271" s="151"/>
      <c r="W271" s="151"/>
      <c r="X271" s="151"/>
      <c r="Y271" s="151"/>
      <c r="Z271" s="151"/>
      <c r="AA271" s="151"/>
      <c r="AB271" s="151"/>
      <c r="AC271" s="151"/>
      <c r="AD271" s="151"/>
      <c r="AE271" s="151"/>
      <c r="AF271" s="151"/>
      <c r="AG271" s="151"/>
      <c r="AH271" s="151"/>
      <c r="AI271" s="151"/>
      <c r="AJ271" s="151"/>
      <c r="AK271" s="151"/>
      <c r="AL271" s="151"/>
      <c r="AM271" s="151"/>
      <c r="AN271" s="151"/>
      <c r="AO271" s="151"/>
      <c r="AP271" s="151"/>
      <c r="AQ271" s="151"/>
      <c r="AR271" s="151"/>
      <c r="AS271" s="151"/>
      <c r="AT271" s="151"/>
      <c r="AU271" s="151"/>
      <c r="AV271" s="151"/>
      <c r="AW271" s="151"/>
      <c r="AX271" s="151"/>
      <c r="AY271" s="151"/>
      <c r="AZ271" s="151"/>
      <c r="BA271" s="151"/>
      <c r="BB271" s="151"/>
      <c r="BC271" s="151"/>
      <c r="BD271" s="151"/>
      <c r="BE271" s="151"/>
      <c r="BF271" s="151"/>
      <c r="BG271" s="151"/>
      <c r="BH271" s="151"/>
      <c r="BI271" s="151"/>
      <c r="BJ271" s="151"/>
      <c r="BK271" s="151"/>
      <c r="BL271" s="122"/>
      <c r="BM271" s="122"/>
      <c r="BN271" s="122"/>
      <c r="BO271" s="122"/>
      <c r="BP271" s="122"/>
      <c r="BQ271" s="122"/>
      <c r="BR271" s="122"/>
    </row>
    <row r="272" spans="1:70" ht="16.5" x14ac:dyDescent="0.3">
      <c r="A272" s="52"/>
      <c r="B272" s="192"/>
      <c r="C272" s="193"/>
      <c r="D272" s="194"/>
      <c r="E272" s="61"/>
      <c r="U272" s="151"/>
      <c r="V272" s="151"/>
      <c r="W272" s="151"/>
      <c r="X272" s="151"/>
      <c r="Y272" s="151"/>
      <c r="Z272" s="151"/>
      <c r="AA272" s="151"/>
      <c r="AB272" s="151"/>
      <c r="AC272" s="151"/>
      <c r="AD272" s="151"/>
      <c r="AE272" s="151"/>
      <c r="AF272" s="151"/>
      <c r="AG272" s="151"/>
      <c r="AH272" s="151"/>
      <c r="AI272" s="151"/>
      <c r="AJ272" s="151"/>
      <c r="AK272" s="151"/>
      <c r="AL272" s="151"/>
      <c r="AM272" s="151"/>
      <c r="AN272" s="151"/>
      <c r="AO272" s="151"/>
      <c r="AP272" s="151"/>
      <c r="AQ272" s="151"/>
      <c r="AR272" s="151"/>
      <c r="AS272" s="151"/>
      <c r="AT272" s="151"/>
      <c r="AU272" s="151"/>
      <c r="AV272" s="151"/>
      <c r="AW272" s="151"/>
      <c r="AX272" s="151"/>
      <c r="AY272" s="151"/>
      <c r="AZ272" s="151"/>
      <c r="BA272" s="151"/>
      <c r="BB272" s="151"/>
      <c r="BC272" s="151"/>
      <c r="BD272" s="151"/>
      <c r="BE272" s="151"/>
      <c r="BF272" s="151"/>
      <c r="BG272" s="151"/>
      <c r="BH272" s="151"/>
      <c r="BI272" s="151"/>
      <c r="BJ272" s="151"/>
      <c r="BK272" s="151"/>
      <c r="BL272" s="122"/>
      <c r="BM272" s="122"/>
      <c r="BN272" s="122"/>
      <c r="BO272" s="122"/>
      <c r="BP272" s="122"/>
      <c r="BQ272" s="122"/>
      <c r="BR272" s="122"/>
    </row>
    <row r="273" spans="1:70" ht="16.5" x14ac:dyDescent="0.3">
      <c r="A273" s="52"/>
      <c r="B273" s="192"/>
      <c r="C273" s="193"/>
      <c r="D273" s="194"/>
      <c r="E273" s="61"/>
      <c r="U273" s="151"/>
      <c r="V273" s="151"/>
      <c r="W273" s="151"/>
      <c r="X273" s="151"/>
      <c r="Y273" s="151"/>
      <c r="Z273" s="151"/>
      <c r="AA273" s="151"/>
      <c r="AB273" s="151"/>
      <c r="AC273" s="151"/>
      <c r="AD273" s="151"/>
      <c r="AE273" s="151"/>
      <c r="AF273" s="151"/>
      <c r="AG273" s="151"/>
      <c r="AH273" s="151"/>
      <c r="AI273" s="151"/>
      <c r="AJ273" s="151"/>
      <c r="AK273" s="151"/>
      <c r="AL273" s="151"/>
      <c r="AM273" s="151"/>
      <c r="AN273" s="151"/>
      <c r="AO273" s="151"/>
      <c r="AP273" s="151"/>
      <c r="AQ273" s="151"/>
      <c r="AR273" s="151"/>
      <c r="AS273" s="151"/>
      <c r="AT273" s="151"/>
      <c r="AU273" s="151"/>
      <c r="AV273" s="151"/>
      <c r="AW273" s="151"/>
      <c r="AX273" s="151"/>
      <c r="AY273" s="151"/>
      <c r="AZ273" s="151"/>
      <c r="BA273" s="151"/>
      <c r="BB273" s="151"/>
      <c r="BC273" s="151"/>
      <c r="BD273" s="151"/>
      <c r="BE273" s="151"/>
      <c r="BF273" s="151"/>
      <c r="BG273" s="151"/>
      <c r="BH273" s="151"/>
      <c r="BI273" s="151"/>
      <c r="BJ273" s="151"/>
      <c r="BK273" s="151"/>
      <c r="BL273" s="122"/>
      <c r="BM273" s="122"/>
      <c r="BN273" s="122"/>
      <c r="BO273" s="122"/>
      <c r="BP273" s="122"/>
      <c r="BQ273" s="122"/>
      <c r="BR273" s="122"/>
    </row>
    <row r="274" spans="1:70" ht="16.5" x14ac:dyDescent="0.3">
      <c r="A274" s="52"/>
      <c r="B274" s="192"/>
      <c r="C274" s="193"/>
      <c r="D274" s="194"/>
      <c r="E274" s="61"/>
      <c r="U274" s="151"/>
      <c r="V274" s="151"/>
      <c r="W274" s="151"/>
      <c r="X274" s="151"/>
      <c r="Y274" s="151"/>
      <c r="Z274" s="151"/>
      <c r="AA274" s="151"/>
      <c r="AB274" s="151"/>
      <c r="AC274" s="151"/>
      <c r="AD274" s="151"/>
      <c r="AE274" s="151"/>
      <c r="AF274" s="151"/>
      <c r="AG274" s="151"/>
      <c r="AH274" s="151"/>
      <c r="AI274" s="151"/>
      <c r="AJ274" s="151"/>
      <c r="AK274" s="151"/>
      <c r="AL274" s="151"/>
      <c r="AM274" s="151"/>
      <c r="AN274" s="151"/>
      <c r="AO274" s="151"/>
      <c r="AP274" s="151"/>
      <c r="AQ274" s="151"/>
      <c r="AR274" s="151"/>
      <c r="AS274" s="151"/>
      <c r="AT274" s="151"/>
      <c r="AU274" s="151"/>
      <c r="AV274" s="151"/>
      <c r="AW274" s="151"/>
      <c r="AX274" s="151"/>
      <c r="AY274" s="151"/>
      <c r="AZ274" s="151"/>
      <c r="BA274" s="151"/>
      <c r="BB274" s="151"/>
      <c r="BC274" s="151"/>
      <c r="BD274" s="151"/>
      <c r="BE274" s="151"/>
      <c r="BF274" s="151"/>
      <c r="BG274" s="151"/>
      <c r="BH274" s="151"/>
      <c r="BI274" s="151"/>
      <c r="BJ274" s="151"/>
      <c r="BK274" s="151"/>
      <c r="BL274" s="122"/>
      <c r="BM274" s="122"/>
      <c r="BN274" s="122"/>
      <c r="BO274" s="122"/>
      <c r="BP274" s="122"/>
      <c r="BQ274" s="122"/>
      <c r="BR274" s="122"/>
    </row>
    <row r="275" spans="1:70" ht="16.5" x14ac:dyDescent="0.3">
      <c r="A275" s="52"/>
      <c r="B275" s="192"/>
      <c r="C275" s="193"/>
      <c r="D275" s="194"/>
      <c r="E275" s="61"/>
      <c r="U275" s="151"/>
      <c r="V275" s="151"/>
      <c r="W275" s="151"/>
      <c r="X275" s="151"/>
      <c r="Y275" s="151"/>
      <c r="Z275" s="151"/>
      <c r="AA275" s="151"/>
      <c r="AB275" s="151"/>
      <c r="AC275" s="151"/>
      <c r="AD275" s="151"/>
      <c r="AE275" s="151"/>
      <c r="AF275" s="151"/>
      <c r="AG275" s="151"/>
      <c r="AH275" s="151"/>
      <c r="AI275" s="151"/>
      <c r="AJ275" s="151"/>
      <c r="AK275" s="151"/>
      <c r="AL275" s="151"/>
      <c r="AM275" s="151"/>
      <c r="AN275" s="151"/>
      <c r="AO275" s="151"/>
      <c r="AP275" s="151"/>
      <c r="AQ275" s="151"/>
      <c r="AR275" s="151"/>
      <c r="AS275" s="151"/>
      <c r="AT275" s="151"/>
      <c r="AU275" s="151"/>
      <c r="AV275" s="151"/>
      <c r="AW275" s="151"/>
      <c r="AX275" s="151"/>
      <c r="AY275" s="151"/>
      <c r="AZ275" s="151"/>
      <c r="BA275" s="151"/>
      <c r="BB275" s="151"/>
      <c r="BC275" s="151"/>
      <c r="BD275" s="151"/>
      <c r="BE275" s="151"/>
      <c r="BF275" s="151"/>
      <c r="BG275" s="151"/>
      <c r="BH275" s="151"/>
      <c r="BI275" s="151"/>
      <c r="BJ275" s="151"/>
      <c r="BK275" s="151"/>
      <c r="BL275" s="122"/>
      <c r="BM275" s="122"/>
      <c r="BN275" s="122"/>
      <c r="BO275" s="122"/>
      <c r="BP275" s="122"/>
      <c r="BQ275" s="122"/>
      <c r="BR275" s="122"/>
    </row>
    <row r="276" spans="1:70" ht="16.5" x14ac:dyDescent="0.3">
      <c r="A276" s="52"/>
      <c r="B276" s="192"/>
      <c r="C276" s="193"/>
      <c r="D276" s="194"/>
      <c r="E276" s="61"/>
      <c r="U276" s="151"/>
      <c r="V276" s="151"/>
      <c r="W276" s="151"/>
      <c r="X276" s="151"/>
      <c r="Y276" s="151"/>
      <c r="Z276" s="151"/>
      <c r="AA276" s="151"/>
      <c r="AB276" s="151"/>
      <c r="AC276" s="151"/>
      <c r="AD276" s="151"/>
      <c r="AE276" s="151"/>
      <c r="AF276" s="151"/>
      <c r="AG276" s="151"/>
      <c r="AH276" s="151"/>
      <c r="AI276" s="151"/>
      <c r="AJ276" s="151"/>
      <c r="AK276" s="151"/>
      <c r="AL276" s="151"/>
      <c r="AM276" s="151"/>
      <c r="AN276" s="151"/>
      <c r="AO276" s="151"/>
      <c r="AP276" s="151"/>
      <c r="AQ276" s="151"/>
      <c r="AR276" s="151"/>
      <c r="AS276" s="151"/>
      <c r="AT276" s="151"/>
      <c r="AU276" s="151"/>
      <c r="AV276" s="151"/>
      <c r="AW276" s="151"/>
      <c r="AX276" s="151"/>
      <c r="AY276" s="151"/>
      <c r="AZ276" s="151"/>
      <c r="BA276" s="151"/>
      <c r="BB276" s="151"/>
      <c r="BC276" s="151"/>
      <c r="BD276" s="151"/>
      <c r="BE276" s="151"/>
      <c r="BF276" s="151"/>
      <c r="BG276" s="151"/>
      <c r="BH276" s="151"/>
      <c r="BI276" s="151"/>
      <c r="BJ276" s="151"/>
      <c r="BK276" s="151"/>
      <c r="BL276" s="122"/>
      <c r="BM276" s="122"/>
      <c r="BN276" s="122"/>
      <c r="BO276" s="122"/>
      <c r="BP276" s="122"/>
      <c r="BQ276" s="122"/>
      <c r="BR276" s="122"/>
    </row>
    <row r="277" spans="1:70" ht="16.5" x14ac:dyDescent="0.3">
      <c r="A277" s="52"/>
      <c r="B277" s="192"/>
      <c r="C277" s="193"/>
      <c r="D277" s="194"/>
      <c r="E277" s="61"/>
      <c r="U277" s="151"/>
      <c r="V277" s="151"/>
      <c r="W277" s="151"/>
      <c r="X277" s="151"/>
      <c r="Y277" s="151"/>
      <c r="Z277" s="151"/>
      <c r="AA277" s="151"/>
      <c r="AB277" s="151"/>
      <c r="AC277" s="151"/>
      <c r="AD277" s="151"/>
      <c r="AE277" s="151"/>
      <c r="AF277" s="151"/>
      <c r="AG277" s="151"/>
      <c r="AH277" s="151"/>
      <c r="AI277" s="151"/>
      <c r="AJ277" s="151"/>
      <c r="AK277" s="151"/>
      <c r="AL277" s="151"/>
      <c r="AM277" s="151"/>
      <c r="AN277" s="151"/>
      <c r="AO277" s="151"/>
      <c r="AP277" s="151"/>
      <c r="AQ277" s="151"/>
      <c r="AR277" s="151"/>
      <c r="AS277" s="151"/>
      <c r="AT277" s="151"/>
      <c r="AU277" s="151"/>
      <c r="AV277" s="151"/>
      <c r="AW277" s="151"/>
      <c r="AX277" s="151"/>
      <c r="AY277" s="151"/>
      <c r="AZ277" s="151"/>
      <c r="BA277" s="151"/>
      <c r="BB277" s="151"/>
      <c r="BC277" s="151"/>
      <c r="BD277" s="151"/>
      <c r="BE277" s="151"/>
      <c r="BF277" s="151"/>
      <c r="BG277" s="151"/>
      <c r="BH277" s="151"/>
      <c r="BI277" s="151"/>
      <c r="BJ277" s="151"/>
      <c r="BK277" s="151"/>
      <c r="BL277" s="122"/>
      <c r="BM277" s="122"/>
      <c r="BN277" s="122"/>
      <c r="BO277" s="122"/>
      <c r="BP277" s="122"/>
      <c r="BQ277" s="122"/>
      <c r="BR277" s="122"/>
    </row>
    <row r="278" spans="1:70" ht="16.5" x14ac:dyDescent="0.3">
      <c r="A278" s="52"/>
      <c r="B278" s="192"/>
      <c r="C278" s="193"/>
      <c r="D278" s="194"/>
      <c r="E278" s="61"/>
      <c r="U278" s="151"/>
      <c r="V278" s="151"/>
      <c r="W278" s="151"/>
      <c r="X278" s="151"/>
      <c r="Y278" s="151"/>
      <c r="Z278" s="151"/>
      <c r="AA278" s="151"/>
      <c r="AB278" s="151"/>
      <c r="AC278" s="151"/>
      <c r="AD278" s="151"/>
      <c r="AE278" s="151"/>
      <c r="AF278" s="151"/>
      <c r="AG278" s="151"/>
      <c r="AH278" s="151"/>
      <c r="AI278" s="151"/>
      <c r="AJ278" s="151"/>
      <c r="AK278" s="151"/>
      <c r="AL278" s="151"/>
      <c r="AM278" s="151"/>
      <c r="AN278" s="151"/>
      <c r="AO278" s="151"/>
      <c r="AP278" s="151"/>
      <c r="AQ278" s="151"/>
      <c r="AR278" s="151"/>
      <c r="AS278" s="151"/>
      <c r="AT278" s="151"/>
      <c r="AU278" s="151"/>
      <c r="AV278" s="151"/>
      <c r="AW278" s="151"/>
      <c r="AX278" s="151"/>
      <c r="AY278" s="151"/>
      <c r="AZ278" s="151"/>
      <c r="BA278" s="151"/>
      <c r="BB278" s="151"/>
      <c r="BC278" s="151"/>
      <c r="BD278" s="151"/>
      <c r="BE278" s="151"/>
      <c r="BF278" s="151"/>
      <c r="BG278" s="151"/>
      <c r="BH278" s="151"/>
      <c r="BI278" s="151"/>
      <c r="BJ278" s="151"/>
      <c r="BK278" s="151"/>
      <c r="BL278" s="122"/>
      <c r="BM278" s="122"/>
      <c r="BN278" s="122"/>
      <c r="BO278" s="122"/>
      <c r="BP278" s="122"/>
      <c r="BQ278" s="122"/>
      <c r="BR278" s="122"/>
    </row>
    <row r="279" spans="1:70" ht="16.5" x14ac:dyDescent="0.3">
      <c r="A279" s="52"/>
      <c r="B279" s="192"/>
      <c r="C279" s="193"/>
      <c r="D279" s="194"/>
      <c r="E279" s="61"/>
      <c r="U279" s="151"/>
      <c r="V279" s="151"/>
      <c r="W279" s="151"/>
      <c r="X279" s="151"/>
      <c r="Y279" s="151"/>
      <c r="Z279" s="151"/>
      <c r="AA279" s="151"/>
      <c r="AB279" s="151"/>
      <c r="AC279" s="151"/>
      <c r="AD279" s="151"/>
      <c r="AE279" s="151"/>
      <c r="AF279" s="151"/>
      <c r="AG279" s="151"/>
      <c r="AH279" s="151"/>
      <c r="AI279" s="151"/>
      <c r="AJ279" s="151"/>
      <c r="AK279" s="151"/>
      <c r="AL279" s="151"/>
      <c r="AM279" s="151"/>
      <c r="AN279" s="151"/>
      <c r="AO279" s="151"/>
      <c r="AP279" s="151"/>
      <c r="AQ279" s="151"/>
      <c r="AR279" s="151"/>
      <c r="AS279" s="151"/>
      <c r="AT279" s="151"/>
      <c r="AU279" s="151"/>
      <c r="AV279" s="151"/>
      <c r="AW279" s="151"/>
      <c r="AX279" s="151"/>
      <c r="AY279" s="151"/>
      <c r="AZ279" s="151"/>
      <c r="BA279" s="151"/>
      <c r="BB279" s="151"/>
      <c r="BC279" s="151"/>
      <c r="BD279" s="151"/>
      <c r="BE279" s="151"/>
      <c r="BF279" s="151"/>
      <c r="BG279" s="151"/>
      <c r="BH279" s="151"/>
      <c r="BI279" s="151"/>
      <c r="BJ279" s="151"/>
      <c r="BK279" s="151"/>
      <c r="BL279" s="122"/>
      <c r="BM279" s="122"/>
      <c r="BN279" s="122"/>
      <c r="BO279" s="122"/>
      <c r="BP279" s="122"/>
      <c r="BQ279" s="122"/>
      <c r="BR279" s="122"/>
    </row>
    <row r="280" spans="1:70" ht="16.5" x14ac:dyDescent="0.3">
      <c r="A280" s="52"/>
      <c r="B280" s="192"/>
      <c r="C280" s="193"/>
      <c r="D280" s="194"/>
      <c r="E280" s="61"/>
      <c r="U280" s="151"/>
      <c r="V280" s="151"/>
      <c r="W280" s="151"/>
      <c r="X280" s="151"/>
      <c r="Y280" s="151"/>
      <c r="Z280" s="151"/>
      <c r="AA280" s="151"/>
      <c r="AB280" s="151"/>
      <c r="AC280" s="151"/>
      <c r="AD280" s="151"/>
      <c r="AE280" s="151"/>
      <c r="AF280" s="151"/>
      <c r="AG280" s="151"/>
      <c r="AH280" s="151"/>
      <c r="AI280" s="151"/>
      <c r="AJ280" s="151"/>
      <c r="AK280" s="151"/>
      <c r="AL280" s="151"/>
      <c r="AM280" s="151"/>
      <c r="AN280" s="151"/>
      <c r="AO280" s="151"/>
      <c r="AP280" s="151"/>
      <c r="AQ280" s="151"/>
      <c r="AR280" s="151"/>
      <c r="AS280" s="151"/>
      <c r="AT280" s="151"/>
      <c r="AU280" s="151"/>
      <c r="AV280" s="151"/>
      <c r="AW280" s="151"/>
      <c r="AX280" s="151"/>
      <c r="AY280" s="151"/>
      <c r="AZ280" s="151"/>
      <c r="BA280" s="151"/>
      <c r="BB280" s="151"/>
      <c r="BC280" s="151"/>
      <c r="BD280" s="151"/>
      <c r="BE280" s="151"/>
      <c r="BF280" s="151"/>
      <c r="BG280" s="151"/>
      <c r="BH280" s="151"/>
      <c r="BI280" s="151"/>
      <c r="BJ280" s="151"/>
      <c r="BK280" s="151"/>
      <c r="BL280" s="122"/>
      <c r="BM280" s="122"/>
      <c r="BN280" s="122"/>
      <c r="BO280" s="122"/>
      <c r="BP280" s="122"/>
      <c r="BQ280" s="122"/>
      <c r="BR280" s="122"/>
    </row>
    <row r="281" spans="1:70" ht="16.5" x14ac:dyDescent="0.3">
      <c r="A281" s="52"/>
      <c r="B281" s="192"/>
      <c r="C281" s="193"/>
      <c r="D281" s="194"/>
      <c r="E281" s="61"/>
      <c r="U281" s="151"/>
      <c r="V281" s="151"/>
      <c r="W281" s="151"/>
      <c r="X281" s="151"/>
      <c r="Y281" s="151"/>
      <c r="Z281" s="151"/>
      <c r="AA281" s="151"/>
      <c r="AB281" s="151"/>
      <c r="AC281" s="151"/>
      <c r="AD281" s="151"/>
      <c r="AE281" s="151"/>
      <c r="AF281" s="151"/>
      <c r="AG281" s="151"/>
      <c r="AH281" s="151"/>
      <c r="AI281" s="151"/>
      <c r="AJ281" s="151"/>
      <c r="AK281" s="151"/>
      <c r="AL281" s="151"/>
      <c r="AM281" s="151"/>
      <c r="AN281" s="151"/>
      <c r="AO281" s="151"/>
      <c r="AP281" s="151"/>
      <c r="AQ281" s="151"/>
      <c r="AR281" s="151"/>
      <c r="AS281" s="151"/>
      <c r="AT281" s="151"/>
      <c r="AU281" s="151"/>
      <c r="AV281" s="151"/>
      <c r="AW281" s="151"/>
      <c r="AX281" s="151"/>
      <c r="AY281" s="151"/>
      <c r="AZ281" s="151"/>
      <c r="BA281" s="151"/>
      <c r="BB281" s="151"/>
      <c r="BC281" s="151"/>
      <c r="BD281" s="151"/>
      <c r="BE281" s="151"/>
      <c r="BF281" s="151"/>
      <c r="BG281" s="151"/>
      <c r="BH281" s="151"/>
      <c r="BI281" s="151"/>
      <c r="BJ281" s="151"/>
      <c r="BK281" s="151"/>
      <c r="BL281" s="122"/>
      <c r="BM281" s="122"/>
      <c r="BN281" s="122"/>
      <c r="BO281" s="122"/>
      <c r="BP281" s="122"/>
      <c r="BQ281" s="122"/>
      <c r="BR281" s="122"/>
    </row>
    <row r="282" spans="1:70" ht="16.5" x14ac:dyDescent="0.3">
      <c r="A282" s="63"/>
      <c r="B282" s="126"/>
      <c r="C282" s="127"/>
      <c r="D282" s="128"/>
      <c r="E282" s="66"/>
      <c r="U282" s="151"/>
      <c r="V282" s="151"/>
      <c r="W282" s="151"/>
      <c r="X282" s="151"/>
      <c r="Y282" s="151"/>
      <c r="Z282" s="151"/>
      <c r="AA282" s="151"/>
      <c r="AB282" s="151"/>
      <c r="AC282" s="151"/>
      <c r="AD282" s="151"/>
      <c r="AE282" s="151"/>
      <c r="AF282" s="151"/>
      <c r="AG282" s="151"/>
      <c r="AH282" s="151"/>
      <c r="AI282" s="151"/>
      <c r="AJ282" s="151"/>
      <c r="AK282" s="151"/>
      <c r="AL282" s="151"/>
      <c r="AM282" s="151"/>
      <c r="AN282" s="151"/>
      <c r="AO282" s="151"/>
      <c r="AP282" s="151"/>
      <c r="AQ282" s="151"/>
      <c r="AR282" s="151"/>
      <c r="AS282" s="151"/>
      <c r="AT282" s="151"/>
      <c r="AU282" s="151"/>
      <c r="AV282" s="151"/>
      <c r="AW282" s="151"/>
      <c r="AX282" s="151"/>
      <c r="AY282" s="151"/>
      <c r="AZ282" s="151"/>
      <c r="BA282" s="151"/>
      <c r="BB282" s="151"/>
      <c r="BC282" s="151"/>
      <c r="BD282" s="151"/>
      <c r="BE282" s="151"/>
      <c r="BF282" s="151"/>
      <c r="BG282" s="151"/>
      <c r="BH282" s="151"/>
      <c r="BI282" s="151"/>
      <c r="BJ282" s="151"/>
      <c r="BK282" s="151"/>
      <c r="BL282" s="122"/>
      <c r="BM282" s="122"/>
      <c r="BN282" s="122"/>
      <c r="BO282" s="122"/>
      <c r="BP282" s="122"/>
      <c r="BQ282" s="122"/>
      <c r="BR282" s="122"/>
    </row>
    <row r="283" spans="1:70" ht="16.5" x14ac:dyDescent="0.3">
      <c r="A283" s="52"/>
      <c r="B283" s="192"/>
      <c r="C283" s="193"/>
      <c r="D283" s="194"/>
      <c r="E283" s="61"/>
      <c r="U283" s="151"/>
      <c r="V283" s="151"/>
      <c r="W283" s="151"/>
      <c r="X283" s="151"/>
      <c r="Y283" s="151"/>
      <c r="Z283" s="151"/>
      <c r="AA283" s="151"/>
      <c r="AB283" s="151"/>
      <c r="AC283" s="151"/>
      <c r="AD283" s="151"/>
      <c r="AE283" s="151"/>
      <c r="AF283" s="151"/>
      <c r="AG283" s="151"/>
      <c r="AH283" s="151"/>
      <c r="AI283" s="151"/>
      <c r="AJ283" s="151"/>
      <c r="AK283" s="151"/>
      <c r="AL283" s="151"/>
      <c r="AM283" s="151"/>
      <c r="AN283" s="151"/>
      <c r="AO283" s="151"/>
      <c r="AP283" s="151"/>
      <c r="AQ283" s="151"/>
      <c r="AR283" s="151"/>
      <c r="AS283" s="151"/>
      <c r="AT283" s="151"/>
      <c r="AU283" s="151"/>
      <c r="AV283" s="151"/>
      <c r="AW283" s="151"/>
      <c r="AX283" s="151"/>
      <c r="AY283" s="151"/>
      <c r="AZ283" s="151"/>
      <c r="BA283" s="151"/>
      <c r="BB283" s="151"/>
      <c r="BC283" s="151"/>
      <c r="BD283" s="151"/>
      <c r="BE283" s="151"/>
      <c r="BF283" s="151"/>
      <c r="BG283" s="151"/>
      <c r="BH283" s="151"/>
      <c r="BI283" s="151"/>
      <c r="BJ283" s="151"/>
      <c r="BK283" s="151"/>
      <c r="BL283" s="122"/>
      <c r="BM283" s="122"/>
      <c r="BN283" s="122"/>
      <c r="BO283" s="122"/>
      <c r="BP283" s="122"/>
      <c r="BQ283" s="122"/>
      <c r="BR283" s="122"/>
    </row>
    <row r="284" spans="1:70" ht="16.5" x14ac:dyDescent="0.3">
      <c r="A284" s="52"/>
      <c r="B284" s="192"/>
      <c r="C284" s="193"/>
      <c r="D284" s="194"/>
      <c r="E284" s="61"/>
      <c r="U284" s="151"/>
      <c r="V284" s="151"/>
      <c r="W284" s="151"/>
      <c r="X284" s="151"/>
      <c r="Y284" s="151"/>
      <c r="Z284" s="151"/>
      <c r="AA284" s="151"/>
      <c r="AB284" s="151"/>
      <c r="AC284" s="151"/>
      <c r="AD284" s="151"/>
      <c r="AE284" s="151"/>
      <c r="AF284" s="151"/>
      <c r="AG284" s="151"/>
      <c r="AH284" s="151"/>
      <c r="AI284" s="151"/>
      <c r="AJ284" s="151"/>
      <c r="AK284" s="151"/>
      <c r="AL284" s="151"/>
      <c r="AM284" s="151"/>
      <c r="AN284" s="151"/>
      <c r="AO284" s="151"/>
      <c r="AP284" s="151"/>
      <c r="AQ284" s="151"/>
      <c r="AR284" s="151"/>
      <c r="AS284" s="151"/>
      <c r="AT284" s="151"/>
      <c r="AU284" s="151"/>
      <c r="AV284" s="151"/>
      <c r="AW284" s="151"/>
      <c r="AX284" s="151"/>
      <c r="AY284" s="151"/>
      <c r="AZ284" s="151"/>
      <c r="BA284" s="151"/>
      <c r="BB284" s="151"/>
      <c r="BC284" s="151"/>
      <c r="BD284" s="151"/>
      <c r="BE284" s="151"/>
      <c r="BF284" s="151"/>
      <c r="BG284" s="151"/>
      <c r="BH284" s="151"/>
      <c r="BI284" s="151"/>
      <c r="BJ284" s="151"/>
      <c r="BK284" s="151"/>
      <c r="BL284" s="122"/>
      <c r="BM284" s="122"/>
      <c r="BN284" s="122"/>
      <c r="BO284" s="122"/>
      <c r="BP284" s="122"/>
      <c r="BQ284" s="122"/>
      <c r="BR284" s="122"/>
    </row>
    <row r="285" spans="1:70" ht="16.5" x14ac:dyDescent="0.3">
      <c r="A285" s="52"/>
      <c r="B285" s="192"/>
      <c r="C285" s="193"/>
      <c r="D285" s="194"/>
      <c r="E285" s="61"/>
      <c r="U285" s="151"/>
      <c r="V285" s="151"/>
      <c r="W285" s="151"/>
      <c r="X285" s="151"/>
      <c r="Y285" s="151"/>
      <c r="Z285" s="151"/>
      <c r="AA285" s="151"/>
      <c r="AB285" s="151"/>
      <c r="AC285" s="151"/>
      <c r="AD285" s="151"/>
      <c r="AE285" s="151"/>
      <c r="AF285" s="151"/>
      <c r="AG285" s="151"/>
      <c r="AH285" s="151"/>
      <c r="AI285" s="151"/>
      <c r="AJ285" s="151"/>
      <c r="AK285" s="151"/>
      <c r="AL285" s="151"/>
      <c r="AM285" s="151"/>
      <c r="AN285" s="151"/>
      <c r="AO285" s="151"/>
      <c r="AP285" s="151"/>
      <c r="AQ285" s="151"/>
      <c r="AR285" s="151"/>
      <c r="AS285" s="151"/>
      <c r="AT285" s="151"/>
      <c r="AU285" s="151"/>
      <c r="AV285" s="151"/>
      <c r="AW285" s="151"/>
      <c r="AX285" s="151"/>
      <c r="AY285" s="151"/>
      <c r="AZ285" s="151"/>
      <c r="BA285" s="151"/>
      <c r="BB285" s="151"/>
      <c r="BC285" s="151"/>
      <c r="BD285" s="151"/>
      <c r="BE285" s="151"/>
      <c r="BF285" s="151"/>
      <c r="BG285" s="151"/>
      <c r="BH285" s="151"/>
      <c r="BI285" s="151"/>
      <c r="BJ285" s="151"/>
      <c r="BK285" s="151"/>
      <c r="BL285" s="122"/>
      <c r="BM285" s="122"/>
      <c r="BN285" s="122"/>
      <c r="BO285" s="122"/>
      <c r="BP285" s="122"/>
      <c r="BQ285" s="122"/>
      <c r="BR285" s="122"/>
    </row>
    <row r="286" spans="1:70" ht="16.5" x14ac:dyDescent="0.3">
      <c r="A286" s="52"/>
      <c r="B286" s="192"/>
      <c r="C286" s="193"/>
      <c r="D286" s="194"/>
      <c r="E286" s="61"/>
      <c r="U286" s="151"/>
      <c r="V286" s="151"/>
      <c r="W286" s="151"/>
      <c r="X286" s="151"/>
      <c r="Y286" s="151"/>
      <c r="Z286" s="151"/>
      <c r="AA286" s="151"/>
      <c r="AB286" s="151"/>
      <c r="AC286" s="151"/>
      <c r="AD286" s="151"/>
      <c r="AE286" s="151"/>
      <c r="AF286" s="151"/>
      <c r="AG286" s="151"/>
      <c r="AH286" s="151"/>
      <c r="AI286" s="151"/>
      <c r="AJ286" s="151"/>
      <c r="AK286" s="151"/>
      <c r="AL286" s="151"/>
      <c r="AM286" s="151"/>
      <c r="AN286" s="151"/>
      <c r="AO286" s="151"/>
      <c r="AP286" s="151"/>
      <c r="AQ286" s="151"/>
      <c r="AR286" s="151"/>
      <c r="AS286" s="151"/>
      <c r="AT286" s="151"/>
      <c r="AU286" s="151"/>
      <c r="AV286" s="151"/>
      <c r="AW286" s="151"/>
      <c r="AX286" s="151"/>
      <c r="AY286" s="151"/>
      <c r="AZ286" s="151"/>
      <c r="BA286" s="151"/>
      <c r="BB286" s="151"/>
      <c r="BC286" s="151"/>
      <c r="BD286" s="151"/>
      <c r="BE286" s="151"/>
      <c r="BF286" s="151"/>
      <c r="BG286" s="151"/>
      <c r="BH286" s="151"/>
      <c r="BI286" s="151"/>
      <c r="BJ286" s="151"/>
      <c r="BK286" s="151"/>
      <c r="BL286" s="122"/>
      <c r="BM286" s="122"/>
      <c r="BN286" s="122"/>
      <c r="BO286" s="122"/>
      <c r="BP286" s="122"/>
      <c r="BQ286" s="122"/>
      <c r="BR286" s="122"/>
    </row>
    <row r="287" spans="1:70" ht="16.5" x14ac:dyDescent="0.3">
      <c r="A287" s="52"/>
      <c r="B287" s="192"/>
      <c r="C287" s="193"/>
      <c r="D287" s="194"/>
      <c r="E287" s="61"/>
      <c r="U287" s="151"/>
      <c r="V287" s="151"/>
      <c r="W287" s="151"/>
      <c r="X287" s="151"/>
      <c r="Y287" s="151"/>
      <c r="Z287" s="151"/>
      <c r="AA287" s="151"/>
      <c r="AB287" s="151"/>
      <c r="AC287" s="151"/>
      <c r="AD287" s="151"/>
      <c r="AE287" s="151"/>
      <c r="AF287" s="151"/>
      <c r="AG287" s="151"/>
      <c r="AH287" s="151"/>
      <c r="AI287" s="151"/>
      <c r="AJ287" s="151"/>
      <c r="AK287" s="151"/>
      <c r="AL287" s="151"/>
      <c r="AM287" s="151"/>
      <c r="AN287" s="151"/>
      <c r="AO287" s="151"/>
      <c r="AP287" s="151"/>
      <c r="AQ287" s="151"/>
      <c r="AR287" s="151"/>
      <c r="AS287" s="151"/>
      <c r="AT287" s="151"/>
      <c r="AU287" s="151"/>
      <c r="AV287" s="151"/>
      <c r="AW287" s="151"/>
      <c r="AX287" s="151"/>
      <c r="AY287" s="151"/>
      <c r="AZ287" s="151"/>
      <c r="BA287" s="151"/>
      <c r="BB287" s="151"/>
      <c r="BC287" s="151"/>
      <c r="BD287" s="151"/>
      <c r="BE287" s="151"/>
      <c r="BF287" s="151"/>
      <c r="BG287" s="151"/>
      <c r="BH287" s="151"/>
      <c r="BI287" s="151"/>
      <c r="BJ287" s="151"/>
      <c r="BK287" s="151"/>
      <c r="BL287" s="122"/>
      <c r="BM287" s="122"/>
      <c r="BN287" s="122"/>
      <c r="BO287" s="122"/>
      <c r="BP287" s="122"/>
      <c r="BQ287" s="122"/>
      <c r="BR287" s="122"/>
    </row>
    <row r="288" spans="1:70" ht="16.5" x14ac:dyDescent="0.3">
      <c r="A288" s="52"/>
      <c r="B288" s="192"/>
      <c r="C288" s="193"/>
      <c r="D288" s="194"/>
      <c r="E288" s="61"/>
      <c r="U288" s="151"/>
      <c r="V288" s="151"/>
      <c r="W288" s="151"/>
      <c r="X288" s="151"/>
      <c r="Y288" s="151"/>
      <c r="Z288" s="151"/>
      <c r="AA288" s="151"/>
      <c r="AB288" s="151"/>
      <c r="AC288" s="151"/>
      <c r="AD288" s="151"/>
      <c r="AE288" s="151"/>
      <c r="AF288" s="151"/>
      <c r="AG288" s="151"/>
      <c r="AH288" s="151"/>
      <c r="AI288" s="151"/>
      <c r="AJ288" s="151"/>
      <c r="AK288" s="151"/>
      <c r="AL288" s="151"/>
      <c r="AM288" s="151"/>
      <c r="AN288" s="151"/>
      <c r="AO288" s="151"/>
      <c r="AP288" s="151"/>
      <c r="AQ288" s="151"/>
      <c r="AR288" s="151"/>
      <c r="AS288" s="151"/>
      <c r="AT288" s="151"/>
      <c r="AU288" s="151"/>
      <c r="AV288" s="151"/>
      <c r="AW288" s="151"/>
      <c r="AX288" s="151"/>
      <c r="AY288" s="151"/>
      <c r="AZ288" s="151"/>
      <c r="BA288" s="151"/>
      <c r="BB288" s="151"/>
      <c r="BC288" s="151"/>
      <c r="BD288" s="151"/>
      <c r="BE288" s="151"/>
      <c r="BF288" s="151"/>
      <c r="BG288" s="151"/>
      <c r="BH288" s="151"/>
      <c r="BI288" s="151"/>
      <c r="BJ288" s="151"/>
      <c r="BK288" s="151"/>
      <c r="BL288" s="122"/>
      <c r="BM288" s="122"/>
      <c r="BN288" s="122"/>
      <c r="BO288" s="122"/>
      <c r="BP288" s="122"/>
      <c r="BQ288" s="122"/>
      <c r="BR288" s="122"/>
    </row>
    <row r="289" spans="1:70" ht="16.5" x14ac:dyDescent="0.3">
      <c r="A289" s="52"/>
      <c r="B289" s="192"/>
      <c r="C289" s="193"/>
      <c r="D289" s="194"/>
      <c r="E289" s="61"/>
      <c r="U289" s="151"/>
      <c r="V289" s="151"/>
      <c r="W289" s="151"/>
      <c r="X289" s="151"/>
      <c r="Y289" s="151"/>
      <c r="Z289" s="151"/>
      <c r="AA289" s="151"/>
      <c r="AB289" s="151"/>
      <c r="AC289" s="151"/>
      <c r="AD289" s="151"/>
      <c r="AE289" s="151"/>
      <c r="AF289" s="151"/>
      <c r="AG289" s="151"/>
      <c r="AH289" s="151"/>
      <c r="AI289" s="151"/>
      <c r="AJ289" s="151"/>
      <c r="AK289" s="151"/>
      <c r="AL289" s="151"/>
      <c r="AM289" s="151"/>
      <c r="AN289" s="151"/>
      <c r="AO289" s="151"/>
      <c r="AP289" s="151"/>
      <c r="AQ289" s="151"/>
      <c r="AR289" s="151"/>
      <c r="AS289" s="151"/>
      <c r="AT289" s="151"/>
      <c r="AU289" s="151"/>
      <c r="AV289" s="151"/>
      <c r="AW289" s="151"/>
      <c r="AX289" s="151"/>
      <c r="AY289" s="151"/>
      <c r="AZ289" s="151"/>
      <c r="BA289" s="151"/>
      <c r="BB289" s="151"/>
      <c r="BC289" s="151"/>
      <c r="BD289" s="151"/>
      <c r="BE289" s="151"/>
      <c r="BF289" s="151"/>
      <c r="BG289" s="151"/>
      <c r="BH289" s="151"/>
      <c r="BI289" s="151"/>
      <c r="BJ289" s="151"/>
      <c r="BK289" s="151"/>
      <c r="BL289" s="122"/>
      <c r="BM289" s="122"/>
      <c r="BN289" s="122"/>
      <c r="BO289" s="122"/>
      <c r="BP289" s="122"/>
      <c r="BQ289" s="122"/>
      <c r="BR289" s="122"/>
    </row>
    <row r="290" spans="1:70" ht="16.5" x14ac:dyDescent="0.3">
      <c r="A290" s="52"/>
      <c r="B290" s="192"/>
      <c r="C290" s="193"/>
      <c r="D290" s="194"/>
      <c r="E290" s="61"/>
      <c r="U290" s="151"/>
      <c r="V290" s="151"/>
      <c r="W290" s="151"/>
      <c r="X290" s="151"/>
      <c r="Y290" s="151"/>
      <c r="Z290" s="151"/>
      <c r="AA290" s="151"/>
      <c r="AB290" s="151"/>
      <c r="AC290" s="151"/>
      <c r="AD290" s="151"/>
      <c r="AE290" s="151"/>
      <c r="AF290" s="151"/>
      <c r="AG290" s="151"/>
      <c r="AH290" s="151"/>
      <c r="AI290" s="151"/>
      <c r="AJ290" s="151"/>
      <c r="AK290" s="151"/>
      <c r="AL290" s="151"/>
      <c r="AM290" s="151"/>
      <c r="AN290" s="151"/>
      <c r="AO290" s="151"/>
      <c r="AP290" s="151"/>
      <c r="AQ290" s="151"/>
      <c r="AR290" s="151"/>
      <c r="AS290" s="151"/>
      <c r="AT290" s="151"/>
      <c r="AU290" s="151"/>
      <c r="AV290" s="151"/>
      <c r="AW290" s="151"/>
      <c r="AX290" s="151"/>
      <c r="AY290" s="151"/>
      <c r="AZ290" s="151"/>
      <c r="BA290" s="151"/>
      <c r="BB290" s="151"/>
      <c r="BC290" s="151"/>
      <c r="BD290" s="151"/>
      <c r="BE290" s="151"/>
      <c r="BF290" s="151"/>
      <c r="BG290" s="151"/>
      <c r="BH290" s="151"/>
      <c r="BI290" s="151"/>
      <c r="BJ290" s="151"/>
      <c r="BK290" s="151"/>
      <c r="BL290" s="122"/>
      <c r="BM290" s="122"/>
      <c r="BN290" s="122"/>
      <c r="BO290" s="122"/>
      <c r="BP290" s="122"/>
      <c r="BQ290" s="122"/>
      <c r="BR290" s="122"/>
    </row>
    <row r="291" spans="1:70" ht="16.5" x14ac:dyDescent="0.3">
      <c r="A291" s="52"/>
      <c r="B291" s="192"/>
      <c r="C291" s="193"/>
      <c r="D291" s="194"/>
      <c r="E291" s="61"/>
      <c r="U291" s="151"/>
      <c r="V291" s="151"/>
      <c r="W291" s="151"/>
      <c r="X291" s="151"/>
      <c r="Y291" s="151"/>
      <c r="Z291" s="151"/>
      <c r="AA291" s="151"/>
      <c r="AB291" s="151"/>
      <c r="AC291" s="151"/>
      <c r="AD291" s="151"/>
      <c r="AE291" s="151"/>
      <c r="AF291" s="151"/>
      <c r="AG291" s="151"/>
      <c r="AH291" s="151"/>
      <c r="AI291" s="151"/>
      <c r="AJ291" s="151"/>
      <c r="AK291" s="151"/>
      <c r="AL291" s="151"/>
      <c r="AM291" s="151"/>
      <c r="AN291" s="151"/>
      <c r="AO291" s="151"/>
      <c r="AP291" s="151"/>
      <c r="AQ291" s="151"/>
      <c r="AR291" s="151"/>
      <c r="AS291" s="151"/>
      <c r="AT291" s="151"/>
      <c r="AU291" s="151"/>
      <c r="AV291" s="151"/>
      <c r="AW291" s="151"/>
      <c r="AX291" s="151"/>
      <c r="AY291" s="151"/>
      <c r="AZ291" s="151"/>
      <c r="BA291" s="151"/>
      <c r="BB291" s="151"/>
      <c r="BC291" s="151"/>
      <c r="BD291" s="151"/>
      <c r="BE291" s="151"/>
      <c r="BF291" s="151"/>
      <c r="BG291" s="151"/>
      <c r="BH291" s="151"/>
      <c r="BI291" s="151"/>
      <c r="BJ291" s="151"/>
      <c r="BK291" s="151"/>
      <c r="BL291" s="122"/>
      <c r="BM291" s="122"/>
      <c r="BN291" s="122"/>
      <c r="BO291" s="122"/>
      <c r="BP291" s="122"/>
      <c r="BQ291" s="122"/>
      <c r="BR291" s="122"/>
    </row>
    <row r="292" spans="1:70" ht="16.5" x14ac:dyDescent="0.3">
      <c r="A292" s="52"/>
      <c r="B292" s="192"/>
      <c r="C292" s="193"/>
      <c r="D292" s="194"/>
      <c r="E292" s="61"/>
      <c r="U292" s="151"/>
      <c r="V292" s="151"/>
      <c r="W292" s="151"/>
      <c r="X292" s="151"/>
      <c r="Y292" s="151"/>
      <c r="Z292" s="151"/>
      <c r="AA292" s="151"/>
      <c r="AB292" s="151"/>
      <c r="AC292" s="151"/>
      <c r="AD292" s="151"/>
      <c r="AE292" s="151"/>
      <c r="AF292" s="151"/>
      <c r="AG292" s="151"/>
      <c r="AH292" s="151"/>
      <c r="AI292" s="151"/>
      <c r="AJ292" s="151"/>
      <c r="AK292" s="151"/>
      <c r="AL292" s="151"/>
      <c r="AM292" s="151"/>
      <c r="AN292" s="151"/>
      <c r="AO292" s="151"/>
      <c r="AP292" s="151"/>
      <c r="AQ292" s="151"/>
      <c r="AR292" s="151"/>
      <c r="AS292" s="151"/>
      <c r="AT292" s="151"/>
      <c r="AU292" s="151"/>
      <c r="AV292" s="151"/>
      <c r="AW292" s="151"/>
      <c r="AX292" s="151"/>
      <c r="AY292" s="151"/>
      <c r="AZ292" s="151"/>
      <c r="BA292" s="151"/>
      <c r="BB292" s="151"/>
      <c r="BC292" s="151"/>
      <c r="BD292" s="151"/>
      <c r="BE292" s="151"/>
      <c r="BF292" s="151"/>
      <c r="BG292" s="151"/>
      <c r="BH292" s="151"/>
      <c r="BI292" s="151"/>
      <c r="BJ292" s="151"/>
      <c r="BK292" s="151"/>
      <c r="BL292" s="122"/>
      <c r="BM292" s="122"/>
      <c r="BN292" s="122"/>
      <c r="BO292" s="122"/>
      <c r="BP292" s="122"/>
      <c r="BQ292" s="122"/>
      <c r="BR292" s="122"/>
    </row>
    <row r="293" spans="1:70" ht="16.5" x14ac:dyDescent="0.3">
      <c r="A293" s="52"/>
      <c r="B293" s="195"/>
      <c r="C293" s="193"/>
      <c r="D293" s="194"/>
      <c r="E293" s="61"/>
      <c r="U293" s="151"/>
      <c r="V293" s="151"/>
      <c r="W293" s="151"/>
      <c r="X293" s="151"/>
      <c r="Y293" s="151"/>
      <c r="Z293" s="151"/>
      <c r="AA293" s="151"/>
      <c r="AB293" s="151"/>
      <c r="AC293" s="151"/>
      <c r="AD293" s="151"/>
      <c r="AE293" s="151"/>
      <c r="AF293" s="151"/>
      <c r="AG293" s="151"/>
      <c r="AH293" s="151"/>
      <c r="AI293" s="151"/>
      <c r="AJ293" s="151"/>
      <c r="AK293" s="151"/>
      <c r="AL293" s="151"/>
      <c r="AM293" s="151"/>
      <c r="AN293" s="151"/>
      <c r="AO293" s="151"/>
      <c r="AP293" s="151"/>
      <c r="AQ293" s="151"/>
      <c r="AR293" s="151"/>
      <c r="AS293" s="151"/>
      <c r="AT293" s="151"/>
      <c r="AU293" s="151"/>
      <c r="AV293" s="151"/>
      <c r="AW293" s="151"/>
      <c r="AX293" s="151"/>
      <c r="AY293" s="151"/>
      <c r="AZ293" s="151"/>
      <c r="BA293" s="151"/>
      <c r="BB293" s="151"/>
      <c r="BC293" s="151"/>
      <c r="BD293" s="151"/>
      <c r="BE293" s="151"/>
      <c r="BF293" s="151"/>
      <c r="BG293" s="151"/>
      <c r="BH293" s="151"/>
      <c r="BI293" s="151"/>
      <c r="BJ293" s="151"/>
      <c r="BK293" s="151"/>
      <c r="BL293" s="122"/>
      <c r="BM293" s="122"/>
      <c r="BN293" s="122"/>
      <c r="BO293" s="122"/>
      <c r="BP293" s="122"/>
      <c r="BQ293" s="122"/>
      <c r="BR293" s="122"/>
    </row>
    <row r="294" spans="1:70" ht="16.5" x14ac:dyDescent="0.3">
      <c r="A294" s="52"/>
      <c r="B294" s="192"/>
      <c r="C294" s="193"/>
      <c r="D294" s="194"/>
      <c r="E294" s="61"/>
      <c r="U294" s="151"/>
      <c r="V294" s="151"/>
      <c r="W294" s="151"/>
      <c r="X294" s="151"/>
      <c r="Y294" s="151"/>
      <c r="Z294" s="151"/>
      <c r="AA294" s="151"/>
      <c r="AB294" s="151"/>
      <c r="AC294" s="151"/>
      <c r="AD294" s="151"/>
      <c r="AE294" s="151"/>
      <c r="AF294" s="151"/>
      <c r="AG294" s="151"/>
      <c r="AH294" s="151"/>
      <c r="AI294" s="151"/>
      <c r="AJ294" s="151"/>
      <c r="AK294" s="151"/>
      <c r="AL294" s="151"/>
      <c r="AM294" s="151"/>
      <c r="AN294" s="151"/>
      <c r="AO294" s="151"/>
      <c r="AP294" s="151"/>
      <c r="AQ294" s="151"/>
      <c r="AR294" s="151"/>
      <c r="AS294" s="151"/>
      <c r="AT294" s="151"/>
      <c r="AU294" s="151"/>
      <c r="AV294" s="151"/>
      <c r="AW294" s="151"/>
      <c r="AX294" s="151"/>
      <c r="AY294" s="151"/>
      <c r="AZ294" s="151"/>
      <c r="BA294" s="151"/>
      <c r="BB294" s="151"/>
      <c r="BC294" s="151"/>
      <c r="BD294" s="151"/>
      <c r="BE294" s="151"/>
      <c r="BF294" s="151"/>
      <c r="BG294" s="151"/>
      <c r="BH294" s="151"/>
      <c r="BI294" s="151"/>
      <c r="BJ294" s="151"/>
      <c r="BK294" s="151"/>
      <c r="BL294" s="122"/>
      <c r="BM294" s="122"/>
      <c r="BN294" s="122"/>
      <c r="BO294" s="122"/>
      <c r="BP294" s="122"/>
      <c r="BQ294" s="122"/>
      <c r="BR294" s="122"/>
    </row>
    <row r="295" spans="1:70" ht="16.5" x14ac:dyDescent="0.3">
      <c r="A295" s="52"/>
      <c r="B295" s="195"/>
      <c r="C295" s="193"/>
      <c r="D295" s="194"/>
      <c r="E295" s="61"/>
      <c r="U295" s="151"/>
      <c r="V295" s="151"/>
      <c r="W295" s="151"/>
      <c r="X295" s="151"/>
      <c r="Y295" s="151"/>
      <c r="Z295" s="151"/>
      <c r="AA295" s="151"/>
      <c r="AB295" s="151"/>
      <c r="AC295" s="151"/>
      <c r="AD295" s="151"/>
      <c r="AE295" s="151"/>
      <c r="AF295" s="151"/>
      <c r="AG295" s="151"/>
      <c r="AH295" s="151"/>
      <c r="AI295" s="151"/>
      <c r="AJ295" s="151"/>
      <c r="AK295" s="151"/>
      <c r="AL295" s="151"/>
      <c r="AM295" s="151"/>
      <c r="AN295" s="151"/>
      <c r="AO295" s="151"/>
      <c r="AP295" s="151"/>
      <c r="AQ295" s="151"/>
      <c r="AR295" s="151"/>
      <c r="AS295" s="151"/>
      <c r="AT295" s="151"/>
      <c r="AU295" s="151"/>
      <c r="AV295" s="151"/>
      <c r="AW295" s="151"/>
      <c r="AX295" s="151"/>
      <c r="AY295" s="151"/>
      <c r="AZ295" s="151"/>
      <c r="BA295" s="151"/>
      <c r="BB295" s="151"/>
      <c r="BC295" s="151"/>
      <c r="BD295" s="151"/>
      <c r="BE295" s="151"/>
      <c r="BF295" s="151"/>
      <c r="BG295" s="151"/>
      <c r="BH295" s="151"/>
      <c r="BI295" s="151"/>
      <c r="BJ295" s="151"/>
      <c r="BK295" s="151"/>
      <c r="BL295" s="122"/>
      <c r="BM295" s="122"/>
      <c r="BN295" s="122"/>
      <c r="BO295" s="122"/>
      <c r="BP295" s="122"/>
      <c r="BQ295" s="122"/>
      <c r="BR295" s="122"/>
    </row>
    <row r="296" spans="1:70" ht="16.5" x14ac:dyDescent="0.3">
      <c r="A296" s="63"/>
      <c r="B296" s="126"/>
      <c r="C296" s="127"/>
      <c r="D296" s="128"/>
      <c r="E296" s="66"/>
      <c r="U296" s="151"/>
      <c r="V296" s="151"/>
      <c r="W296" s="151"/>
      <c r="X296" s="151"/>
      <c r="Y296" s="151"/>
      <c r="Z296" s="151"/>
      <c r="AA296" s="151"/>
      <c r="AB296" s="151"/>
      <c r="AC296" s="151"/>
      <c r="AD296" s="151"/>
      <c r="AE296" s="151"/>
      <c r="AF296" s="151"/>
      <c r="AG296" s="151"/>
      <c r="AH296" s="151"/>
      <c r="AI296" s="151"/>
      <c r="AJ296" s="151"/>
      <c r="AK296" s="151"/>
      <c r="AL296" s="151"/>
      <c r="AM296" s="151"/>
      <c r="AN296" s="151"/>
      <c r="AO296" s="151"/>
      <c r="AP296" s="151"/>
      <c r="AQ296" s="151"/>
      <c r="AR296" s="151"/>
      <c r="AS296" s="151"/>
      <c r="AT296" s="151"/>
      <c r="AU296" s="151"/>
      <c r="AV296" s="151"/>
      <c r="AW296" s="151"/>
      <c r="AX296" s="151"/>
      <c r="AY296" s="151"/>
      <c r="AZ296" s="151"/>
      <c r="BA296" s="151"/>
      <c r="BB296" s="151"/>
      <c r="BC296" s="151"/>
      <c r="BD296" s="151"/>
      <c r="BE296" s="151"/>
      <c r="BF296" s="151"/>
      <c r="BG296" s="151"/>
      <c r="BH296" s="151"/>
      <c r="BI296" s="151"/>
      <c r="BJ296" s="151"/>
      <c r="BK296" s="151"/>
      <c r="BL296" s="122"/>
      <c r="BM296" s="122"/>
      <c r="BN296" s="122"/>
      <c r="BO296" s="122"/>
      <c r="BP296" s="122"/>
      <c r="BQ296" s="122"/>
      <c r="BR296" s="122"/>
    </row>
    <row r="297" spans="1:70" ht="16.5" x14ac:dyDescent="0.3">
      <c r="A297" s="52"/>
      <c r="B297" s="192"/>
      <c r="C297" s="193"/>
      <c r="D297" s="194"/>
      <c r="E297" s="61"/>
      <c r="U297" s="151"/>
      <c r="V297" s="151"/>
      <c r="W297" s="151"/>
      <c r="X297" s="151"/>
      <c r="Y297" s="151"/>
      <c r="Z297" s="151"/>
      <c r="AA297" s="151"/>
      <c r="AB297" s="151"/>
      <c r="AC297" s="151"/>
      <c r="AD297" s="151"/>
      <c r="AE297" s="151"/>
      <c r="AF297" s="151"/>
      <c r="AG297" s="151"/>
      <c r="AH297" s="151"/>
      <c r="AI297" s="151"/>
      <c r="AJ297" s="151"/>
      <c r="AK297" s="151"/>
      <c r="AL297" s="151"/>
      <c r="AM297" s="151"/>
      <c r="AN297" s="151"/>
      <c r="AO297" s="151"/>
      <c r="AP297" s="151"/>
      <c r="AQ297" s="151"/>
      <c r="AR297" s="151"/>
      <c r="AS297" s="151"/>
      <c r="AT297" s="151"/>
      <c r="AU297" s="151"/>
      <c r="AV297" s="151"/>
      <c r="AW297" s="151"/>
      <c r="AX297" s="151"/>
      <c r="AY297" s="151"/>
      <c r="AZ297" s="151"/>
      <c r="BA297" s="151"/>
      <c r="BB297" s="151"/>
      <c r="BC297" s="151"/>
      <c r="BD297" s="151"/>
      <c r="BE297" s="151"/>
      <c r="BF297" s="151"/>
      <c r="BG297" s="151"/>
      <c r="BH297" s="151"/>
      <c r="BI297" s="151"/>
      <c r="BJ297" s="151"/>
      <c r="BK297" s="151"/>
      <c r="BL297" s="122"/>
      <c r="BM297" s="122"/>
      <c r="BN297" s="122"/>
      <c r="BO297" s="122"/>
      <c r="BP297" s="122"/>
      <c r="BQ297" s="122"/>
      <c r="BR297" s="122"/>
    </row>
    <row r="298" spans="1:70" ht="16.5" x14ac:dyDescent="0.3">
      <c r="A298" s="52"/>
      <c r="B298" s="192"/>
      <c r="C298" s="193"/>
      <c r="D298" s="194"/>
      <c r="E298" s="61"/>
      <c r="U298" s="151"/>
      <c r="V298" s="151"/>
      <c r="W298" s="151"/>
      <c r="X298" s="151"/>
      <c r="Y298" s="151"/>
      <c r="Z298" s="151"/>
      <c r="AA298" s="151"/>
      <c r="AB298" s="151"/>
      <c r="AC298" s="151"/>
      <c r="AD298" s="151"/>
      <c r="AE298" s="151"/>
      <c r="AF298" s="151"/>
      <c r="AG298" s="151"/>
      <c r="AH298" s="151"/>
      <c r="AI298" s="151"/>
      <c r="AJ298" s="151"/>
      <c r="AK298" s="151"/>
      <c r="AL298" s="151"/>
      <c r="AM298" s="151"/>
      <c r="AN298" s="151"/>
      <c r="AO298" s="151"/>
      <c r="AP298" s="151"/>
      <c r="AQ298" s="151"/>
      <c r="AR298" s="151"/>
      <c r="AS298" s="151"/>
      <c r="AT298" s="151"/>
      <c r="AU298" s="151"/>
      <c r="AV298" s="151"/>
      <c r="AW298" s="151"/>
      <c r="AX298" s="151"/>
      <c r="AY298" s="151"/>
      <c r="AZ298" s="151"/>
      <c r="BA298" s="151"/>
      <c r="BB298" s="151"/>
      <c r="BC298" s="151"/>
      <c r="BD298" s="151"/>
      <c r="BE298" s="151"/>
      <c r="BF298" s="151"/>
      <c r="BG298" s="151"/>
      <c r="BH298" s="151"/>
      <c r="BI298" s="151"/>
      <c r="BJ298" s="151"/>
      <c r="BK298" s="151"/>
      <c r="BL298" s="122"/>
      <c r="BM298" s="122"/>
      <c r="BN298" s="122"/>
      <c r="BO298" s="122"/>
      <c r="BP298" s="122"/>
      <c r="BQ298" s="122"/>
      <c r="BR298" s="122"/>
    </row>
    <row r="299" spans="1:70" ht="16.5" x14ac:dyDescent="0.3">
      <c r="A299" s="52"/>
      <c r="B299" s="196"/>
      <c r="C299" s="193"/>
      <c r="D299" s="194"/>
      <c r="E299" s="61"/>
      <c r="U299" s="151"/>
      <c r="V299" s="151"/>
      <c r="W299" s="151"/>
      <c r="X299" s="151"/>
      <c r="Y299" s="151"/>
      <c r="Z299" s="151"/>
      <c r="AA299" s="151"/>
      <c r="AB299" s="151"/>
      <c r="AC299" s="151"/>
      <c r="AD299" s="151"/>
      <c r="AE299" s="151"/>
      <c r="AF299" s="151"/>
      <c r="AG299" s="151"/>
      <c r="AH299" s="151"/>
      <c r="AI299" s="151"/>
      <c r="AJ299" s="151"/>
      <c r="AK299" s="151"/>
      <c r="AL299" s="151"/>
      <c r="AM299" s="151"/>
      <c r="AN299" s="151"/>
      <c r="AO299" s="151"/>
      <c r="AP299" s="151"/>
      <c r="AQ299" s="151"/>
      <c r="AR299" s="151"/>
      <c r="AS299" s="151"/>
      <c r="AT299" s="151"/>
      <c r="AU299" s="151"/>
      <c r="AV299" s="151"/>
      <c r="AW299" s="151"/>
      <c r="AX299" s="151"/>
      <c r="AY299" s="151"/>
      <c r="AZ299" s="151"/>
      <c r="BA299" s="151"/>
      <c r="BB299" s="151"/>
      <c r="BC299" s="151"/>
      <c r="BD299" s="151"/>
      <c r="BE299" s="151"/>
      <c r="BF299" s="151"/>
      <c r="BG299" s="151"/>
      <c r="BH299" s="151"/>
      <c r="BI299" s="151"/>
      <c r="BJ299" s="151"/>
      <c r="BK299" s="151"/>
      <c r="BL299" s="122"/>
      <c r="BM299" s="122"/>
      <c r="BN299" s="122"/>
      <c r="BO299" s="122"/>
      <c r="BP299" s="122"/>
      <c r="BQ299" s="122"/>
      <c r="BR299" s="122"/>
    </row>
    <row r="300" spans="1:70" ht="16.5" x14ac:dyDescent="0.3">
      <c r="A300" s="52"/>
      <c r="B300" s="192"/>
      <c r="C300" s="193"/>
      <c r="D300" s="194"/>
      <c r="E300" s="61"/>
      <c r="U300" s="151"/>
      <c r="V300" s="151"/>
      <c r="W300" s="151"/>
      <c r="X300" s="151"/>
      <c r="Y300" s="151"/>
      <c r="Z300" s="151"/>
      <c r="AA300" s="151"/>
      <c r="AB300" s="151"/>
      <c r="AC300" s="151"/>
      <c r="AD300" s="151"/>
      <c r="AE300" s="151"/>
      <c r="AF300" s="151"/>
      <c r="AG300" s="151"/>
      <c r="AH300" s="151"/>
      <c r="AI300" s="151"/>
      <c r="AJ300" s="151"/>
      <c r="AK300" s="151"/>
      <c r="AL300" s="151"/>
      <c r="AM300" s="151"/>
      <c r="AN300" s="151"/>
      <c r="AO300" s="151"/>
      <c r="AP300" s="151"/>
      <c r="AQ300" s="151"/>
      <c r="AR300" s="151"/>
      <c r="AS300" s="151"/>
      <c r="AT300" s="151"/>
      <c r="AU300" s="151"/>
      <c r="AV300" s="151"/>
      <c r="AW300" s="151"/>
      <c r="AX300" s="151"/>
      <c r="AY300" s="151"/>
      <c r="AZ300" s="151"/>
      <c r="BA300" s="151"/>
      <c r="BB300" s="151"/>
      <c r="BC300" s="151"/>
      <c r="BD300" s="151"/>
      <c r="BE300" s="151"/>
      <c r="BF300" s="151"/>
      <c r="BG300" s="151"/>
      <c r="BH300" s="151"/>
      <c r="BI300" s="151"/>
      <c r="BJ300" s="151"/>
      <c r="BK300" s="151"/>
      <c r="BL300" s="122"/>
      <c r="BM300" s="122"/>
      <c r="BN300" s="122"/>
      <c r="BO300" s="122"/>
      <c r="BP300" s="122"/>
      <c r="BQ300" s="122"/>
      <c r="BR300" s="122"/>
    </row>
    <row r="301" spans="1:70" ht="16.5" x14ac:dyDescent="0.3">
      <c r="A301" s="52"/>
      <c r="B301" s="192"/>
      <c r="C301" s="193"/>
      <c r="D301" s="194"/>
      <c r="E301" s="61"/>
      <c r="U301" s="151"/>
      <c r="V301" s="151"/>
      <c r="W301" s="151"/>
      <c r="X301" s="151"/>
      <c r="Y301" s="151"/>
      <c r="Z301" s="151"/>
      <c r="AA301" s="151"/>
      <c r="AB301" s="151"/>
      <c r="AC301" s="151"/>
      <c r="AD301" s="151"/>
      <c r="AE301" s="151"/>
      <c r="AF301" s="151"/>
      <c r="AG301" s="151"/>
      <c r="AH301" s="151"/>
      <c r="AI301" s="151"/>
      <c r="AJ301" s="151"/>
      <c r="AK301" s="151"/>
      <c r="AL301" s="151"/>
      <c r="AM301" s="151"/>
      <c r="AN301" s="151"/>
      <c r="AO301" s="151"/>
      <c r="AP301" s="151"/>
      <c r="AQ301" s="151"/>
      <c r="AR301" s="151"/>
      <c r="AS301" s="151"/>
      <c r="AT301" s="151"/>
      <c r="AU301" s="151"/>
      <c r="AV301" s="151"/>
      <c r="AW301" s="151"/>
      <c r="AX301" s="151"/>
      <c r="AY301" s="151"/>
      <c r="AZ301" s="151"/>
      <c r="BA301" s="151"/>
      <c r="BB301" s="151"/>
      <c r="BC301" s="151"/>
      <c r="BD301" s="151"/>
      <c r="BE301" s="151"/>
      <c r="BF301" s="151"/>
      <c r="BG301" s="151"/>
      <c r="BH301" s="151"/>
      <c r="BI301" s="151"/>
      <c r="BJ301" s="151"/>
      <c r="BK301" s="151"/>
      <c r="BL301" s="122"/>
      <c r="BM301" s="122"/>
      <c r="BN301" s="122"/>
      <c r="BO301" s="122"/>
      <c r="BP301" s="122"/>
      <c r="BQ301" s="122"/>
      <c r="BR301" s="122"/>
    </row>
    <row r="302" spans="1:70" ht="16.5" x14ac:dyDescent="0.3">
      <c r="A302" s="52"/>
      <c r="B302" s="192"/>
      <c r="C302" s="193"/>
      <c r="D302" s="194"/>
      <c r="E302" s="61"/>
      <c r="U302" s="151"/>
      <c r="V302" s="151"/>
      <c r="W302" s="151"/>
      <c r="X302" s="151"/>
      <c r="Y302" s="151"/>
      <c r="Z302" s="151"/>
      <c r="AA302" s="151"/>
      <c r="AB302" s="151"/>
      <c r="AC302" s="151"/>
      <c r="AD302" s="151"/>
      <c r="AE302" s="151"/>
      <c r="AF302" s="151"/>
      <c r="AG302" s="151"/>
      <c r="AH302" s="151"/>
      <c r="AI302" s="151"/>
      <c r="AJ302" s="151"/>
      <c r="AK302" s="151"/>
      <c r="AL302" s="151"/>
      <c r="AM302" s="151"/>
      <c r="AN302" s="151"/>
      <c r="AO302" s="151"/>
      <c r="AP302" s="151"/>
      <c r="AQ302" s="151"/>
      <c r="AR302" s="151"/>
      <c r="AS302" s="151"/>
      <c r="AT302" s="151"/>
      <c r="AU302" s="151"/>
      <c r="AV302" s="151"/>
      <c r="AW302" s="151"/>
      <c r="AX302" s="151"/>
      <c r="AY302" s="151"/>
      <c r="AZ302" s="151"/>
      <c r="BA302" s="151"/>
      <c r="BB302" s="151"/>
      <c r="BC302" s="151"/>
      <c r="BD302" s="151"/>
      <c r="BE302" s="151"/>
      <c r="BF302" s="151"/>
      <c r="BG302" s="151"/>
      <c r="BH302" s="151"/>
      <c r="BI302" s="151"/>
      <c r="BJ302" s="151"/>
      <c r="BK302" s="151"/>
      <c r="BL302" s="122"/>
      <c r="BM302" s="122"/>
      <c r="BN302" s="122"/>
      <c r="BO302" s="122"/>
      <c r="BP302" s="122"/>
      <c r="BQ302" s="122"/>
      <c r="BR302" s="122"/>
    </row>
    <row r="303" spans="1:70" ht="16.5" x14ac:dyDescent="0.3">
      <c r="A303" s="52"/>
      <c r="B303" s="192"/>
      <c r="C303" s="193"/>
      <c r="D303" s="194"/>
      <c r="E303" s="61"/>
      <c r="U303" s="151"/>
      <c r="V303" s="151"/>
      <c r="W303" s="151"/>
      <c r="X303" s="151"/>
      <c r="Y303" s="151"/>
      <c r="Z303" s="151"/>
      <c r="AA303" s="151"/>
      <c r="AB303" s="151"/>
      <c r="AC303" s="151"/>
      <c r="AD303" s="151"/>
      <c r="AE303" s="151"/>
      <c r="AF303" s="151"/>
      <c r="AG303" s="151"/>
      <c r="AH303" s="151"/>
      <c r="AI303" s="151"/>
      <c r="AJ303" s="151"/>
      <c r="AK303" s="151"/>
      <c r="AL303" s="151"/>
      <c r="AM303" s="151"/>
      <c r="AN303" s="151"/>
      <c r="AO303" s="151"/>
      <c r="AP303" s="151"/>
      <c r="AQ303" s="151"/>
      <c r="AR303" s="151"/>
      <c r="AS303" s="151"/>
      <c r="AT303" s="151"/>
      <c r="AU303" s="151"/>
      <c r="AV303" s="151"/>
      <c r="AW303" s="151"/>
      <c r="AX303" s="151"/>
      <c r="AY303" s="151"/>
      <c r="AZ303" s="151"/>
      <c r="BA303" s="151"/>
      <c r="BB303" s="151"/>
      <c r="BC303" s="151"/>
      <c r="BD303" s="151"/>
      <c r="BE303" s="151"/>
      <c r="BF303" s="151"/>
      <c r="BG303" s="151"/>
      <c r="BH303" s="151"/>
      <c r="BI303" s="151"/>
      <c r="BJ303" s="151"/>
      <c r="BK303" s="151"/>
      <c r="BL303" s="122"/>
      <c r="BM303" s="122"/>
      <c r="BN303" s="122"/>
      <c r="BO303" s="122"/>
      <c r="BP303" s="122"/>
      <c r="BQ303" s="122"/>
      <c r="BR303" s="122"/>
    </row>
    <row r="304" spans="1:70" ht="16.5" x14ac:dyDescent="0.3">
      <c r="A304" s="52"/>
      <c r="B304" s="192"/>
      <c r="C304" s="193"/>
      <c r="D304" s="194"/>
      <c r="E304" s="61"/>
      <c r="U304" s="151"/>
      <c r="V304" s="151"/>
      <c r="W304" s="151"/>
      <c r="X304" s="151"/>
      <c r="Y304" s="151"/>
      <c r="Z304" s="151"/>
      <c r="AA304" s="151"/>
      <c r="AB304" s="151"/>
      <c r="AC304" s="151"/>
      <c r="AD304" s="151"/>
      <c r="AE304" s="151"/>
      <c r="AF304" s="151"/>
      <c r="AG304" s="151"/>
      <c r="AH304" s="151"/>
      <c r="AI304" s="151"/>
      <c r="AJ304" s="151"/>
      <c r="AK304" s="151"/>
      <c r="AL304" s="151"/>
      <c r="AM304" s="151"/>
      <c r="AN304" s="151"/>
      <c r="AO304" s="151"/>
      <c r="AP304" s="151"/>
      <c r="AQ304" s="151"/>
      <c r="AR304" s="151"/>
      <c r="AS304" s="151"/>
      <c r="AT304" s="151"/>
      <c r="AU304" s="151"/>
      <c r="AV304" s="151"/>
      <c r="AW304" s="151"/>
      <c r="AX304" s="151"/>
      <c r="AY304" s="151"/>
      <c r="AZ304" s="151"/>
      <c r="BA304" s="151"/>
      <c r="BB304" s="151"/>
      <c r="BC304" s="151"/>
      <c r="BD304" s="151"/>
      <c r="BE304" s="151"/>
      <c r="BF304" s="151"/>
      <c r="BG304" s="151"/>
      <c r="BH304" s="151"/>
      <c r="BI304" s="151"/>
      <c r="BJ304" s="151"/>
      <c r="BK304" s="151"/>
      <c r="BL304" s="122"/>
      <c r="BM304" s="122"/>
      <c r="BN304" s="122"/>
      <c r="BO304" s="122"/>
      <c r="BP304" s="122"/>
      <c r="BQ304" s="122"/>
      <c r="BR304" s="122"/>
    </row>
    <row r="305" spans="1:70" ht="16.5" x14ac:dyDescent="0.3">
      <c r="A305" s="52"/>
      <c r="B305" s="192"/>
      <c r="C305" s="193"/>
      <c r="D305" s="194"/>
      <c r="E305" s="61"/>
      <c r="U305" s="151"/>
      <c r="V305" s="151"/>
      <c r="W305" s="151"/>
      <c r="X305" s="151"/>
      <c r="Y305" s="151"/>
      <c r="Z305" s="151"/>
      <c r="AA305" s="151"/>
      <c r="AB305" s="151"/>
      <c r="AC305" s="151"/>
      <c r="AD305" s="151"/>
      <c r="AE305" s="151"/>
      <c r="AF305" s="151"/>
      <c r="AG305" s="151"/>
      <c r="AH305" s="151"/>
      <c r="AI305" s="151"/>
      <c r="AJ305" s="151"/>
      <c r="AK305" s="151"/>
      <c r="AL305" s="151"/>
      <c r="AM305" s="151"/>
      <c r="AN305" s="151"/>
      <c r="AO305" s="151"/>
      <c r="AP305" s="151"/>
      <c r="AQ305" s="151"/>
      <c r="AR305" s="151"/>
      <c r="AS305" s="151"/>
      <c r="AT305" s="151"/>
      <c r="AU305" s="151"/>
      <c r="AV305" s="151"/>
      <c r="AW305" s="151"/>
      <c r="AX305" s="151"/>
      <c r="AY305" s="151"/>
      <c r="AZ305" s="151"/>
      <c r="BA305" s="151"/>
      <c r="BB305" s="151"/>
      <c r="BC305" s="151"/>
      <c r="BD305" s="151"/>
      <c r="BE305" s="151"/>
      <c r="BF305" s="151"/>
      <c r="BG305" s="151"/>
      <c r="BH305" s="151"/>
      <c r="BI305" s="151"/>
      <c r="BJ305" s="151"/>
      <c r="BK305" s="151"/>
      <c r="BL305" s="122"/>
      <c r="BM305" s="122"/>
      <c r="BN305" s="122"/>
      <c r="BO305" s="122"/>
      <c r="BP305" s="122"/>
      <c r="BQ305" s="122"/>
      <c r="BR305" s="122"/>
    </row>
    <row r="306" spans="1:70" ht="16.5" x14ac:dyDescent="0.3">
      <c r="A306" s="52"/>
      <c r="B306" s="192"/>
      <c r="C306" s="193"/>
      <c r="D306" s="194"/>
      <c r="E306" s="61"/>
      <c r="U306" s="151"/>
      <c r="V306" s="151"/>
      <c r="W306" s="151"/>
      <c r="X306" s="151"/>
      <c r="Y306" s="151"/>
      <c r="Z306" s="151"/>
      <c r="AA306" s="151"/>
      <c r="AB306" s="151"/>
      <c r="AC306" s="151"/>
      <c r="AD306" s="151"/>
      <c r="AE306" s="151"/>
      <c r="AF306" s="151"/>
      <c r="AG306" s="151"/>
      <c r="AH306" s="151"/>
      <c r="AI306" s="151"/>
      <c r="AJ306" s="151"/>
      <c r="AK306" s="151"/>
      <c r="AL306" s="151"/>
      <c r="AM306" s="151"/>
      <c r="AN306" s="151"/>
      <c r="AO306" s="151"/>
      <c r="AP306" s="151"/>
      <c r="AQ306" s="151"/>
      <c r="AR306" s="151"/>
      <c r="AS306" s="151"/>
      <c r="AT306" s="151"/>
      <c r="AU306" s="151"/>
      <c r="AV306" s="151"/>
      <c r="AW306" s="151"/>
      <c r="AX306" s="151"/>
      <c r="AY306" s="151"/>
      <c r="AZ306" s="151"/>
      <c r="BA306" s="151"/>
      <c r="BB306" s="151"/>
      <c r="BC306" s="151"/>
      <c r="BD306" s="151"/>
      <c r="BE306" s="151"/>
      <c r="BF306" s="151"/>
      <c r="BG306" s="151"/>
      <c r="BH306" s="151"/>
      <c r="BI306" s="151"/>
      <c r="BJ306" s="151"/>
      <c r="BK306" s="151"/>
      <c r="BL306" s="122"/>
      <c r="BM306" s="122"/>
      <c r="BN306" s="122"/>
      <c r="BO306" s="122"/>
      <c r="BP306" s="122"/>
      <c r="BQ306" s="122"/>
      <c r="BR306" s="122"/>
    </row>
    <row r="307" spans="1:70" ht="16.5" x14ac:dyDescent="0.3">
      <c r="A307" s="52"/>
      <c r="B307" s="192"/>
      <c r="C307" s="193"/>
      <c r="D307" s="194"/>
      <c r="E307" s="61"/>
      <c r="U307" s="151"/>
      <c r="V307" s="151"/>
      <c r="W307" s="151"/>
      <c r="X307" s="151"/>
      <c r="Y307" s="151"/>
      <c r="Z307" s="151"/>
      <c r="AA307" s="151"/>
      <c r="AB307" s="151"/>
      <c r="AC307" s="151"/>
      <c r="AD307" s="151"/>
      <c r="AE307" s="151"/>
      <c r="AF307" s="151"/>
      <c r="AG307" s="151"/>
      <c r="AH307" s="151"/>
      <c r="AI307" s="151"/>
      <c r="AJ307" s="151"/>
      <c r="AK307" s="151"/>
      <c r="AL307" s="151"/>
      <c r="AM307" s="151"/>
      <c r="AN307" s="151"/>
      <c r="AO307" s="151"/>
      <c r="AP307" s="151"/>
      <c r="AQ307" s="151"/>
      <c r="AR307" s="151"/>
      <c r="AS307" s="151"/>
      <c r="AT307" s="151"/>
      <c r="AU307" s="151"/>
      <c r="AV307" s="151"/>
      <c r="AW307" s="151"/>
      <c r="AX307" s="151"/>
      <c r="AY307" s="151"/>
      <c r="AZ307" s="151"/>
      <c r="BA307" s="151"/>
      <c r="BB307" s="151"/>
      <c r="BC307" s="151"/>
      <c r="BD307" s="151"/>
      <c r="BE307" s="151"/>
      <c r="BF307" s="151"/>
      <c r="BG307" s="151"/>
      <c r="BH307" s="151"/>
      <c r="BI307" s="151"/>
      <c r="BJ307" s="151"/>
      <c r="BK307" s="151"/>
      <c r="BL307" s="122"/>
      <c r="BM307" s="122"/>
      <c r="BN307" s="122"/>
      <c r="BO307" s="122"/>
      <c r="BP307" s="122"/>
      <c r="BQ307" s="122"/>
      <c r="BR307" s="122"/>
    </row>
    <row r="308" spans="1:70" ht="16.5" x14ac:dyDescent="0.3">
      <c r="A308" s="52"/>
      <c r="B308" s="192"/>
      <c r="C308" s="193"/>
      <c r="D308" s="194"/>
      <c r="E308" s="61"/>
      <c r="U308" s="151"/>
      <c r="V308" s="151"/>
      <c r="W308" s="151"/>
      <c r="X308" s="151"/>
      <c r="Y308" s="151"/>
      <c r="Z308" s="151"/>
      <c r="AA308" s="151"/>
      <c r="AB308" s="151"/>
      <c r="AC308" s="151"/>
      <c r="AD308" s="151"/>
      <c r="AE308" s="151"/>
      <c r="AF308" s="151"/>
      <c r="AG308" s="151"/>
      <c r="AH308" s="151"/>
      <c r="AI308" s="151"/>
      <c r="AJ308" s="151"/>
      <c r="AK308" s="151"/>
      <c r="AL308" s="151"/>
      <c r="AM308" s="151"/>
      <c r="AN308" s="151"/>
      <c r="AO308" s="151"/>
      <c r="AP308" s="151"/>
      <c r="AQ308" s="151"/>
      <c r="AR308" s="151"/>
      <c r="AS308" s="151"/>
      <c r="AT308" s="151"/>
      <c r="AU308" s="151"/>
      <c r="AV308" s="151"/>
      <c r="AW308" s="151"/>
      <c r="AX308" s="151"/>
      <c r="AY308" s="151"/>
      <c r="AZ308" s="151"/>
      <c r="BA308" s="151"/>
      <c r="BB308" s="151"/>
      <c r="BC308" s="151"/>
      <c r="BD308" s="151"/>
      <c r="BE308" s="151"/>
      <c r="BF308" s="151"/>
      <c r="BG308" s="151"/>
      <c r="BH308" s="151"/>
      <c r="BI308" s="151"/>
      <c r="BJ308" s="151"/>
      <c r="BK308" s="151"/>
      <c r="BL308" s="122"/>
      <c r="BM308" s="122"/>
      <c r="BN308" s="122"/>
      <c r="BO308" s="122"/>
      <c r="BP308" s="122"/>
      <c r="BQ308" s="122"/>
      <c r="BR308" s="122"/>
    </row>
    <row r="309" spans="1:70" ht="16.5" x14ac:dyDescent="0.3">
      <c r="A309" s="52"/>
      <c r="B309" s="192"/>
      <c r="C309" s="193"/>
      <c r="D309" s="194"/>
      <c r="E309" s="61"/>
      <c r="U309" s="151"/>
      <c r="V309" s="151"/>
      <c r="W309" s="151"/>
      <c r="X309" s="151"/>
      <c r="Y309" s="151"/>
      <c r="Z309" s="151"/>
      <c r="AA309" s="151"/>
      <c r="AB309" s="151"/>
      <c r="AC309" s="151"/>
      <c r="AD309" s="151"/>
      <c r="AE309" s="151"/>
      <c r="AF309" s="151"/>
      <c r="AG309" s="151"/>
      <c r="AH309" s="151"/>
      <c r="AI309" s="151"/>
      <c r="AJ309" s="151"/>
      <c r="AK309" s="151"/>
      <c r="AL309" s="151"/>
      <c r="AM309" s="151"/>
      <c r="AN309" s="151"/>
      <c r="AO309" s="151"/>
      <c r="AP309" s="151"/>
      <c r="AQ309" s="151"/>
      <c r="AR309" s="151"/>
      <c r="AS309" s="151"/>
      <c r="AT309" s="151"/>
      <c r="AU309" s="151"/>
      <c r="AV309" s="151"/>
      <c r="AW309" s="151"/>
      <c r="AX309" s="151"/>
      <c r="AY309" s="151"/>
      <c r="AZ309" s="151"/>
      <c r="BA309" s="151"/>
      <c r="BB309" s="151"/>
      <c r="BC309" s="151"/>
      <c r="BD309" s="151"/>
      <c r="BE309" s="151"/>
      <c r="BF309" s="151"/>
      <c r="BG309" s="151"/>
      <c r="BH309" s="151"/>
      <c r="BI309" s="151"/>
      <c r="BJ309" s="151"/>
      <c r="BK309" s="151"/>
      <c r="BL309" s="122"/>
      <c r="BM309" s="122"/>
      <c r="BN309" s="122"/>
      <c r="BO309" s="122"/>
      <c r="BP309" s="122"/>
      <c r="BQ309" s="122"/>
      <c r="BR309" s="122"/>
    </row>
    <row r="310" spans="1:70" ht="16.5" x14ac:dyDescent="0.3">
      <c r="A310" s="52"/>
      <c r="B310" s="192"/>
      <c r="C310" s="193"/>
      <c r="D310" s="194"/>
      <c r="E310" s="61"/>
      <c r="U310" s="151"/>
      <c r="V310" s="151"/>
      <c r="W310" s="151"/>
      <c r="X310" s="151"/>
      <c r="Y310" s="151"/>
      <c r="Z310" s="151"/>
      <c r="AA310" s="151"/>
      <c r="AB310" s="151"/>
      <c r="AC310" s="151"/>
      <c r="AD310" s="151"/>
      <c r="AE310" s="151"/>
      <c r="AF310" s="151"/>
      <c r="AG310" s="151"/>
      <c r="AH310" s="151"/>
      <c r="AI310" s="151"/>
      <c r="AJ310" s="151"/>
      <c r="AK310" s="151"/>
      <c r="AL310" s="151"/>
      <c r="AM310" s="151"/>
      <c r="AN310" s="151"/>
      <c r="AO310" s="151"/>
      <c r="AP310" s="151"/>
      <c r="AQ310" s="151"/>
      <c r="AR310" s="151"/>
      <c r="AS310" s="151"/>
      <c r="AT310" s="151"/>
      <c r="AU310" s="151"/>
      <c r="AV310" s="151"/>
      <c r="AW310" s="151"/>
      <c r="AX310" s="151"/>
      <c r="AY310" s="151"/>
      <c r="AZ310" s="151"/>
      <c r="BA310" s="151"/>
      <c r="BB310" s="151"/>
      <c r="BC310" s="151"/>
      <c r="BD310" s="151"/>
      <c r="BE310" s="151"/>
      <c r="BF310" s="151"/>
      <c r="BG310" s="151"/>
      <c r="BH310" s="151"/>
      <c r="BI310" s="151"/>
      <c r="BJ310" s="151"/>
      <c r="BK310" s="151"/>
      <c r="BL310" s="122"/>
      <c r="BM310" s="122"/>
      <c r="BN310" s="122"/>
      <c r="BO310" s="122"/>
      <c r="BP310" s="122"/>
      <c r="BQ310" s="122"/>
      <c r="BR310" s="122"/>
    </row>
    <row r="311" spans="1:70" ht="16.5" x14ac:dyDescent="0.3">
      <c r="A311" s="52"/>
      <c r="B311" s="192"/>
      <c r="C311" s="193"/>
      <c r="D311" s="194"/>
      <c r="E311" s="61"/>
      <c r="U311" s="151"/>
      <c r="V311" s="151"/>
      <c r="W311" s="151"/>
      <c r="X311" s="151"/>
      <c r="Y311" s="151"/>
      <c r="Z311" s="151"/>
      <c r="AA311" s="151"/>
      <c r="AB311" s="151"/>
      <c r="AC311" s="151"/>
      <c r="AD311" s="151"/>
      <c r="AE311" s="151"/>
      <c r="AF311" s="151"/>
      <c r="AG311" s="151"/>
      <c r="AH311" s="151"/>
      <c r="AI311" s="151"/>
      <c r="AJ311" s="151"/>
      <c r="AK311" s="151"/>
      <c r="AL311" s="151"/>
      <c r="AM311" s="151"/>
      <c r="AN311" s="151"/>
      <c r="AO311" s="151"/>
      <c r="AP311" s="151"/>
      <c r="AQ311" s="151"/>
      <c r="AR311" s="151"/>
      <c r="AS311" s="151"/>
      <c r="AT311" s="151"/>
      <c r="AU311" s="151"/>
      <c r="AV311" s="151"/>
      <c r="AW311" s="151"/>
      <c r="AX311" s="151"/>
      <c r="AY311" s="151"/>
      <c r="AZ311" s="151"/>
      <c r="BA311" s="151"/>
      <c r="BB311" s="151"/>
      <c r="BC311" s="151"/>
      <c r="BD311" s="151"/>
      <c r="BE311" s="151"/>
      <c r="BF311" s="151"/>
      <c r="BG311" s="151"/>
      <c r="BH311" s="151"/>
      <c r="BI311" s="151"/>
      <c r="BJ311" s="151"/>
      <c r="BK311" s="151"/>
      <c r="BL311" s="122"/>
      <c r="BM311" s="122"/>
      <c r="BN311" s="122"/>
      <c r="BO311" s="122"/>
      <c r="BP311" s="122"/>
      <c r="BQ311" s="122"/>
      <c r="BR311" s="122"/>
    </row>
    <row r="312" spans="1:70" ht="16.5" x14ac:dyDescent="0.3">
      <c r="A312" s="52"/>
      <c r="B312" s="192"/>
      <c r="C312" s="193"/>
      <c r="D312" s="194"/>
      <c r="E312" s="61"/>
      <c r="U312" s="151"/>
      <c r="V312" s="151"/>
      <c r="W312" s="151"/>
      <c r="X312" s="151"/>
      <c r="Y312" s="151"/>
      <c r="Z312" s="151"/>
      <c r="AA312" s="151"/>
      <c r="AB312" s="151"/>
      <c r="AC312" s="151"/>
      <c r="AD312" s="151"/>
      <c r="AE312" s="151"/>
      <c r="AF312" s="151"/>
      <c r="AG312" s="151"/>
      <c r="AH312" s="151"/>
      <c r="AI312" s="151"/>
      <c r="AJ312" s="151"/>
      <c r="AK312" s="151"/>
      <c r="AL312" s="151"/>
      <c r="AM312" s="151"/>
      <c r="AN312" s="151"/>
      <c r="AO312" s="151"/>
      <c r="AP312" s="151"/>
      <c r="AQ312" s="151"/>
      <c r="AR312" s="151"/>
      <c r="AS312" s="151"/>
      <c r="AT312" s="151"/>
      <c r="AU312" s="151"/>
      <c r="AV312" s="151"/>
      <c r="AW312" s="151"/>
      <c r="AX312" s="151"/>
      <c r="AY312" s="151"/>
      <c r="AZ312" s="151"/>
      <c r="BA312" s="151"/>
      <c r="BB312" s="151"/>
      <c r="BC312" s="151"/>
      <c r="BD312" s="151"/>
      <c r="BE312" s="151"/>
      <c r="BF312" s="151"/>
      <c r="BG312" s="151"/>
      <c r="BH312" s="151"/>
      <c r="BI312" s="151"/>
      <c r="BJ312" s="151"/>
      <c r="BK312" s="151"/>
      <c r="BL312" s="122"/>
      <c r="BM312" s="122"/>
      <c r="BN312" s="122"/>
      <c r="BO312" s="122"/>
      <c r="BP312" s="122"/>
      <c r="BQ312" s="122"/>
      <c r="BR312" s="122"/>
    </row>
    <row r="313" spans="1:70" ht="16.5" x14ac:dyDescent="0.3">
      <c r="A313" s="52"/>
      <c r="B313" s="192"/>
      <c r="C313" s="193"/>
      <c r="D313" s="194"/>
      <c r="E313" s="61"/>
      <c r="U313" s="151"/>
      <c r="V313" s="151"/>
      <c r="W313" s="151"/>
      <c r="X313" s="151"/>
      <c r="Y313" s="151"/>
      <c r="Z313" s="151"/>
      <c r="AA313" s="151"/>
      <c r="AB313" s="151"/>
      <c r="AC313" s="151"/>
      <c r="AD313" s="151"/>
      <c r="AE313" s="151"/>
      <c r="AF313" s="151"/>
      <c r="AG313" s="151"/>
      <c r="AH313" s="151"/>
      <c r="AI313" s="151"/>
      <c r="AJ313" s="151"/>
      <c r="AK313" s="151"/>
      <c r="AL313" s="151"/>
      <c r="AM313" s="151"/>
      <c r="AN313" s="151"/>
      <c r="AO313" s="151"/>
      <c r="AP313" s="151"/>
      <c r="AQ313" s="151"/>
      <c r="AR313" s="151"/>
      <c r="AS313" s="151"/>
      <c r="AT313" s="151"/>
      <c r="AU313" s="151"/>
      <c r="AV313" s="151"/>
      <c r="AW313" s="151"/>
      <c r="AX313" s="151"/>
      <c r="AY313" s="151"/>
      <c r="AZ313" s="151"/>
      <c r="BA313" s="151"/>
      <c r="BB313" s="151"/>
      <c r="BC313" s="151"/>
      <c r="BD313" s="151"/>
      <c r="BE313" s="151"/>
      <c r="BF313" s="151"/>
      <c r="BG313" s="151"/>
      <c r="BH313" s="151"/>
      <c r="BI313" s="151"/>
      <c r="BJ313" s="151"/>
      <c r="BK313" s="151"/>
      <c r="BL313" s="122"/>
      <c r="BM313" s="122"/>
      <c r="BN313" s="122"/>
      <c r="BO313" s="122"/>
      <c r="BP313" s="122"/>
      <c r="BQ313" s="122"/>
      <c r="BR313" s="122"/>
    </row>
    <row r="314" spans="1:70" ht="16.5" x14ac:dyDescent="0.3">
      <c r="A314" s="52"/>
      <c r="B314" s="192"/>
      <c r="C314" s="193"/>
      <c r="D314" s="194"/>
      <c r="E314" s="61"/>
      <c r="U314" s="151"/>
      <c r="V314" s="151"/>
      <c r="W314" s="151"/>
      <c r="X314" s="151"/>
      <c r="Y314" s="151"/>
      <c r="Z314" s="151"/>
      <c r="AA314" s="151"/>
      <c r="AB314" s="151"/>
      <c r="AC314" s="151"/>
      <c r="AD314" s="151"/>
      <c r="AE314" s="151"/>
      <c r="AF314" s="151"/>
      <c r="AG314" s="151"/>
      <c r="AH314" s="151"/>
      <c r="AI314" s="151"/>
      <c r="AJ314" s="151"/>
      <c r="AK314" s="151"/>
      <c r="AL314" s="151"/>
      <c r="AM314" s="151"/>
      <c r="AN314" s="151"/>
      <c r="AO314" s="151"/>
      <c r="AP314" s="151"/>
      <c r="AQ314" s="151"/>
      <c r="AR314" s="151"/>
      <c r="AS314" s="151"/>
      <c r="AT314" s="151"/>
      <c r="AU314" s="151"/>
      <c r="AV314" s="151"/>
      <c r="AW314" s="151"/>
      <c r="AX314" s="151"/>
      <c r="AY314" s="151"/>
      <c r="AZ314" s="151"/>
      <c r="BA314" s="151"/>
      <c r="BB314" s="151"/>
      <c r="BC314" s="151"/>
      <c r="BD314" s="151"/>
      <c r="BE314" s="151"/>
      <c r="BF314" s="151"/>
      <c r="BG314" s="151"/>
      <c r="BH314" s="151"/>
      <c r="BI314" s="151"/>
      <c r="BJ314" s="151"/>
      <c r="BK314" s="151"/>
      <c r="BL314" s="122"/>
      <c r="BM314" s="122"/>
      <c r="BN314" s="122"/>
      <c r="BO314" s="122"/>
      <c r="BP314" s="122"/>
      <c r="BQ314" s="122"/>
      <c r="BR314" s="122"/>
    </row>
    <row r="315" spans="1:70" ht="16.5" x14ac:dyDescent="0.3">
      <c r="A315" s="63"/>
      <c r="B315" s="126"/>
      <c r="C315" s="127"/>
      <c r="D315" s="128"/>
      <c r="E315" s="66"/>
      <c r="U315" s="151"/>
      <c r="V315" s="151"/>
      <c r="W315" s="151"/>
      <c r="X315" s="151"/>
      <c r="Y315" s="151"/>
      <c r="Z315" s="151"/>
      <c r="AA315" s="151"/>
      <c r="AB315" s="151"/>
      <c r="AC315" s="151"/>
      <c r="AD315" s="151"/>
      <c r="AE315" s="151"/>
      <c r="AF315" s="151"/>
      <c r="AG315" s="151"/>
      <c r="AH315" s="151"/>
      <c r="AI315" s="151"/>
      <c r="AJ315" s="151"/>
      <c r="AK315" s="151"/>
      <c r="AL315" s="151"/>
      <c r="AM315" s="151"/>
      <c r="AN315" s="151"/>
      <c r="AO315" s="151"/>
      <c r="AP315" s="151"/>
      <c r="AQ315" s="151"/>
      <c r="AR315" s="151"/>
      <c r="AS315" s="151"/>
      <c r="AT315" s="151"/>
      <c r="AU315" s="151"/>
      <c r="AV315" s="151"/>
      <c r="AW315" s="151"/>
      <c r="AX315" s="151"/>
      <c r="AY315" s="151"/>
      <c r="AZ315" s="151"/>
      <c r="BA315" s="151"/>
      <c r="BB315" s="151"/>
      <c r="BC315" s="151"/>
      <c r="BD315" s="151"/>
      <c r="BE315" s="151"/>
      <c r="BF315" s="151"/>
      <c r="BG315" s="151"/>
      <c r="BH315" s="151"/>
      <c r="BI315" s="151"/>
      <c r="BJ315" s="151"/>
      <c r="BK315" s="151"/>
      <c r="BL315" s="122"/>
      <c r="BM315" s="122"/>
      <c r="BN315" s="122"/>
      <c r="BO315" s="122"/>
      <c r="BP315" s="122"/>
      <c r="BQ315" s="122"/>
      <c r="BR315" s="122"/>
    </row>
    <row r="316" spans="1:70" ht="16.5" x14ac:dyDescent="0.3">
      <c r="A316" s="63"/>
      <c r="B316" s="126"/>
      <c r="C316" s="127"/>
      <c r="D316" s="128"/>
      <c r="E316" s="66"/>
      <c r="U316" s="151"/>
      <c r="V316" s="151"/>
      <c r="W316" s="151"/>
      <c r="X316" s="151"/>
      <c r="Y316" s="151"/>
      <c r="Z316" s="151"/>
      <c r="AA316" s="151"/>
      <c r="AB316" s="151"/>
      <c r="AC316" s="151"/>
      <c r="AD316" s="151"/>
      <c r="AE316" s="151"/>
      <c r="AF316" s="151"/>
      <c r="AG316" s="151"/>
      <c r="AH316" s="151"/>
      <c r="AI316" s="151"/>
      <c r="AJ316" s="151"/>
      <c r="AK316" s="151"/>
      <c r="AL316" s="151"/>
      <c r="AM316" s="151"/>
      <c r="AN316" s="151"/>
      <c r="AO316" s="151"/>
      <c r="AP316" s="151"/>
      <c r="AQ316" s="151"/>
      <c r="AR316" s="151"/>
      <c r="AS316" s="151"/>
      <c r="AT316" s="151"/>
      <c r="AU316" s="151"/>
      <c r="AV316" s="151"/>
      <c r="AW316" s="151"/>
      <c r="AX316" s="151"/>
      <c r="AY316" s="151"/>
      <c r="AZ316" s="151"/>
      <c r="BA316" s="151"/>
      <c r="BB316" s="151"/>
      <c r="BC316" s="151"/>
      <c r="BD316" s="151"/>
      <c r="BE316" s="151"/>
      <c r="BF316" s="151"/>
      <c r="BG316" s="151"/>
      <c r="BH316" s="151"/>
      <c r="BI316" s="151"/>
      <c r="BJ316" s="151"/>
      <c r="BK316" s="151"/>
      <c r="BL316" s="122"/>
      <c r="BM316" s="122"/>
      <c r="BN316" s="122"/>
      <c r="BO316" s="122"/>
      <c r="BP316" s="122"/>
      <c r="BQ316" s="122"/>
      <c r="BR316" s="122"/>
    </row>
    <row r="317" spans="1:70" ht="16.5" x14ac:dyDescent="0.3">
      <c r="A317" s="63"/>
      <c r="B317" s="126"/>
      <c r="C317" s="127"/>
      <c r="D317" s="128"/>
      <c r="E317" s="66"/>
      <c r="U317" s="151"/>
      <c r="V317" s="151"/>
      <c r="W317" s="151"/>
      <c r="X317" s="151"/>
      <c r="Y317" s="151"/>
      <c r="Z317" s="151"/>
      <c r="AA317" s="151"/>
      <c r="AB317" s="151"/>
      <c r="AC317" s="151"/>
      <c r="AD317" s="151"/>
      <c r="AE317" s="151"/>
      <c r="AF317" s="151"/>
      <c r="AG317" s="151"/>
      <c r="AH317" s="151"/>
      <c r="AI317" s="151"/>
      <c r="AJ317" s="151"/>
      <c r="AK317" s="151"/>
      <c r="AL317" s="151"/>
      <c r="AM317" s="151"/>
      <c r="AN317" s="151"/>
      <c r="AO317" s="151"/>
      <c r="AP317" s="151"/>
      <c r="AQ317" s="151"/>
      <c r="AR317" s="151"/>
      <c r="AS317" s="151"/>
      <c r="AT317" s="151"/>
      <c r="AU317" s="151"/>
      <c r="AV317" s="151"/>
      <c r="AW317" s="151"/>
      <c r="AX317" s="151"/>
      <c r="AY317" s="151"/>
      <c r="AZ317" s="151"/>
      <c r="BA317" s="151"/>
      <c r="BB317" s="151"/>
      <c r="BC317" s="151"/>
      <c r="BD317" s="151"/>
      <c r="BE317" s="151"/>
      <c r="BF317" s="151"/>
      <c r="BG317" s="151"/>
      <c r="BH317" s="151"/>
      <c r="BI317" s="151"/>
      <c r="BJ317" s="151"/>
      <c r="BK317" s="151"/>
      <c r="BL317" s="122"/>
      <c r="BM317" s="122"/>
      <c r="BN317" s="122"/>
      <c r="BO317" s="122"/>
      <c r="BP317" s="122"/>
      <c r="BQ317" s="122"/>
      <c r="BR317" s="122"/>
    </row>
    <row r="318" spans="1:70" ht="16.5" x14ac:dyDescent="0.3">
      <c r="A318" s="63"/>
      <c r="B318" s="126"/>
      <c r="C318" s="127"/>
      <c r="D318" s="128"/>
      <c r="E318" s="66"/>
      <c r="U318" s="151"/>
      <c r="V318" s="151"/>
      <c r="W318" s="151"/>
      <c r="X318" s="151"/>
      <c r="Y318" s="151"/>
      <c r="Z318" s="151"/>
      <c r="AA318" s="151"/>
      <c r="AB318" s="151"/>
      <c r="AC318" s="151"/>
      <c r="AD318" s="151"/>
      <c r="AE318" s="151"/>
      <c r="AF318" s="151"/>
      <c r="AG318" s="151"/>
      <c r="AH318" s="151"/>
      <c r="AI318" s="151"/>
      <c r="AJ318" s="151"/>
      <c r="AK318" s="151"/>
      <c r="AL318" s="151"/>
      <c r="AM318" s="151"/>
      <c r="AN318" s="151"/>
      <c r="AO318" s="151"/>
      <c r="AP318" s="151"/>
      <c r="AQ318" s="151"/>
      <c r="AR318" s="151"/>
      <c r="AS318" s="151"/>
      <c r="AT318" s="151"/>
      <c r="AU318" s="151"/>
      <c r="AV318" s="151"/>
      <c r="AW318" s="151"/>
      <c r="AX318" s="151"/>
      <c r="AY318" s="151"/>
      <c r="AZ318" s="151"/>
      <c r="BA318" s="151"/>
      <c r="BB318" s="151"/>
      <c r="BC318" s="151"/>
      <c r="BD318" s="151"/>
      <c r="BE318" s="151"/>
      <c r="BF318" s="151"/>
      <c r="BG318" s="151"/>
      <c r="BH318" s="151"/>
      <c r="BI318" s="151"/>
      <c r="BJ318" s="151"/>
      <c r="BK318" s="151"/>
      <c r="BL318" s="122"/>
      <c r="BM318" s="122"/>
      <c r="BN318" s="122"/>
      <c r="BO318" s="122"/>
      <c r="BP318" s="122"/>
      <c r="BQ318" s="122"/>
      <c r="BR318" s="122"/>
    </row>
    <row r="319" spans="1:70" ht="16.5" x14ac:dyDescent="0.3">
      <c r="A319" s="63"/>
      <c r="B319" s="126"/>
      <c r="C319" s="127"/>
      <c r="D319" s="128"/>
      <c r="E319" s="66"/>
      <c r="U319" s="151"/>
      <c r="V319" s="151"/>
      <c r="W319" s="151"/>
      <c r="X319" s="151"/>
      <c r="Y319" s="151"/>
      <c r="Z319" s="151"/>
      <c r="AA319" s="151"/>
      <c r="AB319" s="151"/>
      <c r="AC319" s="151"/>
      <c r="AD319" s="151"/>
      <c r="AE319" s="151"/>
      <c r="AF319" s="151"/>
      <c r="AG319" s="151"/>
      <c r="AH319" s="151"/>
      <c r="AI319" s="151"/>
      <c r="AJ319" s="151"/>
      <c r="AK319" s="151"/>
      <c r="AL319" s="151"/>
      <c r="AM319" s="151"/>
      <c r="AN319" s="151"/>
      <c r="AO319" s="151"/>
      <c r="AP319" s="151"/>
      <c r="AQ319" s="151"/>
      <c r="AR319" s="151"/>
      <c r="AS319" s="151"/>
      <c r="AT319" s="151"/>
      <c r="AU319" s="151"/>
      <c r="AV319" s="151"/>
      <c r="AW319" s="151"/>
      <c r="AX319" s="151"/>
      <c r="AY319" s="151"/>
      <c r="AZ319" s="151"/>
      <c r="BA319" s="151"/>
      <c r="BB319" s="151"/>
      <c r="BC319" s="151"/>
      <c r="BD319" s="151"/>
      <c r="BE319" s="151"/>
      <c r="BF319" s="151"/>
      <c r="BG319" s="151"/>
      <c r="BH319" s="151"/>
      <c r="BI319" s="151"/>
      <c r="BJ319" s="151"/>
      <c r="BK319" s="151"/>
      <c r="BL319" s="122"/>
      <c r="BM319" s="122"/>
      <c r="BN319" s="122"/>
      <c r="BO319" s="122"/>
      <c r="BP319" s="122"/>
      <c r="BQ319" s="122"/>
      <c r="BR319" s="122"/>
    </row>
    <row r="320" spans="1:70" ht="16.5" x14ac:dyDescent="0.3">
      <c r="A320" s="63"/>
      <c r="B320" s="126"/>
      <c r="C320" s="127"/>
      <c r="D320" s="128"/>
      <c r="E320" s="66"/>
      <c r="U320" s="151"/>
      <c r="V320" s="151"/>
      <c r="W320" s="151"/>
      <c r="X320" s="151"/>
      <c r="Y320" s="151"/>
      <c r="Z320" s="151"/>
      <c r="AA320" s="151"/>
      <c r="AB320" s="151"/>
      <c r="AC320" s="151"/>
      <c r="AD320" s="151"/>
      <c r="AE320" s="151"/>
      <c r="AF320" s="151"/>
      <c r="AG320" s="151"/>
      <c r="AH320" s="151"/>
      <c r="AI320" s="151"/>
      <c r="AJ320" s="151"/>
      <c r="AK320" s="151"/>
      <c r="AL320" s="151"/>
      <c r="AM320" s="151"/>
      <c r="AN320" s="151"/>
      <c r="AO320" s="151"/>
      <c r="AP320" s="151"/>
      <c r="AQ320" s="151"/>
      <c r="AR320" s="151"/>
      <c r="AS320" s="151"/>
      <c r="AT320" s="151"/>
      <c r="AU320" s="151"/>
      <c r="AV320" s="151"/>
      <c r="AW320" s="151"/>
      <c r="AX320" s="151"/>
      <c r="AY320" s="151"/>
      <c r="AZ320" s="151"/>
      <c r="BA320" s="151"/>
      <c r="BB320" s="151"/>
      <c r="BC320" s="151"/>
      <c r="BD320" s="151"/>
      <c r="BE320" s="151"/>
      <c r="BF320" s="151"/>
      <c r="BG320" s="151"/>
      <c r="BH320" s="151"/>
      <c r="BI320" s="151"/>
      <c r="BJ320" s="151"/>
      <c r="BK320" s="151"/>
      <c r="BL320" s="122"/>
      <c r="BM320" s="122"/>
      <c r="BN320" s="122"/>
      <c r="BO320" s="122"/>
      <c r="BP320" s="122"/>
      <c r="BQ320" s="122"/>
      <c r="BR320" s="122"/>
    </row>
    <row r="321" spans="1:70" ht="16.5" x14ac:dyDescent="0.3">
      <c r="A321" s="63"/>
      <c r="B321" s="126"/>
      <c r="C321" s="127"/>
      <c r="D321" s="128"/>
      <c r="E321" s="66"/>
      <c r="U321" s="151"/>
      <c r="V321" s="151"/>
      <c r="W321" s="151"/>
      <c r="X321" s="151"/>
      <c r="Y321" s="151"/>
      <c r="Z321" s="151"/>
      <c r="AA321" s="151"/>
      <c r="AB321" s="151"/>
      <c r="AC321" s="151"/>
      <c r="AD321" s="151"/>
      <c r="AE321" s="151"/>
      <c r="AF321" s="151"/>
      <c r="AG321" s="151"/>
      <c r="AH321" s="151"/>
      <c r="AI321" s="151"/>
      <c r="AJ321" s="151"/>
      <c r="AK321" s="151"/>
      <c r="AL321" s="151"/>
      <c r="AM321" s="151"/>
      <c r="AN321" s="151"/>
      <c r="AO321" s="151"/>
      <c r="AP321" s="151"/>
      <c r="AQ321" s="151"/>
      <c r="AR321" s="151"/>
      <c r="AS321" s="151"/>
      <c r="AT321" s="151"/>
      <c r="AU321" s="151"/>
      <c r="AV321" s="151"/>
      <c r="AW321" s="151"/>
      <c r="AX321" s="151"/>
      <c r="AY321" s="151"/>
      <c r="AZ321" s="151"/>
      <c r="BA321" s="151"/>
      <c r="BB321" s="151"/>
      <c r="BC321" s="151"/>
      <c r="BD321" s="151"/>
      <c r="BE321" s="151"/>
      <c r="BF321" s="151"/>
      <c r="BG321" s="151"/>
      <c r="BH321" s="151"/>
      <c r="BI321" s="151"/>
      <c r="BJ321" s="151"/>
      <c r="BK321" s="151"/>
      <c r="BL321" s="122"/>
      <c r="BM321" s="122"/>
      <c r="BN321" s="122"/>
      <c r="BO321" s="122"/>
      <c r="BP321" s="122"/>
      <c r="BQ321" s="122"/>
      <c r="BR321" s="122"/>
    </row>
    <row r="322" spans="1:70" ht="16.5" x14ac:dyDescent="0.3">
      <c r="A322" s="63"/>
      <c r="B322" s="126"/>
      <c r="C322" s="127"/>
      <c r="D322" s="128"/>
      <c r="E322" s="66"/>
      <c r="U322" s="151"/>
      <c r="V322" s="151"/>
      <c r="W322" s="151"/>
      <c r="X322" s="151"/>
      <c r="Y322" s="151"/>
      <c r="Z322" s="151"/>
      <c r="AA322" s="151"/>
      <c r="AB322" s="151"/>
      <c r="AC322" s="151"/>
      <c r="AD322" s="151"/>
      <c r="AE322" s="151"/>
      <c r="AF322" s="151"/>
      <c r="AG322" s="151"/>
      <c r="AH322" s="151"/>
      <c r="AI322" s="151"/>
      <c r="AJ322" s="151"/>
      <c r="AK322" s="151"/>
      <c r="AL322" s="151"/>
      <c r="AM322" s="151"/>
      <c r="AN322" s="151"/>
      <c r="AO322" s="151"/>
      <c r="AP322" s="151"/>
      <c r="AQ322" s="151"/>
      <c r="AR322" s="151"/>
      <c r="AS322" s="151"/>
      <c r="AT322" s="151"/>
      <c r="AU322" s="151"/>
      <c r="AV322" s="151"/>
      <c r="AW322" s="151"/>
      <c r="AX322" s="151"/>
      <c r="AY322" s="151"/>
      <c r="AZ322" s="151"/>
      <c r="BA322" s="151"/>
      <c r="BB322" s="151"/>
      <c r="BC322" s="151"/>
      <c r="BD322" s="151"/>
      <c r="BE322" s="151"/>
      <c r="BF322" s="151"/>
      <c r="BG322" s="151"/>
      <c r="BH322" s="151"/>
      <c r="BI322" s="151"/>
      <c r="BJ322" s="151"/>
      <c r="BK322" s="151"/>
      <c r="BL322" s="122"/>
      <c r="BM322" s="122"/>
      <c r="BN322" s="122"/>
      <c r="BO322" s="122"/>
      <c r="BP322" s="122"/>
      <c r="BQ322" s="122"/>
      <c r="BR322" s="122"/>
    </row>
    <row r="323" spans="1:70" ht="16.5" x14ac:dyDescent="0.3">
      <c r="A323" s="63"/>
      <c r="B323" s="126"/>
      <c r="C323" s="127"/>
      <c r="D323" s="128"/>
      <c r="E323" s="66"/>
      <c r="U323" s="151"/>
      <c r="V323" s="151"/>
      <c r="W323" s="151"/>
      <c r="X323" s="151"/>
      <c r="Y323" s="151"/>
      <c r="Z323" s="151"/>
      <c r="AA323" s="151"/>
      <c r="AB323" s="151"/>
      <c r="AC323" s="151"/>
      <c r="AD323" s="151"/>
      <c r="AE323" s="151"/>
      <c r="AF323" s="151"/>
      <c r="AG323" s="151"/>
      <c r="AH323" s="151"/>
      <c r="AI323" s="151"/>
      <c r="AJ323" s="151"/>
      <c r="AK323" s="151"/>
      <c r="AL323" s="151"/>
      <c r="AM323" s="151"/>
      <c r="AN323" s="151"/>
      <c r="AO323" s="151"/>
      <c r="AP323" s="151"/>
      <c r="AQ323" s="151"/>
      <c r="AR323" s="151"/>
      <c r="AS323" s="151"/>
      <c r="AT323" s="151"/>
      <c r="AU323" s="151"/>
      <c r="AV323" s="151"/>
      <c r="AW323" s="151"/>
      <c r="AX323" s="151"/>
      <c r="AY323" s="151"/>
      <c r="AZ323" s="151"/>
      <c r="BA323" s="151"/>
      <c r="BB323" s="151"/>
      <c r="BC323" s="151"/>
      <c r="BD323" s="151"/>
      <c r="BE323" s="151"/>
      <c r="BF323" s="151"/>
      <c r="BG323" s="151"/>
      <c r="BH323" s="151"/>
      <c r="BI323" s="151"/>
      <c r="BJ323" s="151"/>
      <c r="BK323" s="151"/>
      <c r="BL323" s="122"/>
      <c r="BM323" s="122"/>
      <c r="BN323" s="122"/>
      <c r="BO323" s="122"/>
      <c r="BP323" s="122"/>
      <c r="BQ323" s="122"/>
      <c r="BR323" s="122"/>
    </row>
    <row r="324" spans="1:70" ht="16.5" x14ac:dyDescent="0.3">
      <c r="A324" s="63"/>
      <c r="B324" s="126"/>
      <c r="C324" s="127"/>
      <c r="D324" s="128"/>
      <c r="E324" s="66"/>
      <c r="U324" s="151"/>
      <c r="V324" s="151"/>
      <c r="W324" s="151"/>
      <c r="X324" s="151"/>
      <c r="Y324" s="151"/>
      <c r="Z324" s="151"/>
      <c r="AA324" s="151"/>
      <c r="AB324" s="151"/>
      <c r="AC324" s="151"/>
      <c r="AD324" s="151"/>
      <c r="AE324" s="151"/>
      <c r="AF324" s="151"/>
      <c r="AG324" s="151"/>
      <c r="AH324" s="151"/>
      <c r="AI324" s="151"/>
      <c r="AJ324" s="151"/>
      <c r="AK324" s="151"/>
      <c r="AL324" s="151"/>
      <c r="AM324" s="151"/>
      <c r="AN324" s="151"/>
      <c r="AO324" s="151"/>
      <c r="AP324" s="151"/>
      <c r="AQ324" s="151"/>
      <c r="AR324" s="151"/>
      <c r="AS324" s="151"/>
      <c r="AT324" s="151"/>
      <c r="AU324" s="151"/>
      <c r="AV324" s="151"/>
      <c r="AW324" s="151"/>
      <c r="AX324" s="151"/>
      <c r="AY324" s="151"/>
      <c r="AZ324" s="151"/>
      <c r="BA324" s="151"/>
      <c r="BB324" s="151"/>
      <c r="BC324" s="151"/>
      <c r="BD324" s="151"/>
      <c r="BE324" s="151"/>
      <c r="BF324" s="151"/>
      <c r="BG324" s="151"/>
      <c r="BH324" s="151"/>
      <c r="BI324" s="151"/>
      <c r="BJ324" s="151"/>
      <c r="BK324" s="151"/>
      <c r="BL324" s="122"/>
      <c r="BM324" s="122"/>
      <c r="BN324" s="122"/>
      <c r="BO324" s="122"/>
      <c r="BP324" s="122"/>
      <c r="BQ324" s="122"/>
      <c r="BR324" s="122"/>
    </row>
    <row r="325" spans="1:70" ht="16.5" x14ac:dyDescent="0.3">
      <c r="A325" s="63"/>
      <c r="B325" s="126"/>
      <c r="C325" s="127"/>
      <c r="D325" s="128"/>
      <c r="E325" s="66"/>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c r="BK325" s="151"/>
      <c r="BL325" s="122"/>
      <c r="BM325" s="122"/>
      <c r="BN325" s="122"/>
      <c r="BO325" s="122"/>
      <c r="BP325" s="122"/>
      <c r="BQ325" s="122"/>
      <c r="BR325" s="122"/>
    </row>
    <row r="326" spans="1:70" ht="16.5" x14ac:dyDescent="0.3">
      <c r="A326" s="63"/>
      <c r="B326" s="126"/>
      <c r="C326" s="127"/>
      <c r="D326" s="128"/>
      <c r="E326" s="66"/>
      <c r="U326" s="151"/>
      <c r="V326" s="151"/>
      <c r="W326" s="151"/>
      <c r="X326" s="151"/>
      <c r="Y326" s="151"/>
      <c r="Z326" s="151"/>
      <c r="AA326" s="151"/>
      <c r="AB326" s="151"/>
      <c r="AC326" s="151"/>
      <c r="AD326" s="151"/>
      <c r="AE326" s="151"/>
      <c r="AF326" s="151"/>
      <c r="AG326" s="151"/>
      <c r="AH326" s="151"/>
      <c r="AI326" s="151"/>
      <c r="AJ326" s="151"/>
      <c r="AK326" s="151"/>
      <c r="AL326" s="151"/>
      <c r="AM326" s="151"/>
      <c r="AN326" s="151"/>
      <c r="AO326" s="151"/>
      <c r="AP326" s="151"/>
      <c r="AQ326" s="151"/>
      <c r="AR326" s="151"/>
      <c r="AS326" s="151"/>
      <c r="AT326" s="151"/>
      <c r="AU326" s="151"/>
      <c r="AV326" s="151"/>
      <c r="AW326" s="151"/>
      <c r="AX326" s="151"/>
      <c r="AY326" s="151"/>
      <c r="AZ326" s="151"/>
      <c r="BA326" s="151"/>
      <c r="BB326" s="151"/>
      <c r="BC326" s="151"/>
      <c r="BD326" s="151"/>
      <c r="BE326" s="151"/>
      <c r="BF326" s="151"/>
      <c r="BG326" s="151"/>
      <c r="BH326" s="151"/>
      <c r="BI326" s="151"/>
      <c r="BJ326" s="151"/>
      <c r="BK326" s="151"/>
      <c r="BL326" s="122"/>
      <c r="BM326" s="122"/>
      <c r="BN326" s="122"/>
      <c r="BO326" s="122"/>
      <c r="BP326" s="122"/>
      <c r="BQ326" s="122"/>
      <c r="BR326" s="122"/>
    </row>
    <row r="327" spans="1:70" ht="16.5" x14ac:dyDescent="0.3">
      <c r="A327" s="63"/>
      <c r="B327" s="140"/>
      <c r="C327" s="127"/>
      <c r="D327" s="128"/>
      <c r="E327" s="66"/>
      <c r="U327" s="151"/>
      <c r="V327" s="151"/>
      <c r="W327" s="151"/>
      <c r="X327" s="151"/>
      <c r="Y327" s="151"/>
      <c r="Z327" s="151"/>
      <c r="AA327" s="151"/>
      <c r="AB327" s="151"/>
      <c r="AC327" s="151"/>
      <c r="AD327" s="151"/>
      <c r="AE327" s="151"/>
      <c r="AF327" s="151"/>
      <c r="AG327" s="151"/>
      <c r="AH327" s="151"/>
      <c r="AI327" s="151"/>
      <c r="AJ327" s="151"/>
      <c r="AK327" s="151"/>
      <c r="AL327" s="151"/>
      <c r="AM327" s="151"/>
      <c r="AN327" s="151"/>
      <c r="AO327" s="151"/>
      <c r="AP327" s="151"/>
      <c r="AQ327" s="151"/>
      <c r="AR327" s="151"/>
      <c r="AS327" s="151"/>
      <c r="AT327" s="151"/>
      <c r="AU327" s="151"/>
      <c r="AV327" s="151"/>
      <c r="AW327" s="151"/>
      <c r="AX327" s="151"/>
      <c r="AY327" s="151"/>
      <c r="AZ327" s="151"/>
      <c r="BA327" s="151"/>
      <c r="BB327" s="151"/>
      <c r="BC327" s="151"/>
      <c r="BD327" s="151"/>
      <c r="BE327" s="151"/>
      <c r="BF327" s="151"/>
      <c r="BG327" s="151"/>
      <c r="BH327" s="151"/>
      <c r="BI327" s="151"/>
      <c r="BJ327" s="151"/>
      <c r="BK327" s="151"/>
      <c r="BL327" s="122"/>
      <c r="BM327" s="122"/>
      <c r="BN327" s="122"/>
      <c r="BO327" s="122"/>
      <c r="BP327" s="122"/>
      <c r="BQ327" s="122"/>
      <c r="BR327" s="122"/>
    </row>
    <row r="328" spans="1:70" ht="16.5" x14ac:dyDescent="0.3">
      <c r="A328" s="63"/>
      <c r="B328" s="126"/>
      <c r="C328" s="127"/>
      <c r="D328" s="128"/>
      <c r="E328" s="66"/>
      <c r="U328" s="151"/>
      <c r="V328" s="151"/>
      <c r="W328" s="151"/>
      <c r="X328" s="151"/>
      <c r="Y328" s="151"/>
      <c r="Z328" s="151"/>
      <c r="AA328" s="151"/>
      <c r="AB328" s="151"/>
      <c r="AC328" s="151"/>
      <c r="AD328" s="151"/>
      <c r="AE328" s="151"/>
      <c r="AF328" s="151"/>
      <c r="AG328" s="151"/>
      <c r="AH328" s="151"/>
      <c r="AI328" s="151"/>
      <c r="AJ328" s="151"/>
      <c r="AK328" s="151"/>
      <c r="AL328" s="151"/>
      <c r="AM328" s="151"/>
      <c r="AN328" s="151"/>
      <c r="AO328" s="151"/>
      <c r="AP328" s="151"/>
      <c r="AQ328" s="151"/>
      <c r="AR328" s="151"/>
      <c r="AS328" s="151"/>
      <c r="AT328" s="151"/>
      <c r="AU328" s="151"/>
      <c r="AV328" s="151"/>
      <c r="AW328" s="151"/>
      <c r="AX328" s="151"/>
      <c r="AY328" s="151"/>
      <c r="AZ328" s="151"/>
      <c r="BA328" s="151"/>
      <c r="BB328" s="151"/>
      <c r="BC328" s="151"/>
      <c r="BD328" s="151"/>
      <c r="BE328" s="151"/>
      <c r="BF328" s="151"/>
      <c r="BG328" s="151"/>
      <c r="BH328" s="151"/>
      <c r="BI328" s="151"/>
      <c r="BJ328" s="151"/>
      <c r="BK328" s="151"/>
      <c r="BL328" s="122"/>
      <c r="BM328" s="122"/>
      <c r="BN328" s="122"/>
      <c r="BO328" s="122"/>
      <c r="BP328" s="122"/>
      <c r="BQ328" s="122"/>
      <c r="BR328" s="122"/>
    </row>
    <row r="329" spans="1:70" ht="16.5" x14ac:dyDescent="0.3">
      <c r="A329" s="63"/>
      <c r="B329" s="126"/>
      <c r="C329" s="127"/>
      <c r="D329" s="128"/>
      <c r="E329" s="66"/>
      <c r="U329" s="151"/>
      <c r="V329" s="151"/>
      <c r="W329" s="151"/>
      <c r="X329" s="151"/>
      <c r="Y329" s="151"/>
      <c r="Z329" s="151"/>
      <c r="AA329" s="151"/>
      <c r="AB329" s="151"/>
      <c r="AC329" s="151"/>
      <c r="AD329" s="151"/>
      <c r="AE329" s="151"/>
      <c r="AF329" s="151"/>
      <c r="AG329" s="151"/>
      <c r="AH329" s="151"/>
      <c r="AI329" s="151"/>
      <c r="AJ329" s="151"/>
      <c r="AK329" s="151"/>
      <c r="AL329" s="151"/>
      <c r="AM329" s="151"/>
      <c r="AN329" s="151"/>
      <c r="AO329" s="151"/>
      <c r="AP329" s="151"/>
      <c r="AQ329" s="151"/>
      <c r="AR329" s="151"/>
      <c r="AS329" s="151"/>
      <c r="AT329" s="151"/>
      <c r="AU329" s="151"/>
      <c r="AV329" s="151"/>
      <c r="AW329" s="151"/>
      <c r="AX329" s="151"/>
      <c r="AY329" s="151"/>
      <c r="AZ329" s="151"/>
      <c r="BA329" s="151"/>
      <c r="BB329" s="151"/>
      <c r="BC329" s="151"/>
      <c r="BD329" s="151"/>
      <c r="BE329" s="151"/>
      <c r="BF329" s="151"/>
      <c r="BG329" s="151"/>
      <c r="BH329" s="151"/>
      <c r="BI329" s="151"/>
      <c r="BJ329" s="151"/>
      <c r="BK329" s="151"/>
      <c r="BL329" s="122"/>
      <c r="BM329" s="122"/>
      <c r="BN329" s="122"/>
      <c r="BO329" s="122"/>
      <c r="BP329" s="122"/>
      <c r="BQ329" s="122"/>
      <c r="BR329" s="122"/>
    </row>
    <row r="330" spans="1:70" ht="16.5" x14ac:dyDescent="0.3">
      <c r="A330" s="63"/>
      <c r="B330" s="126"/>
      <c r="C330" s="127"/>
      <c r="D330" s="128"/>
      <c r="E330" s="66"/>
      <c r="U330" s="151"/>
      <c r="V330" s="151"/>
      <c r="W330" s="151"/>
      <c r="X330" s="151"/>
      <c r="Y330" s="151"/>
      <c r="Z330" s="151"/>
      <c r="AA330" s="151"/>
      <c r="AB330" s="151"/>
      <c r="AC330" s="151"/>
      <c r="AD330" s="151"/>
      <c r="AE330" s="151"/>
      <c r="AF330" s="151"/>
      <c r="AG330" s="151"/>
      <c r="AH330" s="151"/>
      <c r="AI330" s="151"/>
      <c r="AJ330" s="151"/>
      <c r="AK330" s="151"/>
      <c r="AL330" s="151"/>
      <c r="AM330" s="151"/>
      <c r="AN330" s="151"/>
      <c r="AO330" s="151"/>
      <c r="AP330" s="151"/>
      <c r="AQ330" s="151"/>
      <c r="AR330" s="151"/>
      <c r="AS330" s="151"/>
      <c r="AT330" s="151"/>
      <c r="AU330" s="151"/>
      <c r="AV330" s="151"/>
      <c r="AW330" s="151"/>
      <c r="AX330" s="151"/>
      <c r="AY330" s="151"/>
      <c r="AZ330" s="151"/>
      <c r="BA330" s="151"/>
      <c r="BB330" s="151"/>
      <c r="BC330" s="151"/>
      <c r="BD330" s="151"/>
      <c r="BE330" s="151"/>
      <c r="BF330" s="151"/>
      <c r="BG330" s="151"/>
      <c r="BH330" s="151"/>
      <c r="BI330" s="151"/>
      <c r="BJ330" s="151"/>
      <c r="BK330" s="151"/>
      <c r="BL330" s="122"/>
      <c r="BM330" s="122"/>
      <c r="BN330" s="122"/>
      <c r="BO330" s="122"/>
      <c r="BP330" s="122"/>
      <c r="BQ330" s="122"/>
      <c r="BR330" s="122"/>
    </row>
    <row r="331" spans="1:70" ht="16.5" x14ac:dyDescent="0.3">
      <c r="A331" s="63"/>
      <c r="B331" s="126"/>
      <c r="C331" s="127"/>
      <c r="D331" s="128"/>
      <c r="E331" s="66"/>
      <c r="U331" s="151"/>
      <c r="V331" s="151"/>
      <c r="W331" s="151"/>
      <c r="X331" s="151"/>
      <c r="Y331" s="151"/>
      <c r="Z331" s="151"/>
      <c r="AA331" s="151"/>
      <c r="AB331" s="151"/>
      <c r="AC331" s="151"/>
      <c r="AD331" s="151"/>
      <c r="AE331" s="151"/>
      <c r="AF331" s="151"/>
      <c r="AG331" s="151"/>
      <c r="AH331" s="151"/>
      <c r="AI331" s="151"/>
      <c r="AJ331" s="151"/>
      <c r="AK331" s="151"/>
      <c r="AL331" s="151"/>
      <c r="AM331" s="151"/>
      <c r="AN331" s="151"/>
      <c r="AO331" s="151"/>
      <c r="AP331" s="151"/>
      <c r="AQ331" s="151"/>
      <c r="AR331" s="151"/>
      <c r="AS331" s="151"/>
      <c r="AT331" s="151"/>
      <c r="AU331" s="151"/>
      <c r="AV331" s="151"/>
      <c r="AW331" s="151"/>
      <c r="AX331" s="151"/>
      <c r="AY331" s="151"/>
      <c r="AZ331" s="151"/>
      <c r="BA331" s="151"/>
      <c r="BB331" s="151"/>
      <c r="BC331" s="151"/>
      <c r="BD331" s="151"/>
      <c r="BE331" s="151"/>
      <c r="BF331" s="151"/>
      <c r="BG331" s="151"/>
      <c r="BH331" s="151"/>
      <c r="BI331" s="151"/>
      <c r="BJ331" s="151"/>
      <c r="BK331" s="151"/>
      <c r="BL331" s="122"/>
      <c r="BM331" s="122"/>
      <c r="BN331" s="122"/>
      <c r="BO331" s="122"/>
      <c r="BP331" s="122"/>
      <c r="BQ331" s="122"/>
      <c r="BR331" s="122"/>
    </row>
    <row r="332" spans="1:70" ht="16.5" x14ac:dyDescent="0.3">
      <c r="A332" s="63"/>
      <c r="B332" s="126"/>
      <c r="C332" s="127"/>
      <c r="D332" s="128"/>
      <c r="E332" s="66"/>
      <c r="U332" s="151"/>
      <c r="V332" s="151"/>
      <c r="W332" s="151"/>
      <c r="X332" s="151"/>
      <c r="Y332" s="151"/>
      <c r="Z332" s="151"/>
      <c r="AA332" s="151"/>
      <c r="AB332" s="151"/>
      <c r="AC332" s="151"/>
      <c r="AD332" s="151"/>
      <c r="AE332" s="151"/>
      <c r="AF332" s="151"/>
      <c r="AG332" s="151"/>
      <c r="AH332" s="151"/>
      <c r="AI332" s="151"/>
      <c r="AJ332" s="151"/>
      <c r="AK332" s="151"/>
      <c r="AL332" s="151"/>
      <c r="AM332" s="151"/>
      <c r="AN332" s="151"/>
      <c r="AO332" s="151"/>
      <c r="AP332" s="151"/>
      <c r="AQ332" s="151"/>
      <c r="AR332" s="151"/>
      <c r="AS332" s="151"/>
      <c r="AT332" s="151"/>
      <c r="AU332" s="151"/>
      <c r="AV332" s="151"/>
      <c r="AW332" s="151"/>
      <c r="AX332" s="151"/>
      <c r="AY332" s="151"/>
      <c r="AZ332" s="151"/>
      <c r="BA332" s="151"/>
      <c r="BB332" s="151"/>
      <c r="BC332" s="151"/>
      <c r="BD332" s="151"/>
      <c r="BE332" s="151"/>
      <c r="BF332" s="151"/>
      <c r="BG332" s="151"/>
      <c r="BH332" s="151"/>
      <c r="BI332" s="151"/>
      <c r="BJ332" s="151"/>
      <c r="BK332" s="151"/>
      <c r="BL332" s="122"/>
      <c r="BM332" s="122"/>
      <c r="BN332" s="122"/>
      <c r="BO332" s="122"/>
      <c r="BP332" s="122"/>
      <c r="BQ332" s="122"/>
      <c r="BR332" s="122"/>
    </row>
    <row r="333" spans="1:70" ht="16.5" x14ac:dyDescent="0.3">
      <c r="A333" s="63"/>
      <c r="B333" s="126"/>
      <c r="C333" s="127"/>
      <c r="D333" s="128"/>
      <c r="E333" s="66"/>
      <c r="U333" s="151"/>
      <c r="V333" s="151"/>
      <c r="W333" s="151"/>
      <c r="X333" s="151"/>
      <c r="Y333" s="151"/>
      <c r="Z333" s="151"/>
      <c r="AA333" s="151"/>
      <c r="AB333" s="151"/>
      <c r="AC333" s="151"/>
      <c r="AD333" s="151"/>
      <c r="AE333" s="151"/>
      <c r="AF333" s="151"/>
      <c r="AG333" s="151"/>
      <c r="AH333" s="151"/>
      <c r="AI333" s="151"/>
      <c r="AJ333" s="151"/>
      <c r="AK333" s="151"/>
      <c r="AL333" s="151"/>
      <c r="AM333" s="151"/>
      <c r="AN333" s="151"/>
      <c r="AO333" s="151"/>
      <c r="AP333" s="151"/>
      <c r="AQ333" s="151"/>
      <c r="AR333" s="151"/>
      <c r="AS333" s="151"/>
      <c r="AT333" s="151"/>
      <c r="AU333" s="151"/>
      <c r="AV333" s="151"/>
      <c r="AW333" s="151"/>
      <c r="AX333" s="151"/>
      <c r="AY333" s="151"/>
      <c r="AZ333" s="151"/>
      <c r="BA333" s="151"/>
      <c r="BB333" s="151"/>
      <c r="BC333" s="151"/>
      <c r="BD333" s="151"/>
      <c r="BE333" s="151"/>
      <c r="BF333" s="151"/>
      <c r="BG333" s="151"/>
      <c r="BH333" s="151"/>
      <c r="BI333" s="151"/>
      <c r="BJ333" s="151"/>
      <c r="BK333" s="151"/>
      <c r="BL333" s="122"/>
      <c r="BM333" s="122"/>
      <c r="BN333" s="122"/>
      <c r="BO333" s="122"/>
      <c r="BP333" s="122"/>
      <c r="BQ333" s="122"/>
      <c r="BR333" s="122"/>
    </row>
    <row r="334" spans="1:70" ht="16.5" x14ac:dyDescent="0.3">
      <c r="A334" s="63"/>
      <c r="B334" s="126"/>
      <c r="C334" s="127"/>
      <c r="D334" s="128"/>
      <c r="E334" s="66"/>
      <c r="U334" s="151"/>
      <c r="V334" s="151"/>
      <c r="W334" s="151"/>
      <c r="X334" s="151"/>
      <c r="Y334" s="151"/>
      <c r="Z334" s="151"/>
      <c r="AA334" s="151"/>
      <c r="AB334" s="151"/>
      <c r="AC334" s="151"/>
      <c r="AD334" s="151"/>
      <c r="AE334" s="151"/>
      <c r="AF334" s="151"/>
      <c r="AG334" s="151"/>
      <c r="AH334" s="151"/>
      <c r="AI334" s="151"/>
      <c r="AJ334" s="151"/>
      <c r="AK334" s="151"/>
      <c r="AL334" s="151"/>
      <c r="AM334" s="151"/>
      <c r="AN334" s="151"/>
      <c r="AO334" s="151"/>
      <c r="AP334" s="151"/>
      <c r="AQ334" s="151"/>
      <c r="AR334" s="151"/>
      <c r="AS334" s="151"/>
      <c r="AT334" s="151"/>
      <c r="AU334" s="151"/>
      <c r="AV334" s="151"/>
      <c r="AW334" s="151"/>
      <c r="AX334" s="151"/>
      <c r="AY334" s="151"/>
      <c r="AZ334" s="151"/>
      <c r="BA334" s="151"/>
      <c r="BB334" s="151"/>
      <c r="BC334" s="151"/>
      <c r="BD334" s="151"/>
      <c r="BE334" s="151"/>
      <c r="BF334" s="151"/>
      <c r="BG334" s="151"/>
      <c r="BH334" s="151"/>
      <c r="BI334" s="151"/>
      <c r="BJ334" s="151"/>
      <c r="BK334" s="151"/>
      <c r="BL334" s="122"/>
      <c r="BM334" s="122"/>
      <c r="BN334" s="122"/>
      <c r="BO334" s="122"/>
      <c r="BP334" s="122"/>
      <c r="BQ334" s="122"/>
      <c r="BR334" s="122"/>
    </row>
    <row r="335" spans="1:70" ht="16.5" x14ac:dyDescent="0.3">
      <c r="A335" s="63"/>
      <c r="B335" s="126"/>
      <c r="C335" s="127"/>
      <c r="D335" s="128"/>
      <c r="E335" s="66"/>
      <c r="U335" s="151"/>
      <c r="V335" s="151"/>
      <c r="W335" s="151"/>
      <c r="X335" s="151"/>
      <c r="Y335" s="151"/>
      <c r="Z335" s="151"/>
      <c r="AA335" s="151"/>
      <c r="AB335" s="151"/>
      <c r="AC335" s="151"/>
      <c r="AD335" s="151"/>
      <c r="AE335" s="151"/>
      <c r="AF335" s="151"/>
      <c r="AG335" s="151"/>
      <c r="AH335" s="151"/>
      <c r="AI335" s="151"/>
      <c r="AJ335" s="151"/>
      <c r="AK335" s="151"/>
      <c r="AL335" s="151"/>
      <c r="AM335" s="151"/>
      <c r="AN335" s="151"/>
      <c r="AO335" s="151"/>
      <c r="AP335" s="151"/>
      <c r="AQ335" s="151"/>
      <c r="AR335" s="151"/>
      <c r="AS335" s="151"/>
      <c r="AT335" s="151"/>
      <c r="AU335" s="151"/>
      <c r="AV335" s="151"/>
      <c r="AW335" s="151"/>
      <c r="AX335" s="151"/>
      <c r="AY335" s="151"/>
      <c r="AZ335" s="151"/>
      <c r="BA335" s="151"/>
      <c r="BB335" s="151"/>
      <c r="BC335" s="151"/>
      <c r="BD335" s="151"/>
      <c r="BE335" s="151"/>
      <c r="BF335" s="151"/>
      <c r="BG335" s="151"/>
      <c r="BH335" s="151"/>
      <c r="BI335" s="151"/>
      <c r="BJ335" s="151"/>
      <c r="BK335" s="151"/>
      <c r="BL335" s="122"/>
      <c r="BM335" s="122"/>
      <c r="BN335" s="122"/>
      <c r="BO335" s="122"/>
      <c r="BP335" s="122"/>
      <c r="BQ335" s="122"/>
      <c r="BR335" s="122"/>
    </row>
    <row r="336" spans="1:70" ht="16.5" x14ac:dyDescent="0.3">
      <c r="A336" s="63"/>
      <c r="B336" s="126"/>
      <c r="C336" s="127"/>
      <c r="D336" s="128"/>
      <c r="E336" s="66"/>
      <c r="U336" s="151"/>
      <c r="V336" s="151"/>
      <c r="W336" s="151"/>
      <c r="X336" s="151"/>
      <c r="Y336" s="151"/>
      <c r="Z336" s="151"/>
      <c r="AA336" s="151"/>
      <c r="AB336" s="151"/>
      <c r="AC336" s="151"/>
      <c r="AD336" s="151"/>
      <c r="AE336" s="151"/>
      <c r="AF336" s="151"/>
      <c r="AG336" s="151"/>
      <c r="AH336" s="151"/>
      <c r="AI336" s="151"/>
      <c r="AJ336" s="151"/>
      <c r="AK336" s="151"/>
      <c r="AL336" s="151"/>
      <c r="AM336" s="151"/>
      <c r="AN336" s="151"/>
      <c r="AO336" s="151"/>
      <c r="AP336" s="151"/>
      <c r="AQ336" s="151"/>
      <c r="AR336" s="151"/>
      <c r="AS336" s="151"/>
      <c r="AT336" s="151"/>
      <c r="AU336" s="151"/>
      <c r="AV336" s="151"/>
      <c r="AW336" s="151"/>
      <c r="AX336" s="151"/>
      <c r="AY336" s="151"/>
      <c r="AZ336" s="151"/>
      <c r="BA336" s="151"/>
      <c r="BB336" s="151"/>
      <c r="BC336" s="151"/>
      <c r="BD336" s="151"/>
      <c r="BE336" s="151"/>
      <c r="BF336" s="151"/>
      <c r="BG336" s="151"/>
      <c r="BH336" s="151"/>
      <c r="BI336" s="151"/>
      <c r="BJ336" s="151"/>
      <c r="BK336" s="151"/>
      <c r="BL336" s="122"/>
      <c r="BM336" s="122"/>
      <c r="BN336" s="122"/>
      <c r="BO336" s="122"/>
      <c r="BP336" s="122"/>
      <c r="BQ336" s="122"/>
      <c r="BR336" s="122"/>
    </row>
    <row r="337" spans="1:70" ht="16.5" x14ac:dyDescent="0.3">
      <c r="A337" s="63"/>
      <c r="B337" s="126"/>
      <c r="C337" s="127"/>
      <c r="D337" s="128"/>
      <c r="E337" s="66"/>
      <c r="U337" s="151"/>
      <c r="V337" s="151"/>
      <c r="W337" s="151"/>
      <c r="X337" s="151"/>
      <c r="Y337" s="151"/>
      <c r="Z337" s="151"/>
      <c r="AA337" s="151"/>
      <c r="AB337" s="151"/>
      <c r="AC337" s="151"/>
      <c r="AD337" s="151"/>
      <c r="AE337" s="151"/>
      <c r="AF337" s="151"/>
      <c r="AG337" s="151"/>
      <c r="AH337" s="151"/>
      <c r="AI337" s="151"/>
      <c r="AJ337" s="151"/>
      <c r="AK337" s="151"/>
      <c r="AL337" s="151"/>
      <c r="AM337" s="151"/>
      <c r="AN337" s="151"/>
      <c r="AO337" s="151"/>
      <c r="AP337" s="151"/>
      <c r="AQ337" s="151"/>
      <c r="AR337" s="151"/>
      <c r="AS337" s="151"/>
      <c r="AT337" s="151"/>
      <c r="AU337" s="151"/>
      <c r="AV337" s="151"/>
      <c r="AW337" s="151"/>
      <c r="AX337" s="151"/>
      <c r="AY337" s="151"/>
      <c r="AZ337" s="151"/>
      <c r="BA337" s="151"/>
      <c r="BB337" s="151"/>
      <c r="BC337" s="151"/>
      <c r="BD337" s="151"/>
      <c r="BE337" s="151"/>
      <c r="BF337" s="151"/>
      <c r="BG337" s="151"/>
      <c r="BH337" s="151"/>
      <c r="BI337" s="151"/>
      <c r="BJ337" s="151"/>
      <c r="BK337" s="151"/>
      <c r="BL337" s="122"/>
      <c r="BM337" s="122"/>
      <c r="BN337" s="122"/>
      <c r="BO337" s="122"/>
      <c r="BP337" s="122"/>
      <c r="BQ337" s="122"/>
      <c r="BR337" s="122"/>
    </row>
    <row r="338" spans="1:70" ht="16.5" x14ac:dyDescent="0.3">
      <c r="A338" s="63"/>
      <c r="B338" s="126"/>
      <c r="C338" s="127"/>
      <c r="D338" s="128"/>
      <c r="E338" s="66"/>
      <c r="U338" s="151"/>
      <c r="V338" s="151"/>
      <c r="W338" s="151"/>
      <c r="X338" s="151"/>
      <c r="Y338" s="151"/>
      <c r="Z338" s="151"/>
      <c r="AA338" s="151"/>
      <c r="AB338" s="151"/>
      <c r="AC338" s="151"/>
      <c r="AD338" s="151"/>
      <c r="AE338" s="151"/>
      <c r="AF338" s="151"/>
      <c r="AG338" s="151"/>
      <c r="AH338" s="151"/>
      <c r="AI338" s="151"/>
      <c r="AJ338" s="151"/>
      <c r="AK338" s="151"/>
      <c r="AL338" s="151"/>
      <c r="AM338" s="151"/>
      <c r="AN338" s="151"/>
      <c r="AO338" s="151"/>
      <c r="AP338" s="151"/>
      <c r="AQ338" s="151"/>
      <c r="AR338" s="151"/>
      <c r="AS338" s="151"/>
      <c r="AT338" s="151"/>
      <c r="AU338" s="151"/>
      <c r="AV338" s="151"/>
      <c r="AW338" s="151"/>
      <c r="AX338" s="151"/>
      <c r="AY338" s="151"/>
      <c r="AZ338" s="151"/>
      <c r="BA338" s="151"/>
      <c r="BB338" s="151"/>
      <c r="BC338" s="151"/>
      <c r="BD338" s="151"/>
      <c r="BE338" s="151"/>
      <c r="BF338" s="151"/>
      <c r="BG338" s="151"/>
      <c r="BH338" s="151"/>
      <c r="BI338" s="151"/>
      <c r="BJ338" s="151"/>
      <c r="BK338" s="151"/>
      <c r="BL338" s="122"/>
      <c r="BM338" s="122"/>
      <c r="BN338" s="122"/>
      <c r="BO338" s="122"/>
      <c r="BP338" s="122"/>
      <c r="BQ338" s="122"/>
      <c r="BR338" s="122"/>
    </row>
    <row r="339" spans="1:70" ht="16.5" x14ac:dyDescent="0.3">
      <c r="A339" s="63"/>
      <c r="B339" s="126"/>
      <c r="C339" s="127"/>
      <c r="D339" s="128"/>
      <c r="E339" s="66"/>
      <c r="U339" s="151"/>
      <c r="V339" s="151"/>
      <c r="W339" s="151"/>
      <c r="X339" s="151"/>
      <c r="Y339" s="151"/>
      <c r="Z339" s="151"/>
      <c r="AA339" s="151"/>
      <c r="AB339" s="151"/>
      <c r="AC339" s="151"/>
      <c r="AD339" s="151"/>
      <c r="AE339" s="151"/>
      <c r="AF339" s="151"/>
      <c r="AG339" s="151"/>
      <c r="AH339" s="151"/>
      <c r="AI339" s="151"/>
      <c r="AJ339" s="151"/>
      <c r="AK339" s="151"/>
      <c r="AL339" s="151"/>
      <c r="AM339" s="151"/>
      <c r="AN339" s="151"/>
      <c r="AO339" s="151"/>
      <c r="AP339" s="151"/>
      <c r="AQ339" s="151"/>
      <c r="AR339" s="151"/>
      <c r="AS339" s="151"/>
      <c r="AT339" s="151"/>
      <c r="AU339" s="151"/>
      <c r="AV339" s="151"/>
      <c r="AW339" s="151"/>
      <c r="AX339" s="151"/>
      <c r="AY339" s="151"/>
      <c r="AZ339" s="151"/>
      <c r="BA339" s="151"/>
      <c r="BB339" s="151"/>
      <c r="BC339" s="151"/>
      <c r="BD339" s="151"/>
      <c r="BE339" s="151"/>
      <c r="BF339" s="151"/>
      <c r="BG339" s="151"/>
      <c r="BH339" s="151"/>
      <c r="BI339" s="151"/>
      <c r="BJ339" s="151"/>
      <c r="BK339" s="151"/>
      <c r="BL339" s="122"/>
      <c r="BM339" s="122"/>
      <c r="BN339" s="122"/>
      <c r="BO339" s="122"/>
      <c r="BP339" s="122"/>
      <c r="BQ339" s="122"/>
      <c r="BR339" s="122"/>
    </row>
    <row r="340" spans="1:70" ht="16.5" x14ac:dyDescent="0.3">
      <c r="A340" s="63"/>
      <c r="B340" s="126"/>
      <c r="C340" s="127"/>
      <c r="D340" s="128"/>
      <c r="E340" s="66"/>
      <c r="U340" s="151"/>
      <c r="V340" s="151"/>
      <c r="W340" s="151"/>
      <c r="X340" s="151"/>
      <c r="Y340" s="151"/>
      <c r="Z340" s="151"/>
      <c r="AA340" s="151"/>
      <c r="AB340" s="151"/>
      <c r="AC340" s="151"/>
      <c r="AD340" s="151"/>
      <c r="AE340" s="151"/>
      <c r="AF340" s="151"/>
      <c r="AG340" s="151"/>
      <c r="AH340" s="151"/>
      <c r="AI340" s="151"/>
      <c r="AJ340" s="151"/>
      <c r="AK340" s="151"/>
      <c r="AL340" s="151"/>
      <c r="AM340" s="151"/>
      <c r="AN340" s="151"/>
      <c r="AO340" s="151"/>
      <c r="AP340" s="151"/>
      <c r="AQ340" s="151"/>
      <c r="AR340" s="151"/>
      <c r="AS340" s="151"/>
      <c r="AT340" s="151"/>
      <c r="AU340" s="151"/>
      <c r="AV340" s="151"/>
      <c r="AW340" s="151"/>
      <c r="AX340" s="151"/>
      <c r="AY340" s="151"/>
      <c r="AZ340" s="151"/>
      <c r="BA340" s="151"/>
      <c r="BB340" s="151"/>
      <c r="BC340" s="151"/>
      <c r="BD340" s="151"/>
      <c r="BE340" s="151"/>
      <c r="BF340" s="151"/>
      <c r="BG340" s="151"/>
      <c r="BH340" s="151"/>
      <c r="BI340" s="151"/>
      <c r="BJ340" s="151"/>
      <c r="BK340" s="151"/>
      <c r="BL340" s="122"/>
      <c r="BM340" s="122"/>
      <c r="BN340" s="122"/>
      <c r="BO340" s="122"/>
      <c r="BP340" s="122"/>
      <c r="BQ340" s="122"/>
      <c r="BR340" s="122"/>
    </row>
    <row r="341" spans="1:70" ht="16.5" x14ac:dyDescent="0.3">
      <c r="A341" s="63"/>
      <c r="B341" s="126"/>
      <c r="C341" s="127"/>
      <c r="D341" s="128"/>
      <c r="E341" s="66"/>
      <c r="U341" s="151"/>
      <c r="V341" s="151"/>
      <c r="W341" s="151"/>
      <c r="X341" s="151"/>
      <c r="Y341" s="151"/>
      <c r="Z341" s="151"/>
      <c r="AA341" s="151"/>
      <c r="AB341" s="151"/>
      <c r="AC341" s="151"/>
      <c r="AD341" s="151"/>
      <c r="AE341" s="151"/>
      <c r="AF341" s="151"/>
      <c r="AG341" s="151"/>
      <c r="AH341" s="151"/>
      <c r="AI341" s="151"/>
      <c r="AJ341" s="151"/>
      <c r="AK341" s="151"/>
      <c r="AL341" s="151"/>
      <c r="AM341" s="151"/>
      <c r="AN341" s="151"/>
      <c r="AO341" s="151"/>
      <c r="AP341" s="151"/>
      <c r="AQ341" s="151"/>
      <c r="AR341" s="151"/>
      <c r="AS341" s="151"/>
      <c r="AT341" s="151"/>
      <c r="AU341" s="151"/>
      <c r="AV341" s="151"/>
      <c r="AW341" s="151"/>
      <c r="AX341" s="151"/>
      <c r="AY341" s="151"/>
      <c r="AZ341" s="151"/>
      <c r="BA341" s="151"/>
      <c r="BB341" s="151"/>
      <c r="BC341" s="151"/>
      <c r="BD341" s="151"/>
      <c r="BE341" s="151"/>
      <c r="BF341" s="151"/>
      <c r="BG341" s="151"/>
      <c r="BH341" s="151"/>
      <c r="BI341" s="151"/>
      <c r="BJ341" s="151"/>
      <c r="BK341" s="151"/>
      <c r="BL341" s="122"/>
      <c r="BM341" s="122"/>
      <c r="BN341" s="122"/>
      <c r="BO341" s="122"/>
      <c r="BP341" s="122"/>
      <c r="BQ341" s="122"/>
      <c r="BR341" s="122"/>
    </row>
    <row r="342" spans="1:70" ht="16.5" x14ac:dyDescent="0.3">
      <c r="A342" s="63"/>
      <c r="B342" s="126"/>
      <c r="C342" s="127"/>
      <c r="D342" s="128"/>
      <c r="E342" s="66"/>
      <c r="U342" s="151"/>
      <c r="V342" s="151"/>
      <c r="W342" s="151"/>
      <c r="X342" s="151"/>
      <c r="Y342" s="151"/>
      <c r="Z342" s="151"/>
      <c r="AA342" s="151"/>
      <c r="AB342" s="151"/>
      <c r="AC342" s="151"/>
      <c r="AD342" s="151"/>
      <c r="AE342" s="151"/>
      <c r="AF342" s="151"/>
      <c r="AG342" s="151"/>
      <c r="AH342" s="151"/>
      <c r="AI342" s="151"/>
      <c r="AJ342" s="151"/>
      <c r="AK342" s="151"/>
      <c r="AL342" s="151"/>
      <c r="AM342" s="151"/>
      <c r="AN342" s="151"/>
      <c r="AO342" s="151"/>
      <c r="AP342" s="151"/>
      <c r="AQ342" s="151"/>
      <c r="AR342" s="151"/>
      <c r="AS342" s="151"/>
      <c r="AT342" s="151"/>
      <c r="AU342" s="151"/>
      <c r="AV342" s="151"/>
      <c r="AW342" s="151"/>
      <c r="AX342" s="151"/>
      <c r="AY342" s="151"/>
      <c r="AZ342" s="151"/>
      <c r="BA342" s="151"/>
      <c r="BB342" s="151"/>
      <c r="BC342" s="151"/>
      <c r="BD342" s="151"/>
      <c r="BE342" s="151"/>
      <c r="BF342" s="151"/>
      <c r="BG342" s="151"/>
      <c r="BH342" s="151"/>
      <c r="BI342" s="151"/>
      <c r="BJ342" s="151"/>
      <c r="BK342" s="151"/>
      <c r="BL342" s="122"/>
      <c r="BM342" s="122"/>
      <c r="BN342" s="122"/>
      <c r="BO342" s="122"/>
      <c r="BP342" s="122"/>
      <c r="BQ342" s="122"/>
      <c r="BR342" s="122"/>
    </row>
    <row r="343" spans="1:70" ht="16.5" x14ac:dyDescent="0.3">
      <c r="A343" s="63"/>
      <c r="B343" s="126"/>
      <c r="C343" s="127"/>
      <c r="D343" s="128"/>
      <c r="E343" s="66"/>
      <c r="U343" s="151"/>
      <c r="V343" s="151"/>
      <c r="W343" s="151"/>
      <c r="X343" s="151"/>
      <c r="Y343" s="151"/>
      <c r="Z343" s="151"/>
      <c r="AA343" s="151"/>
      <c r="AB343" s="151"/>
      <c r="AC343" s="151"/>
      <c r="AD343" s="151"/>
      <c r="AE343" s="151"/>
      <c r="AF343" s="151"/>
      <c r="AG343" s="151"/>
      <c r="AH343" s="151"/>
      <c r="AI343" s="151"/>
      <c r="AJ343" s="151"/>
      <c r="AK343" s="151"/>
      <c r="AL343" s="151"/>
      <c r="AM343" s="151"/>
      <c r="AN343" s="151"/>
      <c r="AO343" s="151"/>
      <c r="AP343" s="151"/>
      <c r="AQ343" s="151"/>
      <c r="AR343" s="151"/>
      <c r="AS343" s="151"/>
      <c r="AT343" s="151"/>
      <c r="AU343" s="151"/>
      <c r="AV343" s="151"/>
      <c r="AW343" s="151"/>
      <c r="AX343" s="151"/>
      <c r="AY343" s="151"/>
      <c r="AZ343" s="151"/>
      <c r="BA343" s="151"/>
      <c r="BB343" s="151"/>
      <c r="BC343" s="151"/>
      <c r="BD343" s="151"/>
      <c r="BE343" s="151"/>
      <c r="BF343" s="151"/>
      <c r="BG343" s="151"/>
      <c r="BH343" s="151"/>
      <c r="BI343" s="151"/>
      <c r="BJ343" s="151"/>
      <c r="BK343" s="151"/>
      <c r="BL343" s="122"/>
      <c r="BM343" s="122"/>
      <c r="BN343" s="122"/>
      <c r="BO343" s="122"/>
      <c r="BP343" s="122"/>
      <c r="BQ343" s="122"/>
      <c r="BR343" s="122"/>
    </row>
    <row r="344" spans="1:70" ht="16.5" x14ac:dyDescent="0.3">
      <c r="A344" s="63"/>
      <c r="B344" s="126"/>
      <c r="C344" s="127"/>
      <c r="D344" s="128"/>
      <c r="E344" s="66"/>
      <c r="U344" s="151"/>
      <c r="V344" s="151"/>
      <c r="W344" s="151"/>
      <c r="X344" s="151"/>
      <c r="Y344" s="151"/>
      <c r="Z344" s="151"/>
      <c r="AA344" s="151"/>
      <c r="AB344" s="151"/>
      <c r="AC344" s="151"/>
      <c r="AD344" s="151"/>
      <c r="AE344" s="151"/>
      <c r="AF344" s="151"/>
      <c r="AG344" s="151"/>
      <c r="AH344" s="151"/>
      <c r="AI344" s="151"/>
      <c r="AJ344" s="151"/>
      <c r="AK344" s="151"/>
      <c r="AL344" s="151"/>
      <c r="AM344" s="151"/>
      <c r="AN344" s="151"/>
      <c r="AO344" s="151"/>
      <c r="AP344" s="151"/>
      <c r="AQ344" s="151"/>
      <c r="AR344" s="151"/>
      <c r="AS344" s="151"/>
      <c r="AT344" s="151"/>
      <c r="AU344" s="151"/>
      <c r="AV344" s="151"/>
      <c r="AW344" s="151"/>
      <c r="AX344" s="151"/>
      <c r="AY344" s="151"/>
      <c r="AZ344" s="151"/>
      <c r="BA344" s="151"/>
      <c r="BB344" s="151"/>
      <c r="BC344" s="151"/>
      <c r="BD344" s="151"/>
      <c r="BE344" s="151"/>
      <c r="BF344" s="151"/>
      <c r="BG344" s="151"/>
      <c r="BH344" s="151"/>
      <c r="BI344" s="151"/>
      <c r="BJ344" s="151"/>
      <c r="BK344" s="151"/>
      <c r="BL344" s="122"/>
      <c r="BM344" s="122"/>
      <c r="BN344" s="122"/>
      <c r="BO344" s="122"/>
      <c r="BP344" s="122"/>
      <c r="BQ344" s="122"/>
      <c r="BR344" s="122"/>
    </row>
    <row r="345" spans="1:70" ht="16.5" x14ac:dyDescent="0.3">
      <c r="A345" s="63"/>
      <c r="B345" s="126"/>
      <c r="C345" s="127"/>
      <c r="D345" s="128"/>
      <c r="E345" s="66"/>
      <c r="U345" s="151"/>
      <c r="V345" s="151"/>
      <c r="W345" s="151"/>
      <c r="X345" s="151"/>
      <c r="Y345" s="151"/>
      <c r="Z345" s="151"/>
      <c r="AA345" s="151"/>
      <c r="AB345" s="151"/>
      <c r="AC345" s="151"/>
      <c r="AD345" s="151"/>
      <c r="AE345" s="151"/>
      <c r="AF345" s="151"/>
      <c r="AG345" s="151"/>
      <c r="AH345" s="151"/>
      <c r="AI345" s="151"/>
      <c r="AJ345" s="151"/>
      <c r="AK345" s="151"/>
      <c r="AL345" s="151"/>
      <c r="AM345" s="151"/>
      <c r="AN345" s="151"/>
      <c r="AO345" s="151"/>
      <c r="AP345" s="151"/>
      <c r="AQ345" s="151"/>
      <c r="AR345" s="151"/>
      <c r="AS345" s="151"/>
      <c r="AT345" s="151"/>
      <c r="AU345" s="151"/>
      <c r="AV345" s="151"/>
      <c r="AW345" s="151"/>
      <c r="AX345" s="151"/>
      <c r="AY345" s="151"/>
      <c r="AZ345" s="151"/>
      <c r="BA345" s="151"/>
      <c r="BB345" s="151"/>
      <c r="BC345" s="151"/>
      <c r="BD345" s="151"/>
      <c r="BE345" s="151"/>
      <c r="BF345" s="151"/>
      <c r="BG345" s="151"/>
      <c r="BH345" s="151"/>
      <c r="BI345" s="151"/>
      <c r="BJ345" s="151"/>
      <c r="BK345" s="151"/>
      <c r="BL345" s="122"/>
      <c r="BM345" s="122"/>
      <c r="BN345" s="122"/>
      <c r="BO345" s="122"/>
      <c r="BP345" s="122"/>
      <c r="BQ345" s="122"/>
      <c r="BR345" s="122"/>
    </row>
    <row r="346" spans="1:70" ht="16.5" x14ac:dyDescent="0.3">
      <c r="A346" s="63"/>
      <c r="B346" s="126"/>
      <c r="C346" s="127"/>
      <c r="D346" s="128"/>
      <c r="E346" s="66"/>
      <c r="U346" s="151"/>
      <c r="V346" s="151"/>
      <c r="W346" s="151"/>
      <c r="X346" s="151"/>
      <c r="Y346" s="151"/>
      <c r="Z346" s="151"/>
      <c r="AA346" s="151"/>
      <c r="AB346" s="151"/>
      <c r="AC346" s="151"/>
      <c r="AD346" s="151"/>
      <c r="AE346" s="151"/>
      <c r="AF346" s="151"/>
      <c r="AG346" s="151"/>
      <c r="AH346" s="151"/>
      <c r="AI346" s="151"/>
      <c r="AJ346" s="151"/>
      <c r="AK346" s="151"/>
      <c r="AL346" s="151"/>
      <c r="AM346" s="151"/>
      <c r="AN346" s="151"/>
      <c r="AO346" s="151"/>
      <c r="AP346" s="151"/>
      <c r="AQ346" s="151"/>
      <c r="AR346" s="151"/>
      <c r="AS346" s="151"/>
      <c r="AT346" s="151"/>
      <c r="AU346" s="151"/>
      <c r="AV346" s="151"/>
      <c r="AW346" s="151"/>
      <c r="AX346" s="151"/>
      <c r="AY346" s="151"/>
      <c r="AZ346" s="151"/>
      <c r="BA346" s="151"/>
      <c r="BB346" s="151"/>
      <c r="BC346" s="151"/>
      <c r="BD346" s="151"/>
      <c r="BE346" s="151"/>
      <c r="BF346" s="151"/>
      <c r="BG346" s="151"/>
      <c r="BH346" s="151"/>
      <c r="BI346" s="151"/>
      <c r="BJ346" s="151"/>
      <c r="BK346" s="151"/>
      <c r="BL346" s="122"/>
      <c r="BM346" s="122"/>
      <c r="BN346" s="122"/>
      <c r="BO346" s="122"/>
      <c r="BP346" s="122"/>
      <c r="BQ346" s="122"/>
      <c r="BR346" s="122"/>
    </row>
    <row r="347" spans="1:70" ht="16.5" x14ac:dyDescent="0.3">
      <c r="A347" s="63"/>
      <c r="B347" s="126"/>
      <c r="C347" s="127"/>
      <c r="D347" s="128"/>
      <c r="E347" s="66"/>
      <c r="U347" s="151"/>
      <c r="V347" s="151"/>
      <c r="W347" s="151"/>
      <c r="X347" s="151"/>
      <c r="Y347" s="151"/>
      <c r="Z347" s="151"/>
      <c r="AA347" s="151"/>
      <c r="AB347" s="151"/>
      <c r="AC347" s="151"/>
      <c r="AD347" s="151"/>
      <c r="AE347" s="151"/>
      <c r="AF347" s="151"/>
      <c r="AG347" s="151"/>
      <c r="AH347" s="151"/>
      <c r="AI347" s="151"/>
      <c r="AJ347" s="151"/>
      <c r="AK347" s="151"/>
      <c r="AL347" s="151"/>
      <c r="AM347" s="151"/>
      <c r="AN347" s="151"/>
      <c r="AO347" s="151"/>
      <c r="AP347" s="151"/>
      <c r="AQ347" s="151"/>
      <c r="AR347" s="151"/>
      <c r="AS347" s="151"/>
      <c r="AT347" s="151"/>
      <c r="AU347" s="151"/>
      <c r="AV347" s="151"/>
      <c r="AW347" s="151"/>
      <c r="AX347" s="151"/>
      <c r="AY347" s="151"/>
      <c r="AZ347" s="151"/>
      <c r="BA347" s="151"/>
      <c r="BB347" s="151"/>
      <c r="BC347" s="151"/>
      <c r="BD347" s="151"/>
      <c r="BE347" s="151"/>
      <c r="BF347" s="151"/>
      <c r="BG347" s="151"/>
      <c r="BH347" s="151"/>
      <c r="BI347" s="151"/>
      <c r="BJ347" s="151"/>
      <c r="BK347" s="151"/>
      <c r="BL347" s="122"/>
      <c r="BM347" s="122"/>
      <c r="BN347" s="122"/>
      <c r="BO347" s="122"/>
      <c r="BP347" s="122"/>
      <c r="BQ347" s="122"/>
      <c r="BR347" s="122"/>
    </row>
    <row r="348" spans="1:70" ht="16.5" x14ac:dyDescent="0.3">
      <c r="A348" s="63"/>
      <c r="B348" s="126"/>
      <c r="C348" s="127"/>
      <c r="D348" s="128"/>
      <c r="E348" s="66"/>
      <c r="U348" s="151"/>
      <c r="V348" s="151"/>
      <c r="W348" s="151"/>
      <c r="X348" s="151"/>
      <c r="Y348" s="151"/>
      <c r="Z348" s="151"/>
      <c r="AA348" s="151"/>
      <c r="AB348" s="151"/>
      <c r="AC348" s="151"/>
      <c r="AD348" s="151"/>
      <c r="AE348" s="151"/>
      <c r="AF348" s="151"/>
      <c r="AG348" s="151"/>
      <c r="AH348" s="151"/>
      <c r="AI348" s="151"/>
      <c r="AJ348" s="151"/>
      <c r="AK348" s="151"/>
      <c r="AL348" s="151"/>
      <c r="AM348" s="151"/>
      <c r="AN348" s="151"/>
      <c r="AO348" s="151"/>
      <c r="AP348" s="151"/>
      <c r="AQ348" s="151"/>
      <c r="AR348" s="151"/>
      <c r="AS348" s="151"/>
      <c r="AT348" s="151"/>
      <c r="AU348" s="151"/>
      <c r="AV348" s="151"/>
      <c r="AW348" s="151"/>
      <c r="AX348" s="151"/>
      <c r="AY348" s="151"/>
      <c r="AZ348" s="151"/>
      <c r="BA348" s="151"/>
      <c r="BB348" s="151"/>
      <c r="BC348" s="151"/>
      <c r="BD348" s="151"/>
      <c r="BE348" s="151"/>
      <c r="BF348" s="151"/>
      <c r="BG348" s="151"/>
      <c r="BH348" s="151"/>
      <c r="BI348" s="151"/>
      <c r="BJ348" s="151"/>
      <c r="BK348" s="151"/>
      <c r="BL348" s="122"/>
      <c r="BM348" s="122"/>
      <c r="BN348" s="122"/>
      <c r="BO348" s="122"/>
      <c r="BP348" s="122"/>
      <c r="BQ348" s="122"/>
      <c r="BR348" s="122"/>
    </row>
    <row r="349" spans="1:70" ht="16.5" x14ac:dyDescent="0.3">
      <c r="A349" s="63"/>
      <c r="B349" s="126"/>
      <c r="C349" s="127"/>
      <c r="D349" s="128"/>
      <c r="E349" s="66"/>
      <c r="U349" s="151"/>
      <c r="V349" s="151"/>
      <c r="W349" s="151"/>
      <c r="X349" s="151"/>
      <c r="Y349" s="151"/>
      <c r="Z349" s="151"/>
      <c r="AA349" s="151"/>
      <c r="AB349" s="151"/>
      <c r="AC349" s="151"/>
      <c r="AD349" s="151"/>
      <c r="AE349" s="151"/>
      <c r="AF349" s="151"/>
      <c r="AG349" s="151"/>
      <c r="AH349" s="151"/>
      <c r="AI349" s="151"/>
      <c r="AJ349" s="151"/>
      <c r="AK349" s="151"/>
      <c r="AL349" s="151"/>
      <c r="AM349" s="151"/>
      <c r="AN349" s="151"/>
      <c r="AO349" s="151"/>
      <c r="AP349" s="151"/>
      <c r="AQ349" s="151"/>
      <c r="AR349" s="151"/>
      <c r="AS349" s="151"/>
      <c r="AT349" s="151"/>
      <c r="AU349" s="151"/>
      <c r="AV349" s="151"/>
      <c r="AW349" s="151"/>
      <c r="AX349" s="151"/>
      <c r="AY349" s="151"/>
      <c r="AZ349" s="151"/>
      <c r="BA349" s="151"/>
      <c r="BB349" s="151"/>
      <c r="BC349" s="151"/>
      <c r="BD349" s="151"/>
      <c r="BE349" s="151"/>
      <c r="BF349" s="151"/>
      <c r="BG349" s="151"/>
      <c r="BH349" s="151"/>
      <c r="BI349" s="151"/>
      <c r="BJ349" s="151"/>
      <c r="BK349" s="151"/>
      <c r="BL349" s="122"/>
      <c r="BM349" s="122"/>
      <c r="BN349" s="122"/>
      <c r="BO349" s="122"/>
      <c r="BP349" s="122"/>
      <c r="BQ349" s="122"/>
      <c r="BR349" s="122"/>
    </row>
    <row r="350" spans="1:70" ht="16.5" x14ac:dyDescent="0.3">
      <c r="A350" s="63"/>
      <c r="B350" s="126"/>
      <c r="C350" s="127"/>
      <c r="D350" s="128"/>
      <c r="E350" s="66"/>
      <c r="U350" s="151"/>
      <c r="V350" s="151"/>
      <c r="W350" s="151"/>
      <c r="X350" s="151"/>
      <c r="Y350" s="151"/>
      <c r="Z350" s="151"/>
      <c r="AA350" s="151"/>
      <c r="AB350" s="151"/>
      <c r="AC350" s="151"/>
      <c r="AD350" s="151"/>
      <c r="AE350" s="151"/>
      <c r="AF350" s="151"/>
      <c r="AG350" s="151"/>
      <c r="AH350" s="151"/>
      <c r="AI350" s="151"/>
      <c r="AJ350" s="151"/>
      <c r="AK350" s="151"/>
      <c r="AL350" s="151"/>
      <c r="AM350" s="151"/>
      <c r="AN350" s="151"/>
      <c r="AO350" s="151"/>
      <c r="AP350" s="151"/>
      <c r="AQ350" s="151"/>
      <c r="AR350" s="151"/>
      <c r="AS350" s="151"/>
      <c r="AT350" s="151"/>
      <c r="AU350" s="151"/>
      <c r="AV350" s="151"/>
      <c r="AW350" s="151"/>
      <c r="AX350" s="151"/>
      <c r="AY350" s="151"/>
      <c r="AZ350" s="151"/>
      <c r="BA350" s="151"/>
      <c r="BB350" s="151"/>
      <c r="BC350" s="151"/>
      <c r="BD350" s="151"/>
      <c r="BE350" s="151"/>
      <c r="BF350" s="151"/>
      <c r="BG350" s="151"/>
      <c r="BH350" s="151"/>
      <c r="BI350" s="151"/>
      <c r="BJ350" s="151"/>
      <c r="BK350" s="151"/>
      <c r="BL350" s="122"/>
      <c r="BM350" s="122"/>
      <c r="BN350" s="122"/>
      <c r="BO350" s="122"/>
      <c r="BP350" s="122"/>
      <c r="BQ350" s="122"/>
      <c r="BR350" s="122"/>
    </row>
    <row r="351" spans="1:70" ht="16.5" x14ac:dyDescent="0.3">
      <c r="A351" s="63"/>
      <c r="B351" s="126"/>
      <c r="C351" s="127"/>
      <c r="D351" s="128"/>
      <c r="E351" s="66"/>
      <c r="U351" s="151"/>
      <c r="V351" s="151"/>
      <c r="W351" s="151"/>
      <c r="X351" s="151"/>
      <c r="Y351" s="151"/>
      <c r="Z351" s="151"/>
      <c r="AA351" s="151"/>
      <c r="AB351" s="151"/>
      <c r="AC351" s="151"/>
      <c r="AD351" s="151"/>
      <c r="AE351" s="151"/>
      <c r="AF351" s="151"/>
      <c r="AG351" s="151"/>
      <c r="AH351" s="151"/>
      <c r="AI351" s="151"/>
      <c r="AJ351" s="151"/>
      <c r="AK351" s="151"/>
      <c r="AL351" s="151"/>
      <c r="AM351" s="151"/>
      <c r="AN351" s="151"/>
      <c r="AO351" s="151"/>
      <c r="AP351" s="151"/>
      <c r="AQ351" s="151"/>
      <c r="AR351" s="151"/>
      <c r="AS351" s="151"/>
      <c r="AT351" s="151"/>
      <c r="AU351" s="151"/>
      <c r="AV351" s="151"/>
      <c r="AW351" s="151"/>
      <c r="AX351" s="151"/>
      <c r="AY351" s="151"/>
      <c r="AZ351" s="151"/>
      <c r="BA351" s="151"/>
      <c r="BB351" s="151"/>
      <c r="BC351" s="151"/>
      <c r="BD351" s="151"/>
      <c r="BE351" s="151"/>
      <c r="BF351" s="151"/>
      <c r="BG351" s="151"/>
      <c r="BH351" s="151"/>
      <c r="BI351" s="151"/>
      <c r="BJ351" s="151"/>
      <c r="BK351" s="151"/>
      <c r="BL351" s="122"/>
      <c r="BM351" s="122"/>
      <c r="BN351" s="122"/>
      <c r="BO351" s="122"/>
      <c r="BP351" s="122"/>
      <c r="BQ351" s="122"/>
      <c r="BR351" s="122"/>
    </row>
    <row r="352" spans="1:70" ht="16.5" x14ac:dyDescent="0.3">
      <c r="A352" s="63"/>
      <c r="B352" s="126"/>
      <c r="C352" s="127"/>
      <c r="D352" s="128"/>
      <c r="E352" s="66"/>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c r="AR352" s="151"/>
      <c r="AS352" s="151"/>
      <c r="AT352" s="151"/>
      <c r="AU352" s="151"/>
      <c r="AV352" s="151"/>
      <c r="AW352" s="151"/>
      <c r="AX352" s="151"/>
      <c r="AY352" s="151"/>
      <c r="AZ352" s="151"/>
      <c r="BA352" s="151"/>
      <c r="BB352" s="151"/>
      <c r="BC352" s="151"/>
      <c r="BD352" s="151"/>
      <c r="BE352" s="151"/>
      <c r="BF352" s="151"/>
      <c r="BG352" s="151"/>
      <c r="BH352" s="151"/>
      <c r="BI352" s="151"/>
      <c r="BJ352" s="151"/>
      <c r="BK352" s="151"/>
      <c r="BL352" s="122"/>
      <c r="BM352" s="122"/>
      <c r="BN352" s="122"/>
      <c r="BO352" s="122"/>
      <c r="BP352" s="122"/>
      <c r="BQ352" s="122"/>
      <c r="BR352" s="122"/>
    </row>
    <row r="353" spans="1:70" x14ac:dyDescent="0.25">
      <c r="A353" s="63"/>
      <c r="B353" s="65"/>
      <c r="C353" s="65"/>
      <c r="D353" s="118"/>
      <c r="E353" s="66"/>
      <c r="U353" s="151"/>
      <c r="V353" s="151"/>
      <c r="W353" s="151"/>
      <c r="X353" s="151"/>
      <c r="Y353" s="151"/>
      <c r="Z353" s="151"/>
      <c r="AA353" s="151"/>
      <c r="AB353" s="151"/>
      <c r="AC353" s="151"/>
      <c r="AD353" s="151"/>
      <c r="AE353" s="151"/>
      <c r="AF353" s="151"/>
      <c r="AG353" s="151"/>
      <c r="AH353" s="151"/>
      <c r="AI353" s="151"/>
      <c r="AJ353" s="151"/>
      <c r="AK353" s="151"/>
      <c r="AL353" s="151"/>
      <c r="AM353" s="151"/>
      <c r="AN353" s="151"/>
      <c r="AO353" s="151"/>
      <c r="AP353" s="151"/>
      <c r="AQ353" s="151"/>
      <c r="AR353" s="151"/>
      <c r="AS353" s="151"/>
      <c r="AT353" s="151"/>
      <c r="AU353" s="151"/>
      <c r="AV353" s="151"/>
      <c r="AW353" s="151"/>
      <c r="AX353" s="151"/>
      <c r="AY353" s="151"/>
      <c r="AZ353" s="151"/>
      <c r="BA353" s="151"/>
      <c r="BB353" s="151"/>
      <c r="BC353" s="151"/>
      <c r="BD353" s="151"/>
      <c r="BE353" s="151"/>
      <c r="BF353" s="151"/>
      <c r="BG353" s="151"/>
      <c r="BH353" s="151"/>
      <c r="BI353" s="151"/>
      <c r="BJ353" s="151"/>
      <c r="BK353" s="151"/>
      <c r="BL353" s="122"/>
      <c r="BM353" s="122"/>
      <c r="BN353" s="122"/>
      <c r="BO353" s="122"/>
      <c r="BP353" s="122"/>
      <c r="BQ353" s="122"/>
      <c r="BR353" s="122"/>
    </row>
    <row r="354" spans="1:70" x14ac:dyDescent="0.25">
      <c r="A354" s="63"/>
      <c r="B354" s="65"/>
      <c r="C354" s="65"/>
      <c r="D354" s="118"/>
      <c r="E354" s="66"/>
      <c r="U354" s="151"/>
      <c r="V354" s="151"/>
      <c r="W354" s="151"/>
      <c r="X354" s="151"/>
      <c r="Y354" s="151"/>
      <c r="Z354" s="151"/>
      <c r="AA354" s="151"/>
      <c r="AB354" s="151"/>
      <c r="AC354" s="151"/>
      <c r="AD354" s="151"/>
      <c r="AE354" s="151"/>
      <c r="AF354" s="151"/>
      <c r="AG354" s="151"/>
      <c r="AH354" s="151"/>
      <c r="AI354" s="151"/>
      <c r="AJ354" s="151"/>
      <c r="AK354" s="151"/>
      <c r="AL354" s="151"/>
      <c r="AM354" s="151"/>
      <c r="AN354" s="151"/>
      <c r="AO354" s="151"/>
      <c r="AP354" s="151"/>
      <c r="AQ354" s="151"/>
      <c r="AR354" s="151"/>
      <c r="AS354" s="151"/>
      <c r="AT354" s="151"/>
      <c r="AU354" s="151"/>
      <c r="AV354" s="151"/>
      <c r="AW354" s="151"/>
      <c r="AX354" s="151"/>
      <c r="AY354" s="151"/>
      <c r="AZ354" s="151"/>
      <c r="BA354" s="151"/>
      <c r="BB354" s="151"/>
      <c r="BC354" s="151"/>
      <c r="BD354" s="151"/>
      <c r="BE354" s="151"/>
      <c r="BF354" s="151"/>
      <c r="BG354" s="151"/>
      <c r="BH354" s="151"/>
      <c r="BI354" s="151"/>
      <c r="BJ354" s="151"/>
      <c r="BK354" s="151"/>
      <c r="BL354" s="122"/>
      <c r="BM354" s="122"/>
      <c r="BN354" s="122"/>
      <c r="BO354" s="122"/>
      <c r="BP354" s="122"/>
      <c r="BQ354" s="122"/>
      <c r="BR354" s="122"/>
    </row>
    <row r="355" spans="1:70" x14ac:dyDescent="0.25">
      <c r="A355" s="63"/>
      <c r="B355" s="65"/>
      <c r="C355" s="65"/>
      <c r="D355" s="118"/>
      <c r="E355" s="66"/>
      <c r="U355" s="151"/>
      <c r="V355" s="151"/>
      <c r="W355" s="151"/>
      <c r="X355" s="151"/>
      <c r="Y355" s="151"/>
      <c r="Z355" s="151"/>
      <c r="AA355" s="151"/>
      <c r="AB355" s="151"/>
      <c r="AC355" s="151"/>
      <c r="AD355" s="151"/>
      <c r="AE355" s="151"/>
      <c r="AF355" s="151"/>
      <c r="AG355" s="151"/>
      <c r="AH355" s="151"/>
      <c r="AI355" s="151"/>
      <c r="AJ355" s="151"/>
      <c r="AK355" s="151"/>
      <c r="AL355" s="151"/>
      <c r="AM355" s="151"/>
      <c r="AN355" s="151"/>
      <c r="AO355" s="151"/>
      <c r="AP355" s="151"/>
      <c r="AQ355" s="151"/>
      <c r="AR355" s="151"/>
      <c r="AS355" s="151"/>
      <c r="AT355" s="151"/>
      <c r="AU355" s="151"/>
      <c r="AV355" s="151"/>
      <c r="AW355" s="151"/>
      <c r="AX355" s="151"/>
      <c r="AY355" s="151"/>
      <c r="AZ355" s="151"/>
      <c r="BA355" s="151"/>
      <c r="BB355" s="151"/>
      <c r="BC355" s="151"/>
      <c r="BD355" s="151"/>
      <c r="BE355" s="151"/>
      <c r="BF355" s="151"/>
      <c r="BG355" s="151"/>
      <c r="BH355" s="151"/>
      <c r="BI355" s="151"/>
      <c r="BJ355" s="151"/>
      <c r="BK355" s="151"/>
      <c r="BL355" s="122"/>
      <c r="BM355" s="122"/>
      <c r="BN355" s="122"/>
      <c r="BO355" s="122"/>
      <c r="BP355" s="122"/>
      <c r="BQ355" s="122"/>
      <c r="BR355" s="122"/>
    </row>
    <row r="356" spans="1:70" x14ac:dyDescent="0.25">
      <c r="A356" s="63"/>
      <c r="B356" s="65"/>
      <c r="C356" s="65"/>
      <c r="D356" s="118"/>
      <c r="E356" s="66"/>
      <c r="U356" s="151"/>
      <c r="V356" s="151"/>
      <c r="W356" s="151"/>
      <c r="X356" s="151"/>
      <c r="Y356" s="151"/>
      <c r="Z356" s="151"/>
      <c r="AA356" s="151"/>
      <c r="AB356" s="151"/>
      <c r="AC356" s="151"/>
      <c r="AD356" s="151"/>
      <c r="AE356" s="151"/>
      <c r="AF356" s="151"/>
      <c r="AG356" s="151"/>
      <c r="AH356" s="151"/>
      <c r="AI356" s="151"/>
      <c r="AJ356" s="151"/>
      <c r="AK356" s="151"/>
      <c r="AL356" s="151"/>
      <c r="AM356" s="151"/>
      <c r="AN356" s="151"/>
      <c r="AO356" s="151"/>
      <c r="AP356" s="151"/>
      <c r="AQ356" s="151"/>
      <c r="AR356" s="151"/>
      <c r="AS356" s="151"/>
      <c r="AT356" s="151"/>
      <c r="AU356" s="151"/>
      <c r="AV356" s="151"/>
      <c r="AW356" s="151"/>
      <c r="AX356" s="151"/>
      <c r="AY356" s="151"/>
      <c r="AZ356" s="151"/>
      <c r="BA356" s="151"/>
      <c r="BB356" s="151"/>
      <c r="BC356" s="151"/>
      <c r="BD356" s="151"/>
      <c r="BE356" s="151"/>
      <c r="BF356" s="151"/>
      <c r="BG356" s="151"/>
      <c r="BH356" s="151"/>
      <c r="BI356" s="151"/>
      <c r="BJ356" s="151"/>
      <c r="BK356" s="151"/>
      <c r="BL356" s="122"/>
      <c r="BM356" s="122"/>
      <c r="BN356" s="122"/>
      <c r="BO356" s="122"/>
      <c r="BP356" s="122"/>
      <c r="BQ356" s="122"/>
      <c r="BR356" s="122"/>
    </row>
    <row r="357" spans="1:70" x14ac:dyDescent="0.25">
      <c r="A357" s="63"/>
      <c r="B357" s="65"/>
      <c r="C357" s="65"/>
      <c r="D357" s="118"/>
      <c r="E357" s="66"/>
      <c r="U357" s="151"/>
      <c r="V357" s="151"/>
      <c r="W357" s="151"/>
      <c r="X357" s="151"/>
      <c r="Y357" s="151"/>
      <c r="Z357" s="151"/>
      <c r="AA357" s="151"/>
      <c r="AB357" s="151"/>
      <c r="AC357" s="151"/>
      <c r="AD357" s="151"/>
      <c r="AE357" s="151"/>
      <c r="AF357" s="151"/>
      <c r="AG357" s="151"/>
      <c r="AH357" s="151"/>
      <c r="AI357" s="151"/>
      <c r="AJ357" s="151"/>
      <c r="AK357" s="151"/>
      <c r="AL357" s="151"/>
      <c r="AM357" s="151"/>
      <c r="AN357" s="151"/>
      <c r="AO357" s="151"/>
      <c r="AP357" s="151"/>
      <c r="AQ357" s="151"/>
      <c r="AR357" s="151"/>
      <c r="AS357" s="151"/>
      <c r="AT357" s="151"/>
      <c r="AU357" s="151"/>
      <c r="AV357" s="151"/>
      <c r="AW357" s="151"/>
      <c r="AX357" s="151"/>
      <c r="AY357" s="151"/>
      <c r="AZ357" s="151"/>
      <c r="BA357" s="151"/>
      <c r="BB357" s="151"/>
      <c r="BC357" s="151"/>
      <c r="BD357" s="151"/>
      <c r="BE357" s="151"/>
      <c r="BF357" s="151"/>
      <c r="BG357" s="151"/>
      <c r="BH357" s="151"/>
      <c r="BI357" s="151"/>
      <c r="BJ357" s="151"/>
      <c r="BK357" s="151"/>
      <c r="BL357" s="122"/>
      <c r="BM357" s="122"/>
      <c r="BN357" s="122"/>
      <c r="BO357" s="122"/>
      <c r="BP357" s="122"/>
      <c r="BQ357" s="122"/>
      <c r="BR357" s="122"/>
    </row>
    <row r="358" spans="1:70" x14ac:dyDescent="0.25">
      <c r="A358" s="63"/>
      <c r="B358" s="65"/>
      <c r="C358" s="65"/>
      <c r="D358" s="118"/>
      <c r="E358" s="66"/>
      <c r="U358" s="151"/>
      <c r="V358" s="151"/>
      <c r="W358" s="151"/>
      <c r="X358" s="151"/>
      <c r="Y358" s="151"/>
      <c r="Z358" s="151"/>
      <c r="AA358" s="151"/>
      <c r="AB358" s="151"/>
      <c r="AC358" s="151"/>
      <c r="AD358" s="151"/>
      <c r="AE358" s="151"/>
      <c r="AF358" s="151"/>
      <c r="AG358" s="151"/>
      <c r="AH358" s="151"/>
      <c r="AI358" s="151"/>
      <c r="AJ358" s="151"/>
      <c r="AK358" s="151"/>
      <c r="AL358" s="151"/>
      <c r="AM358" s="151"/>
      <c r="AN358" s="151"/>
      <c r="AO358" s="151"/>
      <c r="AP358" s="151"/>
      <c r="AQ358" s="151"/>
      <c r="AR358" s="151"/>
      <c r="AS358" s="151"/>
      <c r="AT358" s="151"/>
      <c r="AU358" s="151"/>
      <c r="AV358" s="151"/>
      <c r="AW358" s="151"/>
      <c r="AX358" s="151"/>
      <c r="AY358" s="151"/>
      <c r="AZ358" s="151"/>
      <c r="BA358" s="151"/>
      <c r="BB358" s="151"/>
      <c r="BC358" s="151"/>
      <c r="BD358" s="151"/>
      <c r="BE358" s="151"/>
      <c r="BF358" s="151"/>
      <c r="BG358" s="151"/>
      <c r="BH358" s="151"/>
      <c r="BI358" s="151"/>
      <c r="BJ358" s="151"/>
      <c r="BK358" s="151"/>
      <c r="BL358" s="122"/>
      <c r="BM358" s="122"/>
      <c r="BN358" s="122"/>
      <c r="BO358" s="122"/>
      <c r="BP358" s="122"/>
      <c r="BQ358" s="122"/>
      <c r="BR358" s="122"/>
    </row>
    <row r="359" spans="1:70" x14ac:dyDescent="0.25">
      <c r="A359" s="63"/>
      <c r="B359" s="65"/>
      <c r="C359" s="65"/>
      <c r="D359" s="118"/>
      <c r="E359" s="66"/>
      <c r="U359" s="151"/>
      <c r="V359" s="151"/>
      <c r="W359" s="151"/>
      <c r="X359" s="151"/>
      <c r="Y359" s="151"/>
      <c r="Z359" s="151"/>
      <c r="AA359" s="151"/>
      <c r="AB359" s="151"/>
      <c r="AC359" s="151"/>
      <c r="AD359" s="151"/>
      <c r="AE359" s="151"/>
      <c r="AF359" s="151"/>
      <c r="AG359" s="151"/>
      <c r="AH359" s="151"/>
      <c r="AI359" s="151"/>
      <c r="AJ359" s="151"/>
      <c r="AK359" s="151"/>
      <c r="AL359" s="151"/>
      <c r="AM359" s="151"/>
      <c r="AN359" s="151"/>
      <c r="AO359" s="151"/>
      <c r="AP359" s="151"/>
      <c r="AQ359" s="151"/>
      <c r="AR359" s="151"/>
      <c r="AS359" s="151"/>
      <c r="AT359" s="151"/>
      <c r="AU359" s="151"/>
      <c r="AV359" s="151"/>
      <c r="AW359" s="151"/>
      <c r="AX359" s="151"/>
      <c r="AY359" s="151"/>
      <c r="AZ359" s="151"/>
      <c r="BA359" s="151"/>
      <c r="BB359" s="151"/>
      <c r="BC359" s="151"/>
      <c r="BD359" s="151"/>
      <c r="BE359" s="151"/>
      <c r="BF359" s="151"/>
      <c r="BG359" s="151"/>
      <c r="BH359" s="151"/>
      <c r="BI359" s="151"/>
      <c r="BJ359" s="151"/>
      <c r="BK359" s="151"/>
      <c r="BL359" s="122"/>
      <c r="BM359" s="122"/>
      <c r="BN359" s="122"/>
      <c r="BO359" s="122"/>
      <c r="BP359" s="122"/>
      <c r="BQ359" s="122"/>
      <c r="BR359" s="122"/>
    </row>
    <row r="360" spans="1:70" x14ac:dyDescent="0.25">
      <c r="A360" s="63"/>
      <c r="B360" s="65"/>
      <c r="C360" s="65"/>
      <c r="D360" s="118"/>
      <c r="E360" s="66"/>
      <c r="U360" s="151"/>
      <c r="V360" s="151"/>
      <c r="W360" s="151"/>
      <c r="X360" s="151"/>
      <c r="Y360" s="151"/>
      <c r="Z360" s="151"/>
      <c r="AA360" s="151"/>
      <c r="AB360" s="151"/>
      <c r="AC360" s="151"/>
      <c r="AD360" s="151"/>
      <c r="AE360" s="151"/>
      <c r="AF360" s="151"/>
      <c r="AG360" s="151"/>
      <c r="AH360" s="151"/>
      <c r="AI360" s="151"/>
      <c r="AJ360" s="151"/>
      <c r="AK360" s="151"/>
      <c r="AL360" s="151"/>
      <c r="AM360" s="151"/>
      <c r="AN360" s="151"/>
      <c r="AO360" s="151"/>
      <c r="AP360" s="151"/>
      <c r="AQ360" s="151"/>
      <c r="AR360" s="151"/>
      <c r="AS360" s="151"/>
      <c r="AT360" s="151"/>
      <c r="AU360" s="151"/>
      <c r="AV360" s="151"/>
      <c r="AW360" s="151"/>
      <c r="AX360" s="151"/>
      <c r="AY360" s="151"/>
      <c r="AZ360" s="151"/>
      <c r="BA360" s="151"/>
      <c r="BB360" s="151"/>
      <c r="BC360" s="151"/>
      <c r="BD360" s="151"/>
      <c r="BE360" s="151"/>
      <c r="BF360" s="151"/>
      <c r="BG360" s="151"/>
      <c r="BH360" s="151"/>
      <c r="BI360" s="151"/>
      <c r="BJ360" s="151"/>
      <c r="BK360" s="151"/>
      <c r="BL360" s="122"/>
      <c r="BM360" s="122"/>
      <c r="BN360" s="122"/>
      <c r="BO360" s="122"/>
      <c r="BP360" s="122"/>
      <c r="BQ360" s="122"/>
      <c r="BR360" s="122"/>
    </row>
    <row r="361" spans="1:70" x14ac:dyDescent="0.25">
      <c r="A361" s="63"/>
      <c r="B361" s="65"/>
      <c r="C361" s="65"/>
      <c r="D361" s="118"/>
      <c r="E361" s="66"/>
      <c r="U361" s="151"/>
      <c r="V361" s="151"/>
      <c r="W361" s="151"/>
      <c r="X361" s="151"/>
      <c r="Y361" s="151"/>
      <c r="Z361" s="151"/>
      <c r="AA361" s="151"/>
      <c r="AB361" s="151"/>
      <c r="AC361" s="151"/>
      <c r="AD361" s="151"/>
      <c r="AE361" s="151"/>
      <c r="AF361" s="151"/>
      <c r="AG361" s="151"/>
      <c r="AH361" s="151"/>
      <c r="AI361" s="151"/>
      <c r="AJ361" s="151"/>
      <c r="AK361" s="151"/>
      <c r="AL361" s="151"/>
      <c r="AM361" s="151"/>
      <c r="AN361" s="151"/>
      <c r="AO361" s="151"/>
      <c r="AP361" s="151"/>
      <c r="AQ361" s="151"/>
      <c r="AR361" s="151"/>
      <c r="AS361" s="151"/>
      <c r="AT361" s="151"/>
      <c r="AU361" s="151"/>
      <c r="AV361" s="151"/>
      <c r="AW361" s="151"/>
      <c r="AX361" s="151"/>
      <c r="AY361" s="151"/>
      <c r="AZ361" s="151"/>
      <c r="BA361" s="151"/>
      <c r="BB361" s="151"/>
      <c r="BC361" s="151"/>
      <c r="BD361" s="151"/>
      <c r="BE361" s="151"/>
      <c r="BF361" s="151"/>
      <c r="BG361" s="151"/>
      <c r="BH361" s="151"/>
      <c r="BI361" s="151"/>
      <c r="BJ361" s="151"/>
      <c r="BK361" s="151"/>
      <c r="BL361" s="122"/>
      <c r="BM361" s="122"/>
      <c r="BN361" s="122"/>
      <c r="BO361" s="122"/>
      <c r="BP361" s="122"/>
      <c r="BQ361" s="122"/>
      <c r="BR361" s="122"/>
    </row>
    <row r="362" spans="1:70" x14ac:dyDescent="0.25">
      <c r="A362" s="63"/>
      <c r="B362" s="65"/>
      <c r="C362" s="65"/>
      <c r="D362" s="118"/>
      <c r="E362" s="66"/>
      <c r="U362" s="151"/>
      <c r="V362" s="151"/>
      <c r="W362" s="151"/>
      <c r="X362" s="151"/>
      <c r="Y362" s="151"/>
      <c r="Z362" s="151"/>
      <c r="AA362" s="151"/>
      <c r="AB362" s="151"/>
      <c r="AC362" s="151"/>
      <c r="AD362" s="151"/>
      <c r="AE362" s="151"/>
      <c r="AF362" s="151"/>
      <c r="AG362" s="151"/>
      <c r="AH362" s="151"/>
      <c r="AI362" s="151"/>
      <c r="AJ362" s="151"/>
      <c r="AK362" s="151"/>
      <c r="AL362" s="151"/>
      <c r="AM362" s="151"/>
      <c r="AN362" s="151"/>
      <c r="AO362" s="151"/>
      <c r="AP362" s="151"/>
      <c r="AQ362" s="151"/>
      <c r="AR362" s="151"/>
      <c r="AS362" s="151"/>
      <c r="AT362" s="151"/>
      <c r="AU362" s="151"/>
      <c r="AV362" s="151"/>
      <c r="AW362" s="151"/>
      <c r="AX362" s="151"/>
      <c r="AY362" s="151"/>
      <c r="AZ362" s="151"/>
      <c r="BA362" s="151"/>
      <c r="BB362" s="151"/>
      <c r="BC362" s="151"/>
      <c r="BD362" s="151"/>
      <c r="BE362" s="151"/>
      <c r="BF362" s="151"/>
      <c r="BG362" s="151"/>
      <c r="BH362" s="151"/>
      <c r="BI362" s="151"/>
      <c r="BJ362" s="151"/>
      <c r="BK362" s="151"/>
      <c r="BL362" s="122"/>
      <c r="BM362" s="122"/>
      <c r="BN362" s="122"/>
      <c r="BO362" s="122"/>
      <c r="BP362" s="122"/>
      <c r="BQ362" s="122"/>
      <c r="BR362" s="122"/>
    </row>
    <row r="363" spans="1:70" x14ac:dyDescent="0.25">
      <c r="A363" s="63"/>
      <c r="B363" s="65"/>
      <c r="C363" s="65"/>
      <c r="D363" s="118"/>
      <c r="E363" s="66"/>
      <c r="U363" s="151"/>
      <c r="V363" s="151"/>
      <c r="W363" s="151"/>
      <c r="X363" s="151"/>
      <c r="Y363" s="151"/>
      <c r="Z363" s="151"/>
      <c r="AA363" s="151"/>
      <c r="AB363" s="151"/>
      <c r="AC363" s="151"/>
      <c r="AD363" s="151"/>
      <c r="AE363" s="151"/>
      <c r="AF363" s="151"/>
      <c r="AG363" s="151"/>
      <c r="AH363" s="151"/>
      <c r="AI363" s="151"/>
      <c r="AJ363" s="151"/>
      <c r="AK363" s="151"/>
      <c r="AL363" s="151"/>
      <c r="AM363" s="151"/>
      <c r="AN363" s="151"/>
      <c r="AO363" s="151"/>
      <c r="AP363" s="151"/>
      <c r="AQ363" s="151"/>
      <c r="AR363" s="151"/>
      <c r="AS363" s="151"/>
      <c r="AT363" s="151"/>
      <c r="AU363" s="151"/>
      <c r="AV363" s="151"/>
      <c r="AW363" s="151"/>
      <c r="AX363" s="151"/>
      <c r="AY363" s="151"/>
      <c r="AZ363" s="151"/>
      <c r="BA363" s="151"/>
      <c r="BB363" s="151"/>
      <c r="BC363" s="151"/>
      <c r="BD363" s="151"/>
      <c r="BE363" s="151"/>
      <c r="BF363" s="151"/>
      <c r="BG363" s="151"/>
      <c r="BH363" s="151"/>
      <c r="BI363" s="151"/>
      <c r="BJ363" s="151"/>
      <c r="BK363" s="151"/>
      <c r="BL363" s="122"/>
      <c r="BM363" s="122"/>
      <c r="BN363" s="122"/>
      <c r="BO363" s="122"/>
      <c r="BP363" s="122"/>
      <c r="BQ363" s="122"/>
      <c r="BR363" s="122"/>
    </row>
    <row r="364" spans="1:70" x14ac:dyDescent="0.25">
      <c r="A364" s="63"/>
      <c r="B364" s="65"/>
      <c r="C364" s="65"/>
      <c r="D364" s="118"/>
      <c r="E364" s="66"/>
      <c r="U364" s="151"/>
      <c r="V364" s="151"/>
      <c r="W364" s="151"/>
      <c r="X364" s="151"/>
      <c r="Y364" s="151"/>
      <c r="Z364" s="151"/>
      <c r="AA364" s="151"/>
      <c r="AB364" s="151"/>
      <c r="AC364" s="151"/>
      <c r="AD364" s="151"/>
      <c r="AE364" s="151"/>
      <c r="AF364" s="151"/>
      <c r="AG364" s="151"/>
      <c r="AH364" s="151"/>
      <c r="AI364" s="151"/>
      <c r="AJ364" s="151"/>
      <c r="AK364" s="151"/>
      <c r="AL364" s="151"/>
      <c r="AM364" s="151"/>
      <c r="AN364" s="151"/>
      <c r="AO364" s="151"/>
      <c r="AP364" s="151"/>
      <c r="AQ364" s="151"/>
      <c r="AR364" s="151"/>
      <c r="AS364" s="151"/>
      <c r="AT364" s="151"/>
      <c r="AU364" s="151"/>
      <c r="AV364" s="151"/>
      <c r="AW364" s="151"/>
      <c r="AX364" s="151"/>
      <c r="AY364" s="151"/>
      <c r="AZ364" s="151"/>
      <c r="BA364" s="151"/>
      <c r="BB364" s="151"/>
      <c r="BC364" s="151"/>
      <c r="BD364" s="151"/>
      <c r="BE364" s="151"/>
      <c r="BF364" s="151"/>
      <c r="BG364" s="151"/>
      <c r="BH364" s="151"/>
      <c r="BI364" s="151"/>
      <c r="BJ364" s="151"/>
      <c r="BK364" s="151"/>
      <c r="BL364" s="122"/>
      <c r="BM364" s="122"/>
      <c r="BN364" s="122"/>
      <c r="BO364" s="122"/>
      <c r="BP364" s="122"/>
      <c r="BQ364" s="122"/>
      <c r="BR364" s="122"/>
    </row>
    <row r="365" spans="1:70" x14ac:dyDescent="0.25">
      <c r="A365" s="63"/>
      <c r="B365" s="65"/>
      <c r="C365" s="65"/>
      <c r="D365" s="118"/>
      <c r="E365" s="66"/>
      <c r="U365" s="151"/>
      <c r="V365" s="151"/>
      <c r="W365" s="151"/>
      <c r="X365" s="151"/>
      <c r="Y365" s="151"/>
      <c r="Z365" s="151"/>
      <c r="AA365" s="151"/>
      <c r="AB365" s="151"/>
      <c r="AC365" s="151"/>
      <c r="AD365" s="151"/>
      <c r="AE365" s="151"/>
      <c r="AF365" s="151"/>
      <c r="AG365" s="151"/>
      <c r="AH365" s="151"/>
      <c r="AI365" s="151"/>
      <c r="AJ365" s="151"/>
      <c r="AK365" s="151"/>
      <c r="AL365" s="151"/>
      <c r="AM365" s="151"/>
      <c r="AN365" s="151"/>
      <c r="AO365" s="151"/>
      <c r="AP365" s="151"/>
      <c r="AQ365" s="151"/>
      <c r="AR365" s="151"/>
      <c r="AS365" s="151"/>
      <c r="AT365" s="151"/>
      <c r="AU365" s="151"/>
      <c r="AV365" s="151"/>
      <c r="AW365" s="151"/>
      <c r="AX365" s="151"/>
      <c r="AY365" s="151"/>
      <c r="AZ365" s="151"/>
      <c r="BA365" s="151"/>
      <c r="BB365" s="151"/>
      <c r="BC365" s="151"/>
      <c r="BD365" s="151"/>
      <c r="BE365" s="151"/>
      <c r="BF365" s="151"/>
      <c r="BG365" s="151"/>
      <c r="BH365" s="151"/>
      <c r="BI365" s="151"/>
      <c r="BJ365" s="151"/>
      <c r="BK365" s="151"/>
      <c r="BL365" s="122"/>
      <c r="BM365" s="122"/>
      <c r="BN365" s="122"/>
      <c r="BO365" s="122"/>
      <c r="BP365" s="122"/>
      <c r="BQ365" s="122"/>
      <c r="BR365" s="122"/>
    </row>
    <row r="366" spans="1:70" x14ac:dyDescent="0.25">
      <c r="A366" s="63"/>
      <c r="B366" s="65"/>
      <c r="C366" s="65"/>
      <c r="D366" s="118"/>
      <c r="E366" s="66"/>
      <c r="U366" s="151"/>
      <c r="V366" s="151"/>
      <c r="W366" s="151"/>
      <c r="X366" s="151"/>
      <c r="Y366" s="151"/>
      <c r="Z366" s="151"/>
      <c r="AA366" s="151"/>
      <c r="AB366" s="151"/>
      <c r="AC366" s="151"/>
      <c r="AD366" s="151"/>
      <c r="AE366" s="151"/>
      <c r="AF366" s="151"/>
      <c r="AG366" s="151"/>
      <c r="AH366" s="151"/>
      <c r="AI366" s="151"/>
      <c r="AJ366" s="151"/>
      <c r="AK366" s="151"/>
      <c r="AL366" s="151"/>
      <c r="AM366" s="151"/>
      <c r="AN366" s="151"/>
      <c r="AO366" s="151"/>
      <c r="AP366" s="151"/>
      <c r="AQ366" s="151"/>
      <c r="AR366" s="151"/>
      <c r="AS366" s="151"/>
      <c r="AT366" s="151"/>
      <c r="AU366" s="151"/>
      <c r="AV366" s="151"/>
      <c r="AW366" s="151"/>
      <c r="AX366" s="151"/>
      <c r="AY366" s="151"/>
      <c r="AZ366" s="151"/>
      <c r="BA366" s="151"/>
      <c r="BB366" s="151"/>
      <c r="BC366" s="151"/>
      <c r="BD366" s="151"/>
      <c r="BE366" s="151"/>
      <c r="BF366" s="151"/>
      <c r="BG366" s="151"/>
      <c r="BH366" s="151"/>
      <c r="BI366" s="151"/>
      <c r="BJ366" s="151"/>
      <c r="BK366" s="151"/>
      <c r="BL366" s="122"/>
      <c r="BM366" s="122"/>
      <c r="BN366" s="122"/>
      <c r="BO366" s="122"/>
      <c r="BP366" s="122"/>
      <c r="BQ366" s="122"/>
      <c r="BR366" s="122"/>
    </row>
    <row r="367" spans="1:70" x14ac:dyDescent="0.25">
      <c r="A367" s="63"/>
      <c r="B367" s="65"/>
      <c r="C367" s="65"/>
      <c r="D367" s="118"/>
      <c r="E367" s="66"/>
      <c r="U367" s="151"/>
      <c r="V367" s="151"/>
      <c r="W367" s="151"/>
      <c r="X367" s="151"/>
      <c r="Y367" s="151"/>
      <c r="Z367" s="151"/>
      <c r="AA367" s="151"/>
      <c r="AB367" s="151"/>
      <c r="AC367" s="151"/>
      <c r="AD367" s="151"/>
      <c r="AE367" s="151"/>
      <c r="AF367" s="151"/>
      <c r="AG367" s="151"/>
      <c r="AH367" s="151"/>
      <c r="AI367" s="151"/>
      <c r="AJ367" s="151"/>
      <c r="AK367" s="151"/>
      <c r="AL367" s="151"/>
      <c r="AM367" s="151"/>
      <c r="AN367" s="151"/>
      <c r="AO367" s="151"/>
      <c r="AP367" s="151"/>
      <c r="AQ367" s="151"/>
      <c r="AR367" s="151"/>
      <c r="AS367" s="151"/>
      <c r="AT367" s="151"/>
      <c r="AU367" s="151"/>
      <c r="AV367" s="151"/>
      <c r="AW367" s="151"/>
      <c r="AX367" s="151"/>
      <c r="AY367" s="151"/>
      <c r="AZ367" s="151"/>
      <c r="BA367" s="151"/>
      <c r="BB367" s="151"/>
      <c r="BC367" s="151"/>
      <c r="BD367" s="151"/>
      <c r="BE367" s="151"/>
      <c r="BF367" s="151"/>
      <c r="BG367" s="151"/>
      <c r="BH367" s="151"/>
      <c r="BI367" s="151"/>
      <c r="BJ367" s="151"/>
      <c r="BK367" s="151"/>
      <c r="BL367" s="122"/>
      <c r="BM367" s="122"/>
      <c r="BN367" s="122"/>
      <c r="BO367" s="122"/>
      <c r="BP367" s="122"/>
      <c r="BQ367" s="122"/>
      <c r="BR367" s="122"/>
    </row>
    <row r="368" spans="1:70" x14ac:dyDescent="0.25">
      <c r="A368" s="63"/>
      <c r="B368" s="65"/>
      <c r="C368" s="65"/>
      <c r="D368" s="118"/>
      <c r="E368" s="66"/>
      <c r="U368" s="151"/>
      <c r="V368" s="151"/>
      <c r="W368" s="151"/>
      <c r="X368" s="151"/>
      <c r="Y368" s="151"/>
      <c r="Z368" s="151"/>
      <c r="AA368" s="151"/>
      <c r="AB368" s="151"/>
      <c r="AC368" s="151"/>
      <c r="AD368" s="151"/>
      <c r="AE368" s="151"/>
      <c r="AF368" s="151"/>
      <c r="AG368" s="151"/>
      <c r="AH368" s="151"/>
      <c r="AI368" s="151"/>
      <c r="AJ368" s="151"/>
      <c r="AK368" s="151"/>
      <c r="AL368" s="151"/>
      <c r="AM368" s="151"/>
      <c r="AN368" s="151"/>
      <c r="AO368" s="151"/>
      <c r="AP368" s="151"/>
      <c r="AQ368" s="151"/>
      <c r="AR368" s="151"/>
      <c r="AS368" s="151"/>
      <c r="AT368" s="151"/>
      <c r="AU368" s="151"/>
      <c r="AV368" s="151"/>
      <c r="AW368" s="151"/>
      <c r="AX368" s="151"/>
      <c r="AY368" s="151"/>
      <c r="AZ368" s="151"/>
      <c r="BA368" s="151"/>
      <c r="BB368" s="151"/>
      <c r="BC368" s="151"/>
      <c r="BD368" s="151"/>
      <c r="BE368" s="151"/>
      <c r="BF368" s="151"/>
      <c r="BG368" s="151"/>
      <c r="BH368" s="151"/>
      <c r="BI368" s="151"/>
      <c r="BJ368" s="151"/>
      <c r="BK368" s="151"/>
      <c r="BL368" s="122"/>
      <c r="BM368" s="122"/>
      <c r="BN368" s="122"/>
      <c r="BO368" s="122"/>
      <c r="BP368" s="122"/>
      <c r="BQ368" s="122"/>
      <c r="BR368" s="122"/>
    </row>
    <row r="369" spans="1:70" x14ac:dyDescent="0.25">
      <c r="A369" s="63"/>
      <c r="B369" s="65"/>
      <c r="C369" s="65"/>
      <c r="D369" s="118"/>
      <c r="E369" s="66"/>
      <c r="U369" s="151"/>
      <c r="V369" s="151"/>
      <c r="W369" s="151"/>
      <c r="X369" s="151"/>
      <c r="Y369" s="151"/>
      <c r="Z369" s="151"/>
      <c r="AA369" s="151"/>
      <c r="AB369" s="151"/>
      <c r="AC369" s="151"/>
      <c r="AD369" s="151"/>
      <c r="AE369" s="151"/>
      <c r="AF369" s="151"/>
      <c r="AG369" s="151"/>
      <c r="AH369" s="151"/>
      <c r="AI369" s="151"/>
      <c r="AJ369" s="151"/>
      <c r="AK369" s="151"/>
      <c r="AL369" s="151"/>
      <c r="AM369" s="151"/>
      <c r="AN369" s="151"/>
      <c r="AO369" s="151"/>
      <c r="AP369" s="151"/>
      <c r="AQ369" s="151"/>
      <c r="AR369" s="151"/>
      <c r="AS369" s="151"/>
      <c r="AT369" s="151"/>
      <c r="AU369" s="151"/>
      <c r="AV369" s="151"/>
      <c r="AW369" s="151"/>
      <c r="AX369" s="151"/>
      <c r="AY369" s="151"/>
      <c r="AZ369" s="151"/>
      <c r="BA369" s="151"/>
      <c r="BB369" s="151"/>
      <c r="BC369" s="151"/>
      <c r="BD369" s="151"/>
      <c r="BE369" s="151"/>
      <c r="BF369" s="151"/>
      <c r="BG369" s="151"/>
      <c r="BH369" s="151"/>
      <c r="BI369" s="151"/>
      <c r="BJ369" s="151"/>
      <c r="BK369" s="151"/>
      <c r="BL369" s="122"/>
      <c r="BM369" s="122"/>
      <c r="BN369" s="122"/>
      <c r="BO369" s="122"/>
      <c r="BP369" s="122"/>
      <c r="BQ369" s="122"/>
      <c r="BR369" s="122"/>
    </row>
    <row r="370" spans="1:70" x14ac:dyDescent="0.25">
      <c r="A370" s="63"/>
      <c r="B370" s="65"/>
      <c r="C370" s="65"/>
      <c r="D370" s="118"/>
      <c r="E370" s="66"/>
      <c r="U370" s="151"/>
      <c r="V370" s="151"/>
      <c r="W370" s="151"/>
      <c r="X370" s="151"/>
      <c r="Y370" s="151"/>
      <c r="Z370" s="151"/>
      <c r="AA370" s="151"/>
      <c r="AB370" s="151"/>
      <c r="AC370" s="151"/>
      <c r="AD370" s="151"/>
      <c r="AE370" s="151"/>
      <c r="AF370" s="151"/>
      <c r="AG370" s="151"/>
      <c r="AH370" s="151"/>
      <c r="AI370" s="151"/>
      <c r="AJ370" s="151"/>
      <c r="AK370" s="151"/>
      <c r="AL370" s="151"/>
      <c r="AM370" s="151"/>
      <c r="AN370" s="151"/>
      <c r="AO370" s="151"/>
      <c r="AP370" s="151"/>
      <c r="AQ370" s="151"/>
      <c r="AR370" s="151"/>
      <c r="AS370" s="151"/>
      <c r="AT370" s="151"/>
      <c r="AU370" s="151"/>
      <c r="AV370" s="151"/>
      <c r="AW370" s="151"/>
      <c r="AX370" s="151"/>
      <c r="AY370" s="151"/>
      <c r="AZ370" s="151"/>
      <c r="BA370" s="151"/>
      <c r="BB370" s="151"/>
      <c r="BC370" s="151"/>
      <c r="BD370" s="151"/>
      <c r="BE370" s="151"/>
      <c r="BF370" s="151"/>
      <c r="BG370" s="151"/>
      <c r="BH370" s="151"/>
      <c r="BI370" s="151"/>
      <c r="BJ370" s="151"/>
      <c r="BK370" s="151"/>
      <c r="BL370" s="122"/>
      <c r="BM370" s="122"/>
      <c r="BN370" s="122"/>
      <c r="BO370" s="122"/>
      <c r="BP370" s="122"/>
      <c r="BQ370" s="122"/>
      <c r="BR370" s="122"/>
    </row>
    <row r="371" spans="1:70" x14ac:dyDescent="0.25">
      <c r="A371" s="63"/>
      <c r="B371" s="65"/>
      <c r="C371" s="65"/>
      <c r="D371" s="118"/>
      <c r="E371" s="66"/>
      <c r="U371" s="151"/>
      <c r="V371" s="151"/>
      <c r="W371" s="151"/>
      <c r="X371" s="151"/>
      <c r="Y371" s="151"/>
      <c r="Z371" s="151"/>
      <c r="AA371" s="151"/>
      <c r="AB371" s="151"/>
      <c r="AC371" s="151"/>
      <c r="AD371" s="151"/>
      <c r="AE371" s="151"/>
      <c r="AF371" s="151"/>
      <c r="AG371" s="151"/>
      <c r="AH371" s="151"/>
      <c r="AI371" s="151"/>
      <c r="AJ371" s="151"/>
      <c r="AK371" s="151"/>
      <c r="AL371" s="151"/>
      <c r="AM371" s="151"/>
      <c r="AN371" s="151"/>
      <c r="AO371" s="151"/>
      <c r="AP371" s="151"/>
      <c r="AQ371" s="151"/>
      <c r="AR371" s="151"/>
      <c r="AS371" s="151"/>
      <c r="AT371" s="151"/>
      <c r="AU371" s="151"/>
      <c r="AV371" s="151"/>
      <c r="AW371" s="151"/>
      <c r="AX371" s="151"/>
      <c r="AY371" s="151"/>
      <c r="AZ371" s="151"/>
      <c r="BA371" s="151"/>
      <c r="BB371" s="151"/>
      <c r="BC371" s="151"/>
      <c r="BD371" s="151"/>
      <c r="BE371" s="151"/>
      <c r="BF371" s="151"/>
      <c r="BG371" s="151"/>
      <c r="BH371" s="151"/>
      <c r="BI371" s="151"/>
      <c r="BJ371" s="151"/>
      <c r="BK371" s="151"/>
      <c r="BL371" s="122"/>
      <c r="BM371" s="122"/>
      <c r="BN371" s="122"/>
      <c r="BO371" s="122"/>
      <c r="BP371" s="122"/>
      <c r="BQ371" s="122"/>
      <c r="BR371" s="122"/>
    </row>
    <row r="372" spans="1:70" x14ac:dyDescent="0.25">
      <c r="A372" s="63"/>
      <c r="B372" s="65"/>
      <c r="C372" s="65"/>
      <c r="D372" s="118"/>
      <c r="E372" s="66"/>
      <c r="U372" s="151"/>
      <c r="V372" s="151"/>
      <c r="W372" s="151"/>
      <c r="X372" s="151"/>
      <c r="Y372" s="151"/>
      <c r="Z372" s="151"/>
      <c r="AA372" s="151"/>
      <c r="AB372" s="151"/>
      <c r="AC372" s="151"/>
      <c r="AD372" s="151"/>
      <c r="AE372" s="151"/>
      <c r="AF372" s="151"/>
      <c r="AG372" s="151"/>
      <c r="AH372" s="151"/>
      <c r="AI372" s="151"/>
      <c r="AJ372" s="151"/>
      <c r="AK372" s="151"/>
      <c r="AL372" s="151"/>
      <c r="AM372" s="151"/>
      <c r="AN372" s="151"/>
      <c r="AO372" s="151"/>
      <c r="AP372" s="151"/>
      <c r="AQ372" s="151"/>
      <c r="AR372" s="151"/>
      <c r="AS372" s="151"/>
      <c r="AT372" s="151"/>
      <c r="AU372" s="151"/>
      <c r="AV372" s="151"/>
      <c r="AW372" s="151"/>
      <c r="AX372" s="151"/>
      <c r="AY372" s="151"/>
      <c r="AZ372" s="151"/>
      <c r="BA372" s="151"/>
      <c r="BB372" s="151"/>
      <c r="BC372" s="151"/>
      <c r="BD372" s="151"/>
      <c r="BE372" s="151"/>
      <c r="BF372" s="151"/>
      <c r="BG372" s="151"/>
      <c r="BH372" s="151"/>
      <c r="BI372" s="151"/>
      <c r="BJ372" s="151"/>
      <c r="BK372" s="151"/>
      <c r="BL372" s="122"/>
      <c r="BM372" s="122"/>
      <c r="BN372" s="122"/>
      <c r="BO372" s="122"/>
      <c r="BP372" s="122"/>
      <c r="BQ372" s="122"/>
      <c r="BR372" s="122"/>
    </row>
    <row r="373" spans="1:70" x14ac:dyDescent="0.25">
      <c r="A373" s="63"/>
      <c r="B373" s="65"/>
      <c r="C373" s="65"/>
      <c r="D373" s="118"/>
      <c r="E373" s="66"/>
      <c r="U373" s="151"/>
      <c r="V373" s="151"/>
      <c r="W373" s="151"/>
      <c r="X373" s="151"/>
      <c r="Y373" s="151"/>
      <c r="Z373" s="151"/>
      <c r="AA373" s="151"/>
      <c r="AB373" s="151"/>
      <c r="AC373" s="151"/>
      <c r="AD373" s="151"/>
      <c r="AE373" s="151"/>
      <c r="AF373" s="151"/>
      <c r="AG373" s="151"/>
      <c r="AH373" s="151"/>
      <c r="AI373" s="151"/>
      <c r="AJ373" s="151"/>
      <c r="AK373" s="151"/>
      <c r="AL373" s="151"/>
      <c r="AM373" s="151"/>
      <c r="AN373" s="151"/>
      <c r="AO373" s="151"/>
      <c r="AP373" s="151"/>
      <c r="AQ373" s="151"/>
      <c r="AR373" s="151"/>
      <c r="AS373" s="151"/>
      <c r="AT373" s="151"/>
      <c r="AU373" s="151"/>
      <c r="AV373" s="151"/>
      <c r="AW373" s="151"/>
      <c r="AX373" s="151"/>
      <c r="AY373" s="151"/>
      <c r="AZ373" s="151"/>
      <c r="BA373" s="151"/>
      <c r="BB373" s="151"/>
      <c r="BC373" s="151"/>
      <c r="BD373" s="151"/>
      <c r="BE373" s="151"/>
      <c r="BF373" s="151"/>
      <c r="BG373" s="151"/>
      <c r="BH373" s="151"/>
      <c r="BI373" s="151"/>
      <c r="BJ373" s="151"/>
      <c r="BK373" s="151"/>
      <c r="BL373" s="122"/>
      <c r="BM373" s="122"/>
      <c r="BN373" s="122"/>
      <c r="BO373" s="122"/>
      <c r="BP373" s="122"/>
      <c r="BQ373" s="122"/>
      <c r="BR373" s="122"/>
    </row>
    <row r="374" spans="1:70" x14ac:dyDescent="0.25">
      <c r="A374" s="63"/>
      <c r="B374" s="65"/>
      <c r="C374" s="65"/>
      <c r="D374" s="118"/>
      <c r="E374" s="66"/>
      <c r="U374" s="151"/>
      <c r="V374" s="151"/>
      <c r="W374" s="151"/>
      <c r="X374" s="151"/>
      <c r="Y374" s="151"/>
      <c r="Z374" s="151"/>
      <c r="AA374" s="151"/>
      <c r="AB374" s="151"/>
      <c r="AC374" s="151"/>
      <c r="AD374" s="151"/>
      <c r="AE374" s="151"/>
      <c r="AF374" s="151"/>
      <c r="AG374" s="151"/>
      <c r="AH374" s="151"/>
      <c r="AI374" s="151"/>
      <c r="AJ374" s="151"/>
      <c r="AK374" s="151"/>
      <c r="AL374" s="151"/>
      <c r="AM374" s="151"/>
      <c r="AN374" s="151"/>
      <c r="AO374" s="151"/>
      <c r="AP374" s="151"/>
      <c r="AQ374" s="151"/>
      <c r="AR374" s="151"/>
      <c r="AS374" s="151"/>
      <c r="AT374" s="151"/>
      <c r="AU374" s="151"/>
      <c r="AV374" s="151"/>
      <c r="AW374" s="151"/>
      <c r="AX374" s="151"/>
      <c r="AY374" s="151"/>
      <c r="AZ374" s="151"/>
      <c r="BA374" s="151"/>
      <c r="BB374" s="151"/>
      <c r="BC374" s="151"/>
      <c r="BD374" s="151"/>
      <c r="BE374" s="151"/>
      <c r="BF374" s="151"/>
      <c r="BG374" s="151"/>
      <c r="BH374" s="151"/>
      <c r="BI374" s="151"/>
      <c r="BJ374" s="151"/>
      <c r="BK374" s="151"/>
      <c r="BL374" s="122"/>
      <c r="BM374" s="122"/>
      <c r="BN374" s="122"/>
      <c r="BO374" s="122"/>
      <c r="BP374" s="122"/>
      <c r="BQ374" s="122"/>
      <c r="BR374" s="122"/>
    </row>
    <row r="375" spans="1:70" x14ac:dyDescent="0.25">
      <c r="A375" s="63"/>
      <c r="B375" s="65"/>
      <c r="C375" s="65"/>
      <c r="D375" s="118"/>
      <c r="E375" s="66"/>
      <c r="U375" s="151"/>
      <c r="V375" s="151"/>
      <c r="W375" s="151"/>
      <c r="X375" s="151"/>
      <c r="Y375" s="151"/>
      <c r="Z375" s="151"/>
      <c r="AA375" s="151"/>
      <c r="AB375" s="151"/>
      <c r="AC375" s="151"/>
      <c r="AD375" s="151"/>
      <c r="AE375" s="151"/>
      <c r="AF375" s="151"/>
      <c r="AG375" s="151"/>
      <c r="AH375" s="151"/>
      <c r="AI375" s="151"/>
      <c r="AJ375" s="151"/>
      <c r="AK375" s="151"/>
      <c r="AL375" s="151"/>
      <c r="AM375" s="151"/>
      <c r="AN375" s="151"/>
      <c r="AO375" s="151"/>
      <c r="AP375" s="151"/>
      <c r="AQ375" s="151"/>
      <c r="AR375" s="151"/>
      <c r="AS375" s="151"/>
      <c r="AT375" s="151"/>
      <c r="AU375" s="151"/>
      <c r="AV375" s="151"/>
      <c r="AW375" s="151"/>
      <c r="AX375" s="151"/>
      <c r="AY375" s="151"/>
      <c r="AZ375" s="151"/>
      <c r="BA375" s="151"/>
      <c r="BB375" s="151"/>
      <c r="BC375" s="151"/>
      <c r="BD375" s="151"/>
      <c r="BE375" s="151"/>
      <c r="BF375" s="151"/>
      <c r="BG375" s="151"/>
      <c r="BH375" s="151"/>
      <c r="BI375" s="151"/>
      <c r="BJ375" s="151"/>
      <c r="BK375" s="151"/>
      <c r="BL375" s="122"/>
      <c r="BM375" s="122"/>
      <c r="BN375" s="122"/>
      <c r="BO375" s="122"/>
      <c r="BP375" s="122"/>
      <c r="BQ375" s="122"/>
      <c r="BR375" s="122"/>
    </row>
    <row r="376" spans="1:70" x14ac:dyDescent="0.25">
      <c r="A376" s="63"/>
      <c r="B376" s="65"/>
      <c r="C376" s="65"/>
      <c r="D376" s="118"/>
      <c r="E376" s="66"/>
      <c r="U376" s="151"/>
      <c r="V376" s="151"/>
      <c r="W376" s="151"/>
      <c r="X376" s="151"/>
      <c r="Y376" s="151"/>
      <c r="Z376" s="151"/>
      <c r="AA376" s="151"/>
      <c r="AB376" s="151"/>
      <c r="AC376" s="151"/>
      <c r="AD376" s="151"/>
      <c r="AE376" s="151"/>
      <c r="AF376" s="151"/>
      <c r="AG376" s="151"/>
      <c r="AH376" s="151"/>
      <c r="AI376" s="151"/>
      <c r="AJ376" s="151"/>
      <c r="AK376" s="151"/>
      <c r="AL376" s="151"/>
      <c r="AM376" s="151"/>
      <c r="AN376" s="151"/>
      <c r="AO376" s="151"/>
      <c r="AP376" s="151"/>
      <c r="AQ376" s="151"/>
      <c r="AR376" s="151"/>
      <c r="AS376" s="151"/>
      <c r="AT376" s="151"/>
      <c r="AU376" s="151"/>
      <c r="AV376" s="151"/>
      <c r="AW376" s="151"/>
      <c r="AX376" s="151"/>
      <c r="AY376" s="151"/>
      <c r="AZ376" s="151"/>
      <c r="BA376" s="151"/>
      <c r="BB376" s="151"/>
      <c r="BC376" s="151"/>
      <c r="BD376" s="151"/>
      <c r="BE376" s="151"/>
      <c r="BF376" s="151"/>
      <c r="BG376" s="151"/>
      <c r="BH376" s="151"/>
      <c r="BI376" s="151"/>
      <c r="BJ376" s="151"/>
      <c r="BK376" s="151"/>
      <c r="BL376" s="122"/>
      <c r="BM376" s="122"/>
      <c r="BN376" s="122"/>
      <c r="BO376" s="122"/>
      <c r="BP376" s="122"/>
      <c r="BQ376" s="122"/>
      <c r="BR376" s="122"/>
    </row>
    <row r="377" spans="1:70" x14ac:dyDescent="0.25">
      <c r="A377" s="63"/>
      <c r="B377" s="65"/>
      <c r="C377" s="65"/>
      <c r="D377" s="118"/>
      <c r="E377" s="66"/>
      <c r="U377" s="151"/>
      <c r="V377" s="151"/>
      <c r="W377" s="151"/>
      <c r="X377" s="151"/>
      <c r="Y377" s="151"/>
      <c r="Z377" s="151"/>
      <c r="AA377" s="151"/>
      <c r="AB377" s="151"/>
      <c r="AC377" s="151"/>
      <c r="AD377" s="151"/>
      <c r="AE377" s="151"/>
      <c r="AF377" s="151"/>
      <c r="AG377" s="151"/>
      <c r="AH377" s="151"/>
      <c r="AI377" s="151"/>
      <c r="AJ377" s="151"/>
      <c r="AK377" s="151"/>
      <c r="AL377" s="151"/>
      <c r="AM377" s="151"/>
      <c r="AN377" s="151"/>
      <c r="AO377" s="151"/>
      <c r="AP377" s="151"/>
      <c r="AQ377" s="151"/>
      <c r="AR377" s="151"/>
      <c r="AS377" s="151"/>
      <c r="AT377" s="151"/>
      <c r="AU377" s="151"/>
      <c r="AV377" s="151"/>
      <c r="AW377" s="151"/>
      <c r="AX377" s="151"/>
      <c r="AY377" s="151"/>
      <c r="AZ377" s="151"/>
      <c r="BA377" s="151"/>
      <c r="BB377" s="151"/>
      <c r="BC377" s="151"/>
      <c r="BD377" s="151"/>
      <c r="BE377" s="151"/>
      <c r="BF377" s="151"/>
      <c r="BG377" s="151"/>
      <c r="BH377" s="151"/>
      <c r="BI377" s="151"/>
      <c r="BJ377" s="151"/>
      <c r="BK377" s="151"/>
      <c r="BL377" s="122"/>
      <c r="BM377" s="122"/>
      <c r="BN377" s="122"/>
      <c r="BO377" s="122"/>
      <c r="BP377" s="122"/>
      <c r="BQ377" s="122"/>
      <c r="BR377" s="122"/>
    </row>
    <row r="378" spans="1:70" x14ac:dyDescent="0.25">
      <c r="A378" s="63"/>
      <c r="B378" s="65"/>
      <c r="C378" s="65"/>
      <c r="D378" s="118"/>
      <c r="E378" s="66"/>
      <c r="U378" s="151"/>
      <c r="V378" s="151"/>
      <c r="W378" s="151"/>
      <c r="X378" s="151"/>
      <c r="Y378" s="151"/>
      <c r="Z378" s="151"/>
      <c r="AA378" s="151"/>
      <c r="AB378" s="151"/>
      <c r="AC378" s="151"/>
      <c r="AD378" s="151"/>
      <c r="AE378" s="151"/>
      <c r="AF378" s="151"/>
      <c r="AG378" s="151"/>
      <c r="AH378" s="151"/>
      <c r="AI378" s="151"/>
      <c r="AJ378" s="151"/>
      <c r="AK378" s="151"/>
      <c r="AL378" s="151"/>
      <c r="AM378" s="151"/>
      <c r="AN378" s="151"/>
      <c r="AO378" s="151"/>
      <c r="AP378" s="151"/>
      <c r="AQ378" s="151"/>
      <c r="AR378" s="151"/>
      <c r="AS378" s="151"/>
      <c r="AT378" s="151"/>
      <c r="AU378" s="151"/>
      <c r="AV378" s="151"/>
      <c r="AW378" s="151"/>
      <c r="AX378" s="151"/>
      <c r="AY378" s="151"/>
      <c r="AZ378" s="151"/>
      <c r="BA378" s="151"/>
      <c r="BB378" s="151"/>
      <c r="BC378" s="151"/>
      <c r="BD378" s="151"/>
      <c r="BE378" s="151"/>
      <c r="BF378" s="151"/>
      <c r="BG378" s="151"/>
      <c r="BH378" s="151"/>
      <c r="BI378" s="151"/>
      <c r="BJ378" s="151"/>
      <c r="BK378" s="151"/>
      <c r="BL378" s="122"/>
      <c r="BM378" s="122"/>
      <c r="BN378" s="122"/>
      <c r="BO378" s="122"/>
      <c r="BP378" s="122"/>
      <c r="BQ378" s="122"/>
      <c r="BR378" s="122"/>
    </row>
    <row r="379" spans="1:70" x14ac:dyDescent="0.25">
      <c r="A379" s="63"/>
      <c r="B379" s="65"/>
      <c r="C379" s="65"/>
      <c r="D379" s="118"/>
      <c r="E379" s="66"/>
      <c r="U379" s="151"/>
      <c r="V379" s="151"/>
      <c r="W379" s="151"/>
      <c r="X379" s="151"/>
      <c r="Y379" s="151"/>
      <c r="Z379" s="151"/>
      <c r="AA379" s="151"/>
      <c r="AB379" s="151"/>
      <c r="AC379" s="151"/>
      <c r="AD379" s="151"/>
      <c r="AE379" s="151"/>
      <c r="AF379" s="151"/>
      <c r="AG379" s="151"/>
      <c r="AH379" s="151"/>
      <c r="AI379" s="151"/>
      <c r="AJ379" s="151"/>
      <c r="AK379" s="151"/>
      <c r="AL379" s="151"/>
      <c r="AM379" s="151"/>
      <c r="AN379" s="151"/>
      <c r="AO379" s="151"/>
      <c r="AP379" s="151"/>
      <c r="AQ379" s="151"/>
      <c r="AR379" s="151"/>
      <c r="AS379" s="151"/>
      <c r="AT379" s="151"/>
      <c r="AU379" s="151"/>
      <c r="AV379" s="151"/>
      <c r="AW379" s="151"/>
      <c r="AX379" s="151"/>
      <c r="AY379" s="151"/>
      <c r="AZ379" s="151"/>
      <c r="BA379" s="151"/>
      <c r="BB379" s="151"/>
      <c r="BC379" s="151"/>
      <c r="BD379" s="151"/>
      <c r="BE379" s="151"/>
      <c r="BF379" s="151"/>
      <c r="BG379" s="151"/>
      <c r="BH379" s="151"/>
      <c r="BI379" s="151"/>
      <c r="BJ379" s="151"/>
      <c r="BK379" s="151"/>
      <c r="BL379" s="122"/>
      <c r="BM379" s="122"/>
      <c r="BN379" s="122"/>
      <c r="BO379" s="122"/>
      <c r="BP379" s="122"/>
      <c r="BQ379" s="122"/>
      <c r="BR379" s="122"/>
    </row>
    <row r="380" spans="1:70" x14ac:dyDescent="0.25">
      <c r="A380" s="63"/>
      <c r="B380" s="65"/>
      <c r="C380" s="65"/>
      <c r="D380" s="118"/>
      <c r="E380" s="66"/>
      <c r="U380" s="151"/>
      <c r="V380" s="151"/>
      <c r="W380" s="151"/>
      <c r="X380" s="151"/>
      <c r="Y380" s="151"/>
      <c r="Z380" s="151"/>
      <c r="AA380" s="151"/>
      <c r="AB380" s="151"/>
      <c r="AC380" s="151"/>
      <c r="AD380" s="151"/>
      <c r="AE380" s="151"/>
      <c r="AF380" s="151"/>
      <c r="AG380" s="151"/>
      <c r="AH380" s="151"/>
      <c r="AI380" s="151"/>
      <c r="AJ380" s="151"/>
      <c r="AK380" s="151"/>
      <c r="AL380" s="151"/>
      <c r="AM380" s="151"/>
      <c r="AN380" s="151"/>
      <c r="AO380" s="151"/>
      <c r="AP380" s="151"/>
      <c r="AQ380" s="151"/>
      <c r="AR380" s="151"/>
      <c r="AS380" s="151"/>
      <c r="AT380" s="151"/>
      <c r="AU380" s="151"/>
      <c r="AV380" s="151"/>
      <c r="AW380" s="151"/>
      <c r="AX380" s="151"/>
      <c r="AY380" s="151"/>
      <c r="AZ380" s="151"/>
      <c r="BA380" s="151"/>
      <c r="BB380" s="151"/>
      <c r="BC380" s="151"/>
      <c r="BD380" s="151"/>
      <c r="BE380" s="151"/>
      <c r="BF380" s="151"/>
      <c r="BG380" s="151"/>
      <c r="BH380" s="151"/>
      <c r="BI380" s="151"/>
      <c r="BJ380" s="151"/>
      <c r="BK380" s="151"/>
      <c r="BL380" s="122"/>
      <c r="BM380" s="122"/>
      <c r="BN380" s="122"/>
      <c r="BO380" s="122"/>
      <c r="BP380" s="122"/>
      <c r="BQ380" s="122"/>
      <c r="BR380" s="122"/>
    </row>
    <row r="381" spans="1:70" x14ac:dyDescent="0.25">
      <c r="A381" s="63"/>
      <c r="B381" s="65"/>
      <c r="C381" s="65"/>
      <c r="D381" s="118"/>
      <c r="E381" s="66"/>
      <c r="U381" s="151"/>
      <c r="V381" s="151"/>
      <c r="W381" s="151"/>
      <c r="X381" s="151"/>
      <c r="Y381" s="151"/>
      <c r="Z381" s="151"/>
      <c r="AA381" s="151"/>
      <c r="AB381" s="151"/>
      <c r="AC381" s="151"/>
      <c r="AD381" s="151"/>
      <c r="AE381" s="151"/>
      <c r="AF381" s="151"/>
      <c r="AG381" s="151"/>
      <c r="AH381" s="151"/>
      <c r="AI381" s="151"/>
      <c r="AJ381" s="151"/>
      <c r="AK381" s="151"/>
      <c r="AL381" s="151"/>
      <c r="AM381" s="151"/>
      <c r="AN381" s="151"/>
      <c r="AO381" s="151"/>
      <c r="AP381" s="151"/>
      <c r="AQ381" s="151"/>
      <c r="AR381" s="151"/>
      <c r="AS381" s="151"/>
      <c r="AT381" s="151"/>
      <c r="AU381" s="151"/>
      <c r="AV381" s="151"/>
      <c r="AW381" s="151"/>
      <c r="AX381" s="151"/>
      <c r="AY381" s="151"/>
      <c r="AZ381" s="151"/>
      <c r="BA381" s="151"/>
      <c r="BB381" s="151"/>
      <c r="BC381" s="151"/>
      <c r="BD381" s="151"/>
      <c r="BE381" s="151"/>
      <c r="BF381" s="151"/>
      <c r="BG381" s="151"/>
      <c r="BH381" s="151"/>
      <c r="BI381" s="151"/>
      <c r="BJ381" s="151"/>
      <c r="BK381" s="151"/>
      <c r="BL381" s="122"/>
      <c r="BM381" s="122"/>
      <c r="BN381" s="122"/>
      <c r="BO381" s="122"/>
      <c r="BP381" s="122"/>
      <c r="BQ381" s="122"/>
      <c r="BR381" s="122"/>
    </row>
    <row r="382" spans="1:70" x14ac:dyDescent="0.25">
      <c r="A382" s="63"/>
      <c r="B382" s="65"/>
      <c r="C382" s="65"/>
      <c r="D382" s="118"/>
      <c r="E382" s="66"/>
      <c r="U382" s="151"/>
      <c r="V382" s="151"/>
      <c r="W382" s="151"/>
      <c r="X382" s="151"/>
      <c r="Y382" s="151"/>
      <c r="Z382" s="151"/>
      <c r="AA382" s="151"/>
      <c r="AB382" s="151"/>
      <c r="AC382" s="151"/>
      <c r="AD382" s="151"/>
      <c r="AE382" s="151"/>
      <c r="AF382" s="151"/>
      <c r="AG382" s="151"/>
      <c r="AH382" s="151"/>
      <c r="AI382" s="151"/>
      <c r="AJ382" s="151"/>
      <c r="AK382" s="151"/>
      <c r="AL382" s="151"/>
      <c r="AM382" s="151"/>
      <c r="AN382" s="151"/>
      <c r="AO382" s="151"/>
      <c r="AP382" s="151"/>
      <c r="AQ382" s="151"/>
      <c r="AR382" s="151"/>
      <c r="AS382" s="151"/>
      <c r="AT382" s="151"/>
      <c r="AU382" s="151"/>
      <c r="AV382" s="151"/>
      <c r="AW382" s="151"/>
      <c r="AX382" s="151"/>
      <c r="AY382" s="151"/>
      <c r="AZ382" s="151"/>
      <c r="BA382" s="151"/>
      <c r="BB382" s="151"/>
      <c r="BC382" s="151"/>
      <c r="BD382" s="151"/>
      <c r="BE382" s="151"/>
      <c r="BF382" s="151"/>
      <c r="BG382" s="151"/>
      <c r="BH382" s="151"/>
      <c r="BI382" s="151"/>
      <c r="BJ382" s="151"/>
      <c r="BK382" s="151"/>
      <c r="BL382" s="122"/>
      <c r="BM382" s="122"/>
      <c r="BN382" s="122"/>
      <c r="BO382" s="122"/>
      <c r="BP382" s="122"/>
      <c r="BQ382" s="122"/>
      <c r="BR382" s="122"/>
    </row>
    <row r="383" spans="1:70" x14ac:dyDescent="0.25">
      <c r="A383" s="63"/>
      <c r="B383" s="65"/>
      <c r="C383" s="65"/>
      <c r="D383" s="118"/>
      <c r="E383" s="66"/>
      <c r="U383" s="151"/>
      <c r="V383" s="151"/>
      <c r="W383" s="151"/>
      <c r="X383" s="151"/>
      <c r="Y383" s="151"/>
      <c r="Z383" s="151"/>
      <c r="AA383" s="151"/>
      <c r="AB383" s="151"/>
      <c r="AC383" s="151"/>
      <c r="AD383" s="151"/>
      <c r="AE383" s="151"/>
      <c r="AF383" s="151"/>
      <c r="AG383" s="151"/>
      <c r="AH383" s="151"/>
      <c r="AI383" s="151"/>
      <c r="AJ383" s="151"/>
      <c r="AK383" s="151"/>
      <c r="AL383" s="151"/>
      <c r="AM383" s="151"/>
      <c r="AN383" s="151"/>
      <c r="AO383" s="151"/>
      <c r="AP383" s="151"/>
      <c r="AQ383" s="151"/>
      <c r="AR383" s="151"/>
      <c r="AS383" s="151"/>
      <c r="AT383" s="151"/>
      <c r="AU383" s="151"/>
      <c r="AV383" s="151"/>
      <c r="AW383" s="151"/>
      <c r="AX383" s="151"/>
      <c r="AY383" s="151"/>
      <c r="AZ383" s="151"/>
      <c r="BA383" s="151"/>
      <c r="BB383" s="151"/>
      <c r="BC383" s="151"/>
      <c r="BD383" s="151"/>
      <c r="BE383" s="151"/>
      <c r="BF383" s="151"/>
      <c r="BG383" s="151"/>
      <c r="BH383" s="151"/>
      <c r="BI383" s="151"/>
      <c r="BJ383" s="151"/>
      <c r="BK383" s="151"/>
      <c r="BL383" s="122"/>
      <c r="BM383" s="122"/>
      <c r="BN383" s="122"/>
      <c r="BO383" s="122"/>
      <c r="BP383" s="122"/>
      <c r="BQ383" s="122"/>
      <c r="BR383" s="122"/>
    </row>
    <row r="384" spans="1:70" x14ac:dyDescent="0.25">
      <c r="A384" s="63"/>
      <c r="B384" s="65"/>
      <c r="C384" s="65"/>
      <c r="D384" s="118"/>
      <c r="E384" s="66"/>
      <c r="U384" s="151"/>
      <c r="V384" s="151"/>
      <c r="W384" s="151"/>
      <c r="X384" s="151"/>
      <c r="Y384" s="151"/>
      <c r="Z384" s="151"/>
      <c r="AA384" s="151"/>
      <c r="AB384" s="151"/>
      <c r="AC384" s="151"/>
      <c r="AD384" s="151"/>
      <c r="AE384" s="151"/>
      <c r="AF384" s="151"/>
      <c r="AG384" s="151"/>
      <c r="AH384" s="151"/>
      <c r="AI384" s="151"/>
      <c r="AJ384" s="151"/>
      <c r="AK384" s="151"/>
      <c r="AL384" s="151"/>
      <c r="AM384" s="151"/>
      <c r="AN384" s="151"/>
      <c r="AO384" s="151"/>
      <c r="AP384" s="151"/>
      <c r="AQ384" s="151"/>
      <c r="AR384" s="151"/>
      <c r="AS384" s="151"/>
      <c r="AT384" s="151"/>
      <c r="AU384" s="151"/>
      <c r="AV384" s="151"/>
      <c r="AW384" s="151"/>
      <c r="AX384" s="151"/>
      <c r="AY384" s="151"/>
      <c r="AZ384" s="151"/>
      <c r="BA384" s="151"/>
      <c r="BB384" s="151"/>
      <c r="BC384" s="151"/>
      <c r="BD384" s="151"/>
      <c r="BE384" s="151"/>
      <c r="BF384" s="151"/>
      <c r="BG384" s="151"/>
      <c r="BH384" s="151"/>
      <c r="BI384" s="151"/>
      <c r="BJ384" s="151"/>
      <c r="BK384" s="151"/>
      <c r="BL384" s="122"/>
      <c r="BM384" s="122"/>
      <c r="BN384" s="122"/>
      <c r="BO384" s="122"/>
      <c r="BP384" s="122"/>
      <c r="BQ384" s="122"/>
      <c r="BR384" s="122"/>
    </row>
    <row r="385" spans="1:70" x14ac:dyDescent="0.25">
      <c r="A385" s="63"/>
      <c r="B385" s="65"/>
      <c r="C385" s="65"/>
      <c r="D385" s="118"/>
      <c r="E385" s="66"/>
      <c r="U385" s="151"/>
      <c r="V385" s="151"/>
      <c r="W385" s="151"/>
      <c r="X385" s="151"/>
      <c r="Y385" s="151"/>
      <c r="Z385" s="151"/>
      <c r="AA385" s="151"/>
      <c r="AB385" s="151"/>
      <c r="AC385" s="151"/>
      <c r="AD385" s="151"/>
      <c r="AE385" s="151"/>
      <c r="AF385" s="151"/>
      <c r="AG385" s="151"/>
      <c r="AH385" s="151"/>
      <c r="AI385" s="151"/>
      <c r="AJ385" s="151"/>
      <c r="AK385" s="151"/>
      <c r="AL385" s="151"/>
      <c r="AM385" s="151"/>
      <c r="AN385" s="151"/>
      <c r="AO385" s="151"/>
      <c r="AP385" s="151"/>
      <c r="AQ385" s="151"/>
      <c r="AR385" s="151"/>
      <c r="AS385" s="151"/>
      <c r="AT385" s="151"/>
      <c r="AU385" s="151"/>
      <c r="AV385" s="151"/>
      <c r="AW385" s="151"/>
      <c r="AX385" s="151"/>
      <c r="AY385" s="151"/>
      <c r="AZ385" s="151"/>
      <c r="BA385" s="151"/>
      <c r="BB385" s="151"/>
      <c r="BC385" s="151"/>
      <c r="BD385" s="151"/>
      <c r="BE385" s="151"/>
      <c r="BF385" s="151"/>
      <c r="BG385" s="151"/>
      <c r="BH385" s="151"/>
      <c r="BI385" s="151"/>
      <c r="BJ385" s="151"/>
      <c r="BK385" s="151"/>
      <c r="BL385" s="122"/>
      <c r="BM385" s="122"/>
      <c r="BN385" s="122"/>
      <c r="BO385" s="122"/>
      <c r="BP385" s="122"/>
      <c r="BQ385" s="122"/>
      <c r="BR385" s="122"/>
    </row>
    <row r="386" spans="1:70" x14ac:dyDescent="0.25">
      <c r="A386" s="63"/>
      <c r="B386" s="65"/>
      <c r="C386" s="65"/>
      <c r="D386" s="118"/>
      <c r="E386" s="66"/>
      <c r="U386" s="151"/>
      <c r="V386" s="151"/>
      <c r="W386" s="151"/>
      <c r="X386" s="151"/>
      <c r="Y386" s="151"/>
      <c r="Z386" s="151"/>
      <c r="AA386" s="151"/>
      <c r="AB386" s="151"/>
      <c r="AC386" s="151"/>
      <c r="AD386" s="151"/>
      <c r="AE386" s="151"/>
      <c r="AF386" s="151"/>
      <c r="AG386" s="151"/>
      <c r="AH386" s="151"/>
      <c r="AI386" s="151"/>
      <c r="AJ386" s="151"/>
      <c r="AK386" s="151"/>
      <c r="AL386" s="151"/>
      <c r="AM386" s="151"/>
      <c r="AN386" s="151"/>
      <c r="AO386" s="151"/>
      <c r="AP386" s="151"/>
      <c r="AQ386" s="151"/>
      <c r="AR386" s="151"/>
      <c r="AS386" s="151"/>
      <c r="AT386" s="151"/>
      <c r="AU386" s="151"/>
      <c r="AV386" s="151"/>
      <c r="AW386" s="151"/>
      <c r="AX386" s="151"/>
      <c r="AY386" s="151"/>
      <c r="AZ386" s="151"/>
      <c r="BA386" s="151"/>
      <c r="BB386" s="151"/>
      <c r="BC386" s="151"/>
      <c r="BD386" s="151"/>
      <c r="BE386" s="151"/>
      <c r="BF386" s="151"/>
      <c r="BG386" s="151"/>
      <c r="BH386" s="151"/>
      <c r="BI386" s="151"/>
      <c r="BJ386" s="151"/>
      <c r="BK386" s="151"/>
      <c r="BL386" s="122"/>
      <c r="BM386" s="122"/>
      <c r="BN386" s="122"/>
      <c r="BO386" s="122"/>
      <c r="BP386" s="122"/>
      <c r="BQ386" s="122"/>
      <c r="BR386" s="122"/>
    </row>
    <row r="387" spans="1:70" x14ac:dyDescent="0.25">
      <c r="A387" s="63"/>
      <c r="B387" s="65"/>
      <c r="C387" s="65"/>
      <c r="D387" s="118"/>
      <c r="E387" s="66"/>
      <c r="U387" s="151"/>
      <c r="V387" s="151"/>
      <c r="W387" s="151"/>
      <c r="X387" s="151"/>
      <c r="Y387" s="151"/>
      <c r="Z387" s="151"/>
      <c r="AA387" s="151"/>
      <c r="AB387" s="151"/>
      <c r="AC387" s="151"/>
      <c r="AD387" s="151"/>
      <c r="AE387" s="151"/>
      <c r="AF387" s="151"/>
      <c r="AG387" s="151"/>
      <c r="AH387" s="151"/>
      <c r="AI387" s="151"/>
      <c r="AJ387" s="151"/>
      <c r="AK387" s="151"/>
      <c r="AL387" s="151"/>
      <c r="AM387" s="151"/>
      <c r="AN387" s="151"/>
      <c r="AO387" s="151"/>
      <c r="AP387" s="151"/>
      <c r="AQ387" s="151"/>
      <c r="AR387" s="151"/>
      <c r="AS387" s="151"/>
      <c r="AT387" s="151"/>
      <c r="AU387" s="151"/>
      <c r="AV387" s="151"/>
      <c r="AW387" s="151"/>
      <c r="AX387" s="151"/>
      <c r="AY387" s="151"/>
      <c r="AZ387" s="151"/>
      <c r="BA387" s="151"/>
      <c r="BB387" s="151"/>
      <c r="BC387" s="151"/>
      <c r="BD387" s="151"/>
      <c r="BE387" s="151"/>
      <c r="BF387" s="151"/>
      <c r="BG387" s="151"/>
      <c r="BH387" s="151"/>
      <c r="BI387" s="151"/>
      <c r="BJ387" s="151"/>
      <c r="BK387" s="151"/>
      <c r="BL387" s="122"/>
      <c r="BM387" s="122"/>
      <c r="BN387" s="122"/>
      <c r="BO387" s="122"/>
      <c r="BP387" s="122"/>
      <c r="BQ387" s="122"/>
      <c r="BR387" s="122"/>
    </row>
    <row r="388" spans="1:70" x14ac:dyDescent="0.25">
      <c r="A388" s="63"/>
      <c r="B388" s="65"/>
      <c r="C388" s="65"/>
      <c r="D388" s="118"/>
      <c r="E388" s="66"/>
      <c r="U388" s="151"/>
      <c r="V388" s="151"/>
      <c r="W388" s="151"/>
      <c r="X388" s="151"/>
      <c r="Y388" s="151"/>
      <c r="Z388" s="151"/>
      <c r="AA388" s="151"/>
      <c r="AB388" s="151"/>
      <c r="AC388" s="151"/>
      <c r="AD388" s="151"/>
      <c r="AE388" s="151"/>
      <c r="AF388" s="151"/>
      <c r="AG388" s="151"/>
      <c r="AH388" s="151"/>
      <c r="AI388" s="151"/>
      <c r="AJ388" s="151"/>
      <c r="AK388" s="151"/>
      <c r="AL388" s="151"/>
      <c r="AM388" s="151"/>
      <c r="AN388" s="151"/>
      <c r="AO388" s="151"/>
      <c r="AP388" s="151"/>
      <c r="AQ388" s="151"/>
      <c r="AR388" s="151"/>
      <c r="AS388" s="151"/>
      <c r="AT388" s="151"/>
      <c r="AU388" s="151"/>
      <c r="AV388" s="151"/>
      <c r="AW388" s="151"/>
      <c r="AX388" s="151"/>
      <c r="AY388" s="151"/>
      <c r="AZ388" s="151"/>
      <c r="BA388" s="151"/>
      <c r="BB388" s="151"/>
      <c r="BC388" s="151"/>
      <c r="BD388" s="151"/>
      <c r="BE388" s="151"/>
      <c r="BF388" s="151"/>
      <c r="BG388" s="151"/>
      <c r="BH388" s="151"/>
      <c r="BI388" s="151"/>
      <c r="BJ388" s="151"/>
      <c r="BK388" s="151"/>
      <c r="BL388" s="122"/>
      <c r="BM388" s="122"/>
      <c r="BN388" s="122"/>
      <c r="BO388" s="122"/>
      <c r="BP388" s="122"/>
      <c r="BQ388" s="122"/>
      <c r="BR388" s="122"/>
    </row>
    <row r="389" spans="1:70" x14ac:dyDescent="0.25">
      <c r="A389" s="63"/>
      <c r="B389" s="65"/>
      <c r="C389" s="65"/>
      <c r="D389" s="118"/>
      <c r="E389" s="66"/>
      <c r="U389" s="151"/>
      <c r="V389" s="151"/>
      <c r="W389" s="151"/>
      <c r="X389" s="151"/>
      <c r="Y389" s="151"/>
      <c r="Z389" s="151"/>
      <c r="AA389" s="151"/>
      <c r="AB389" s="151"/>
      <c r="AC389" s="151"/>
      <c r="AD389" s="151"/>
      <c r="AE389" s="151"/>
      <c r="AF389" s="151"/>
      <c r="AG389" s="151"/>
      <c r="AH389" s="151"/>
      <c r="AI389" s="151"/>
      <c r="AJ389" s="151"/>
      <c r="AK389" s="151"/>
      <c r="AL389" s="151"/>
      <c r="AM389" s="151"/>
      <c r="AN389" s="151"/>
      <c r="AO389" s="151"/>
      <c r="AP389" s="151"/>
      <c r="AQ389" s="151"/>
      <c r="AR389" s="151"/>
      <c r="AS389" s="151"/>
      <c r="AT389" s="151"/>
      <c r="AU389" s="151"/>
      <c r="AV389" s="151"/>
      <c r="AW389" s="151"/>
      <c r="AX389" s="151"/>
      <c r="AY389" s="151"/>
      <c r="AZ389" s="151"/>
      <c r="BA389" s="151"/>
      <c r="BB389" s="151"/>
      <c r="BC389" s="151"/>
      <c r="BD389" s="151"/>
      <c r="BE389" s="151"/>
      <c r="BF389" s="151"/>
      <c r="BG389" s="151"/>
      <c r="BH389" s="151"/>
      <c r="BI389" s="151"/>
      <c r="BJ389" s="151"/>
      <c r="BK389" s="151"/>
      <c r="BL389" s="122"/>
      <c r="BM389" s="122"/>
      <c r="BN389" s="122"/>
      <c r="BO389" s="122"/>
      <c r="BP389" s="122"/>
      <c r="BQ389" s="122"/>
      <c r="BR389" s="122"/>
    </row>
    <row r="390" spans="1:70" x14ac:dyDescent="0.25">
      <c r="A390" s="63"/>
      <c r="B390" s="65"/>
      <c r="C390" s="65"/>
      <c r="D390" s="118"/>
      <c r="E390" s="66"/>
      <c r="U390" s="151"/>
      <c r="V390" s="151"/>
      <c r="W390" s="151"/>
      <c r="X390" s="151"/>
      <c r="Y390" s="151"/>
      <c r="Z390" s="151"/>
      <c r="AA390" s="151"/>
      <c r="AB390" s="151"/>
      <c r="AC390" s="151"/>
      <c r="AD390" s="151"/>
      <c r="AE390" s="151"/>
      <c r="AF390" s="151"/>
      <c r="AG390" s="151"/>
      <c r="AH390" s="151"/>
      <c r="AI390" s="151"/>
      <c r="AJ390" s="151"/>
      <c r="AK390" s="151"/>
      <c r="AL390" s="151"/>
      <c r="AM390" s="151"/>
      <c r="AN390" s="151"/>
      <c r="AO390" s="151"/>
      <c r="AP390" s="151"/>
      <c r="AQ390" s="151"/>
      <c r="AR390" s="151"/>
      <c r="AS390" s="151"/>
      <c r="AT390" s="151"/>
      <c r="AU390" s="151"/>
      <c r="AV390" s="151"/>
      <c r="AW390" s="151"/>
      <c r="AX390" s="151"/>
      <c r="AY390" s="151"/>
      <c r="AZ390" s="151"/>
      <c r="BA390" s="151"/>
      <c r="BB390" s="151"/>
      <c r="BC390" s="151"/>
      <c r="BD390" s="151"/>
      <c r="BE390" s="151"/>
      <c r="BF390" s="151"/>
      <c r="BG390" s="151"/>
      <c r="BH390" s="151"/>
      <c r="BI390" s="151"/>
      <c r="BJ390" s="151"/>
      <c r="BK390" s="151"/>
      <c r="BL390" s="122"/>
      <c r="BM390" s="122"/>
      <c r="BN390" s="122"/>
      <c r="BO390" s="122"/>
      <c r="BP390" s="122"/>
      <c r="BQ390" s="122"/>
      <c r="BR390" s="122"/>
    </row>
    <row r="391" spans="1:70" x14ac:dyDescent="0.25">
      <c r="A391" s="63"/>
      <c r="B391" s="65"/>
      <c r="C391" s="65"/>
      <c r="D391" s="118"/>
      <c r="E391" s="66"/>
      <c r="U391" s="151"/>
      <c r="V391" s="151"/>
      <c r="W391" s="151"/>
      <c r="X391" s="151"/>
      <c r="Y391" s="151"/>
      <c r="Z391" s="151"/>
      <c r="AA391" s="151"/>
      <c r="AB391" s="151"/>
      <c r="AC391" s="151"/>
      <c r="AD391" s="151"/>
      <c r="AE391" s="151"/>
      <c r="AF391" s="151"/>
      <c r="AG391" s="151"/>
      <c r="AH391" s="151"/>
      <c r="AI391" s="151"/>
      <c r="AJ391" s="151"/>
      <c r="AK391" s="151"/>
      <c r="AL391" s="151"/>
      <c r="AM391" s="151"/>
      <c r="AN391" s="151"/>
      <c r="AO391" s="151"/>
      <c r="AP391" s="151"/>
      <c r="AQ391" s="151"/>
      <c r="AR391" s="151"/>
      <c r="AS391" s="151"/>
      <c r="AT391" s="151"/>
      <c r="AU391" s="151"/>
      <c r="AV391" s="151"/>
      <c r="AW391" s="151"/>
      <c r="AX391" s="151"/>
      <c r="AY391" s="151"/>
      <c r="AZ391" s="151"/>
      <c r="BA391" s="151"/>
      <c r="BB391" s="151"/>
      <c r="BC391" s="151"/>
      <c r="BD391" s="151"/>
      <c r="BE391" s="151"/>
      <c r="BF391" s="151"/>
      <c r="BG391" s="151"/>
      <c r="BH391" s="151"/>
      <c r="BI391" s="151"/>
      <c r="BJ391" s="151"/>
      <c r="BK391" s="151"/>
      <c r="BL391" s="122"/>
      <c r="BM391" s="122"/>
      <c r="BN391" s="122"/>
      <c r="BO391" s="122"/>
      <c r="BP391" s="122"/>
      <c r="BQ391" s="122"/>
      <c r="BR391" s="122"/>
    </row>
    <row r="392" spans="1:70" x14ac:dyDescent="0.25">
      <c r="A392" s="63"/>
      <c r="B392" s="65"/>
      <c r="C392" s="65"/>
      <c r="D392" s="118"/>
      <c r="E392" s="66"/>
      <c r="U392" s="151"/>
      <c r="V392" s="151"/>
      <c r="W392" s="151"/>
      <c r="X392" s="151"/>
      <c r="Y392" s="151"/>
      <c r="Z392" s="151"/>
      <c r="AA392" s="151"/>
      <c r="AB392" s="151"/>
      <c r="AC392" s="151"/>
      <c r="AD392" s="151"/>
      <c r="AE392" s="151"/>
      <c r="AF392" s="151"/>
      <c r="AG392" s="151"/>
      <c r="AH392" s="151"/>
      <c r="AI392" s="151"/>
      <c r="AJ392" s="151"/>
      <c r="AK392" s="151"/>
      <c r="AL392" s="151"/>
      <c r="AM392" s="151"/>
      <c r="AN392" s="151"/>
      <c r="AO392" s="151"/>
      <c r="AP392" s="151"/>
      <c r="AQ392" s="151"/>
      <c r="AR392" s="151"/>
      <c r="AS392" s="151"/>
      <c r="AT392" s="151"/>
      <c r="AU392" s="151"/>
      <c r="AV392" s="151"/>
      <c r="AW392" s="151"/>
      <c r="AX392" s="151"/>
      <c r="AY392" s="151"/>
      <c r="AZ392" s="151"/>
      <c r="BA392" s="151"/>
      <c r="BB392" s="151"/>
      <c r="BC392" s="151"/>
      <c r="BD392" s="151"/>
      <c r="BE392" s="151"/>
      <c r="BF392" s="151"/>
      <c r="BG392" s="151"/>
      <c r="BH392" s="151"/>
      <c r="BI392" s="151"/>
      <c r="BJ392" s="151"/>
      <c r="BK392" s="151"/>
      <c r="BL392" s="122"/>
      <c r="BM392" s="122"/>
      <c r="BN392" s="122"/>
      <c r="BO392" s="122"/>
      <c r="BP392" s="122"/>
      <c r="BQ392" s="122"/>
      <c r="BR392" s="122"/>
    </row>
    <row r="393" spans="1:70" x14ac:dyDescent="0.25">
      <c r="A393" s="63"/>
      <c r="B393" s="65"/>
      <c r="C393" s="65"/>
      <c r="D393" s="118"/>
      <c r="E393" s="66"/>
      <c r="U393" s="151"/>
      <c r="V393" s="151"/>
      <c r="W393" s="151"/>
      <c r="X393" s="151"/>
      <c r="Y393" s="151"/>
      <c r="Z393" s="151"/>
      <c r="AA393" s="151"/>
      <c r="AB393" s="151"/>
      <c r="AC393" s="151"/>
      <c r="AD393" s="151"/>
      <c r="AE393" s="151"/>
      <c r="AF393" s="151"/>
      <c r="AG393" s="151"/>
      <c r="AH393" s="151"/>
      <c r="AI393" s="151"/>
      <c r="AJ393" s="151"/>
      <c r="AK393" s="151"/>
      <c r="AL393" s="151"/>
      <c r="AM393" s="151"/>
      <c r="AN393" s="151"/>
      <c r="AO393" s="151"/>
      <c r="AP393" s="151"/>
      <c r="AQ393" s="151"/>
      <c r="AR393" s="151"/>
      <c r="AS393" s="151"/>
      <c r="AT393" s="151"/>
      <c r="AU393" s="151"/>
      <c r="AV393" s="151"/>
      <c r="AW393" s="151"/>
      <c r="AX393" s="151"/>
      <c r="AY393" s="151"/>
      <c r="AZ393" s="151"/>
      <c r="BA393" s="151"/>
      <c r="BB393" s="151"/>
      <c r="BC393" s="151"/>
      <c r="BD393" s="151"/>
      <c r="BE393" s="151"/>
      <c r="BF393" s="151"/>
      <c r="BG393" s="151"/>
      <c r="BH393" s="151"/>
      <c r="BI393" s="151"/>
      <c r="BJ393" s="151"/>
      <c r="BK393" s="151"/>
      <c r="BL393" s="122"/>
      <c r="BM393" s="122"/>
      <c r="BN393" s="122"/>
      <c r="BO393" s="122"/>
      <c r="BP393" s="122"/>
      <c r="BQ393" s="122"/>
      <c r="BR393" s="122"/>
    </row>
    <row r="394" spans="1:70" x14ac:dyDescent="0.25">
      <c r="A394" s="63"/>
      <c r="B394" s="65"/>
      <c r="C394" s="65"/>
      <c r="D394" s="118"/>
      <c r="E394" s="66"/>
      <c r="U394" s="151"/>
      <c r="V394" s="151"/>
      <c r="W394" s="151"/>
      <c r="X394" s="151"/>
      <c r="Y394" s="151"/>
      <c r="Z394" s="151"/>
      <c r="AA394" s="151"/>
      <c r="AB394" s="151"/>
      <c r="AC394" s="151"/>
      <c r="AD394" s="151"/>
      <c r="AE394" s="151"/>
      <c r="AF394" s="151"/>
      <c r="AG394" s="151"/>
      <c r="AH394" s="151"/>
      <c r="AI394" s="151"/>
      <c r="AJ394" s="151"/>
      <c r="AK394" s="151"/>
      <c r="AL394" s="151"/>
      <c r="AM394" s="151"/>
      <c r="AN394" s="151"/>
      <c r="AO394" s="151"/>
      <c r="AP394" s="151"/>
      <c r="AQ394" s="151"/>
      <c r="AR394" s="151"/>
      <c r="AS394" s="151"/>
      <c r="AT394" s="151"/>
      <c r="AU394" s="151"/>
      <c r="AV394" s="151"/>
      <c r="AW394" s="151"/>
      <c r="AX394" s="151"/>
      <c r="AY394" s="151"/>
      <c r="AZ394" s="151"/>
      <c r="BA394" s="151"/>
      <c r="BB394" s="151"/>
      <c r="BC394" s="151"/>
      <c r="BD394" s="151"/>
      <c r="BE394" s="151"/>
      <c r="BF394" s="151"/>
      <c r="BG394" s="151"/>
      <c r="BH394" s="151"/>
      <c r="BI394" s="151"/>
      <c r="BJ394" s="151"/>
      <c r="BK394" s="151"/>
      <c r="BL394" s="122"/>
      <c r="BM394" s="122"/>
      <c r="BN394" s="122"/>
      <c r="BO394" s="122"/>
      <c r="BP394" s="122"/>
      <c r="BQ394" s="122"/>
      <c r="BR394" s="122"/>
    </row>
    <row r="395" spans="1:70" x14ac:dyDescent="0.25">
      <c r="A395" s="63"/>
      <c r="B395" s="65"/>
      <c r="C395" s="65"/>
      <c r="D395" s="118"/>
      <c r="E395" s="66"/>
      <c r="U395" s="151"/>
      <c r="V395" s="151"/>
      <c r="W395" s="151"/>
      <c r="X395" s="151"/>
      <c r="Y395" s="151"/>
      <c r="Z395" s="151"/>
      <c r="AA395" s="151"/>
      <c r="AB395" s="151"/>
      <c r="AC395" s="151"/>
      <c r="AD395" s="151"/>
      <c r="AE395" s="151"/>
      <c r="AF395" s="151"/>
      <c r="AG395" s="151"/>
      <c r="AH395" s="151"/>
      <c r="AI395" s="151"/>
      <c r="AJ395" s="151"/>
      <c r="AK395" s="151"/>
      <c r="AL395" s="151"/>
      <c r="AM395" s="151"/>
      <c r="AN395" s="151"/>
      <c r="AO395" s="151"/>
      <c r="AP395" s="151"/>
      <c r="AQ395" s="151"/>
      <c r="AR395" s="151"/>
      <c r="AS395" s="151"/>
      <c r="AT395" s="151"/>
      <c r="AU395" s="151"/>
      <c r="AV395" s="151"/>
      <c r="AW395" s="151"/>
      <c r="AX395" s="151"/>
      <c r="AY395" s="151"/>
      <c r="AZ395" s="151"/>
      <c r="BA395" s="151"/>
      <c r="BB395" s="151"/>
      <c r="BC395" s="151"/>
      <c r="BD395" s="151"/>
      <c r="BE395" s="151"/>
      <c r="BF395" s="151"/>
      <c r="BG395" s="151"/>
      <c r="BH395" s="151"/>
      <c r="BI395" s="151"/>
      <c r="BJ395" s="151"/>
      <c r="BK395" s="151"/>
      <c r="BL395" s="122"/>
      <c r="BM395" s="122"/>
      <c r="BN395" s="122"/>
      <c r="BO395" s="122"/>
      <c r="BP395" s="122"/>
      <c r="BQ395" s="122"/>
      <c r="BR395" s="122"/>
    </row>
    <row r="396" spans="1:70" x14ac:dyDescent="0.25">
      <c r="A396" s="63"/>
      <c r="B396" s="65"/>
      <c r="C396" s="65"/>
      <c r="D396" s="118"/>
      <c r="E396" s="66"/>
      <c r="U396" s="151"/>
      <c r="V396" s="151"/>
      <c r="W396" s="151"/>
      <c r="X396" s="151"/>
      <c r="Y396" s="151"/>
      <c r="Z396" s="151"/>
      <c r="AA396" s="151"/>
      <c r="AB396" s="151"/>
      <c r="AC396" s="151"/>
      <c r="AD396" s="151"/>
      <c r="AE396" s="151"/>
      <c r="AF396" s="151"/>
      <c r="AG396" s="151"/>
      <c r="AH396" s="151"/>
      <c r="AI396" s="151"/>
      <c r="AJ396" s="151"/>
      <c r="AK396" s="151"/>
      <c r="AL396" s="151"/>
      <c r="AM396" s="151"/>
      <c r="AN396" s="151"/>
      <c r="AO396" s="151"/>
      <c r="AP396" s="151"/>
      <c r="AQ396" s="151"/>
      <c r="AR396" s="151"/>
      <c r="AS396" s="151"/>
      <c r="AT396" s="151"/>
      <c r="AU396" s="151"/>
      <c r="AV396" s="151"/>
      <c r="AW396" s="151"/>
      <c r="AX396" s="151"/>
      <c r="AY396" s="151"/>
      <c r="AZ396" s="151"/>
      <c r="BA396" s="151"/>
      <c r="BB396" s="151"/>
      <c r="BC396" s="151"/>
      <c r="BD396" s="151"/>
      <c r="BE396" s="151"/>
      <c r="BF396" s="151"/>
      <c r="BG396" s="151"/>
      <c r="BH396" s="151"/>
      <c r="BI396" s="151"/>
      <c r="BJ396" s="151"/>
      <c r="BK396" s="151"/>
      <c r="BL396" s="122"/>
      <c r="BM396" s="122"/>
      <c r="BN396" s="122"/>
      <c r="BO396" s="122"/>
      <c r="BP396" s="122"/>
      <c r="BQ396" s="122"/>
      <c r="BR396" s="122"/>
    </row>
    <row r="397" spans="1:70" x14ac:dyDescent="0.25">
      <c r="A397" s="63"/>
      <c r="B397" s="65"/>
      <c r="C397" s="65"/>
      <c r="D397" s="118"/>
      <c r="E397" s="66"/>
      <c r="U397" s="151"/>
      <c r="V397" s="151"/>
      <c r="W397" s="151"/>
      <c r="X397" s="151"/>
      <c r="Y397" s="151"/>
      <c r="Z397" s="151"/>
      <c r="AA397" s="151"/>
      <c r="AB397" s="151"/>
      <c r="AC397" s="151"/>
      <c r="AD397" s="151"/>
      <c r="AE397" s="151"/>
      <c r="AF397" s="151"/>
      <c r="AG397" s="151"/>
      <c r="AH397" s="151"/>
      <c r="AI397" s="151"/>
      <c r="AJ397" s="151"/>
      <c r="AK397" s="151"/>
      <c r="AL397" s="151"/>
      <c r="AM397" s="151"/>
      <c r="AN397" s="151"/>
      <c r="AO397" s="151"/>
      <c r="AP397" s="151"/>
      <c r="AQ397" s="151"/>
      <c r="AR397" s="151"/>
      <c r="AS397" s="151"/>
      <c r="AT397" s="151"/>
      <c r="AU397" s="151"/>
      <c r="AV397" s="151"/>
      <c r="AW397" s="151"/>
      <c r="AX397" s="151"/>
      <c r="AY397" s="151"/>
      <c r="AZ397" s="151"/>
      <c r="BA397" s="151"/>
      <c r="BB397" s="151"/>
      <c r="BC397" s="151"/>
      <c r="BD397" s="151"/>
      <c r="BE397" s="151"/>
      <c r="BF397" s="151"/>
      <c r="BG397" s="151"/>
      <c r="BH397" s="151"/>
      <c r="BI397" s="151"/>
      <c r="BJ397" s="151"/>
      <c r="BK397" s="151"/>
      <c r="BL397" s="122"/>
      <c r="BM397" s="122"/>
      <c r="BN397" s="122"/>
      <c r="BO397" s="122"/>
      <c r="BP397" s="122"/>
      <c r="BQ397" s="122"/>
      <c r="BR397" s="122"/>
    </row>
    <row r="398" spans="1:70" x14ac:dyDescent="0.25">
      <c r="A398" s="63"/>
      <c r="B398" s="65"/>
      <c r="C398" s="65"/>
      <c r="D398" s="118"/>
      <c r="E398" s="66"/>
      <c r="U398" s="151"/>
      <c r="V398" s="151"/>
      <c r="W398" s="151"/>
      <c r="X398" s="151"/>
      <c r="Y398" s="151"/>
      <c r="Z398" s="151"/>
      <c r="AA398" s="151"/>
      <c r="AB398" s="151"/>
      <c r="AC398" s="151"/>
      <c r="AD398" s="151"/>
      <c r="AE398" s="151"/>
      <c r="AF398" s="151"/>
      <c r="AG398" s="151"/>
      <c r="AH398" s="151"/>
      <c r="AI398" s="151"/>
      <c r="AJ398" s="151"/>
      <c r="AK398" s="151"/>
      <c r="AL398" s="151"/>
      <c r="AM398" s="151"/>
      <c r="AN398" s="151"/>
      <c r="AO398" s="151"/>
      <c r="AP398" s="151"/>
      <c r="AQ398" s="151"/>
      <c r="AR398" s="151"/>
      <c r="AS398" s="151"/>
      <c r="AT398" s="151"/>
      <c r="AU398" s="151"/>
      <c r="AV398" s="151"/>
      <c r="AW398" s="151"/>
      <c r="AX398" s="151"/>
      <c r="AY398" s="151"/>
      <c r="AZ398" s="151"/>
      <c r="BA398" s="151"/>
      <c r="BB398" s="151"/>
      <c r="BC398" s="151"/>
      <c r="BD398" s="151"/>
      <c r="BE398" s="151"/>
      <c r="BF398" s="151"/>
      <c r="BG398" s="151"/>
      <c r="BH398" s="151"/>
      <c r="BI398" s="151"/>
      <c r="BJ398" s="151"/>
      <c r="BK398" s="151"/>
      <c r="BL398" s="122"/>
      <c r="BM398" s="122"/>
      <c r="BN398" s="122"/>
      <c r="BO398" s="122"/>
      <c r="BP398" s="122"/>
      <c r="BQ398" s="122"/>
      <c r="BR398" s="122"/>
    </row>
    <row r="399" spans="1:70" x14ac:dyDescent="0.25">
      <c r="A399" s="63"/>
      <c r="B399" s="65"/>
      <c r="C399" s="65"/>
      <c r="D399" s="118"/>
      <c r="E399" s="66"/>
      <c r="U399" s="151"/>
      <c r="V399" s="151"/>
      <c r="W399" s="151"/>
      <c r="X399" s="151"/>
      <c r="Y399" s="151"/>
      <c r="Z399" s="151"/>
      <c r="AA399" s="151"/>
      <c r="AB399" s="151"/>
      <c r="AC399" s="151"/>
      <c r="AD399" s="151"/>
      <c r="AE399" s="151"/>
      <c r="AF399" s="151"/>
      <c r="AG399" s="151"/>
      <c r="AH399" s="151"/>
      <c r="AI399" s="151"/>
      <c r="AJ399" s="151"/>
      <c r="AK399" s="151"/>
      <c r="AL399" s="151"/>
      <c r="AM399" s="151"/>
      <c r="AN399" s="151"/>
      <c r="AO399" s="151"/>
      <c r="AP399" s="151"/>
      <c r="AQ399" s="151"/>
      <c r="AR399" s="151"/>
      <c r="AS399" s="151"/>
      <c r="AT399" s="151"/>
      <c r="AU399" s="151"/>
      <c r="AV399" s="151"/>
      <c r="AW399" s="151"/>
      <c r="AX399" s="151"/>
      <c r="AY399" s="151"/>
      <c r="AZ399" s="151"/>
      <c r="BA399" s="151"/>
      <c r="BB399" s="151"/>
      <c r="BC399" s="151"/>
      <c r="BD399" s="151"/>
      <c r="BE399" s="151"/>
      <c r="BF399" s="151"/>
      <c r="BG399" s="151"/>
      <c r="BH399" s="151"/>
      <c r="BI399" s="151"/>
      <c r="BJ399" s="151"/>
      <c r="BK399" s="151"/>
      <c r="BL399" s="122"/>
      <c r="BM399" s="122"/>
      <c r="BN399" s="122"/>
      <c r="BO399" s="122"/>
      <c r="BP399" s="122"/>
      <c r="BQ399" s="122"/>
      <c r="BR399" s="122"/>
    </row>
    <row r="400" spans="1:70" x14ac:dyDescent="0.25">
      <c r="A400" s="63"/>
      <c r="B400" s="65"/>
      <c r="C400" s="65"/>
      <c r="D400" s="118"/>
      <c r="E400" s="66"/>
      <c r="U400" s="151"/>
      <c r="V400" s="151"/>
      <c r="W400" s="151"/>
      <c r="X400" s="151"/>
      <c r="Y400" s="151"/>
      <c r="Z400" s="151"/>
      <c r="AA400" s="151"/>
      <c r="AB400" s="151"/>
      <c r="AC400" s="151"/>
      <c r="AD400" s="151"/>
      <c r="AE400" s="151"/>
      <c r="AF400" s="151"/>
      <c r="AG400" s="151"/>
      <c r="AH400" s="151"/>
      <c r="AI400" s="151"/>
      <c r="AJ400" s="151"/>
      <c r="AK400" s="151"/>
      <c r="AL400" s="151"/>
      <c r="AM400" s="151"/>
      <c r="AN400" s="151"/>
      <c r="AO400" s="151"/>
      <c r="AP400" s="151"/>
      <c r="AQ400" s="151"/>
      <c r="AR400" s="151"/>
      <c r="AS400" s="151"/>
      <c r="AT400" s="151"/>
      <c r="AU400" s="151"/>
      <c r="AV400" s="151"/>
      <c r="AW400" s="151"/>
      <c r="AX400" s="151"/>
      <c r="AY400" s="151"/>
      <c r="AZ400" s="151"/>
      <c r="BA400" s="151"/>
      <c r="BB400" s="151"/>
      <c r="BC400" s="151"/>
      <c r="BD400" s="151"/>
      <c r="BE400" s="151"/>
      <c r="BF400" s="151"/>
      <c r="BG400" s="151"/>
      <c r="BH400" s="151"/>
      <c r="BI400" s="151"/>
      <c r="BJ400" s="151"/>
      <c r="BK400" s="151"/>
      <c r="BL400" s="122"/>
      <c r="BM400" s="122"/>
      <c r="BN400" s="122"/>
      <c r="BO400" s="122"/>
      <c r="BP400" s="122"/>
      <c r="BQ400" s="122"/>
      <c r="BR400" s="122"/>
    </row>
    <row r="401" spans="1:70" x14ac:dyDescent="0.25">
      <c r="A401" s="63"/>
      <c r="B401" s="65"/>
      <c r="C401" s="65"/>
      <c r="D401" s="118"/>
      <c r="E401" s="66"/>
      <c r="U401" s="151"/>
      <c r="V401" s="151"/>
      <c r="W401" s="151"/>
      <c r="X401" s="151"/>
      <c r="Y401" s="151"/>
      <c r="Z401" s="151"/>
      <c r="AA401" s="151"/>
      <c r="AB401" s="151"/>
      <c r="AC401" s="151"/>
      <c r="AD401" s="151"/>
      <c r="AE401" s="151"/>
      <c r="AF401" s="151"/>
      <c r="AG401" s="151"/>
      <c r="AH401" s="151"/>
      <c r="AI401" s="151"/>
      <c r="AJ401" s="151"/>
      <c r="AK401" s="151"/>
      <c r="AL401" s="151"/>
      <c r="AM401" s="151"/>
      <c r="AN401" s="151"/>
      <c r="AO401" s="151"/>
      <c r="AP401" s="151"/>
      <c r="AQ401" s="151"/>
      <c r="AR401" s="151"/>
      <c r="AS401" s="151"/>
      <c r="AT401" s="151"/>
      <c r="AU401" s="151"/>
      <c r="AV401" s="151"/>
      <c r="AW401" s="151"/>
      <c r="AX401" s="151"/>
      <c r="AY401" s="151"/>
      <c r="AZ401" s="151"/>
      <c r="BA401" s="151"/>
      <c r="BB401" s="151"/>
      <c r="BC401" s="151"/>
      <c r="BD401" s="151"/>
      <c r="BE401" s="151"/>
      <c r="BF401" s="151"/>
      <c r="BG401" s="151"/>
      <c r="BH401" s="151"/>
      <c r="BI401" s="151"/>
      <c r="BJ401" s="151"/>
      <c r="BK401" s="151"/>
      <c r="BL401" s="122"/>
      <c r="BM401" s="122"/>
      <c r="BN401" s="122"/>
      <c r="BO401" s="122"/>
      <c r="BP401" s="122"/>
      <c r="BQ401" s="122"/>
      <c r="BR401" s="122"/>
    </row>
    <row r="402" spans="1:70" x14ac:dyDescent="0.25">
      <c r="A402" s="63"/>
      <c r="B402" s="65"/>
      <c r="C402" s="65"/>
      <c r="D402" s="118"/>
      <c r="E402" s="66"/>
      <c r="U402" s="151"/>
      <c r="V402" s="151"/>
      <c r="W402" s="151"/>
      <c r="X402" s="151"/>
      <c r="Y402" s="151"/>
      <c r="Z402" s="151"/>
      <c r="AA402" s="151"/>
      <c r="AB402" s="151"/>
      <c r="AC402" s="151"/>
      <c r="AD402" s="151"/>
      <c r="AE402" s="151"/>
      <c r="AF402" s="151"/>
      <c r="AG402" s="151"/>
      <c r="AH402" s="151"/>
      <c r="AI402" s="151"/>
      <c r="AJ402" s="151"/>
      <c r="AK402" s="151"/>
      <c r="AL402" s="151"/>
      <c r="AM402" s="151"/>
      <c r="AN402" s="151"/>
      <c r="AO402" s="151"/>
      <c r="AP402" s="151"/>
      <c r="AQ402" s="151"/>
      <c r="AR402" s="151"/>
      <c r="AS402" s="151"/>
      <c r="AT402" s="151"/>
      <c r="AU402" s="151"/>
      <c r="AV402" s="151"/>
      <c r="AW402" s="151"/>
      <c r="AX402" s="151"/>
      <c r="AY402" s="151"/>
      <c r="AZ402" s="151"/>
      <c r="BA402" s="151"/>
      <c r="BB402" s="151"/>
      <c r="BC402" s="151"/>
      <c r="BD402" s="151"/>
      <c r="BE402" s="151"/>
      <c r="BF402" s="151"/>
      <c r="BG402" s="151"/>
      <c r="BH402" s="151"/>
      <c r="BI402" s="151"/>
      <c r="BJ402" s="151"/>
      <c r="BK402" s="151"/>
      <c r="BL402" s="122"/>
      <c r="BM402" s="122"/>
      <c r="BN402" s="122"/>
      <c r="BO402" s="122"/>
      <c r="BP402" s="122"/>
      <c r="BQ402" s="122"/>
      <c r="BR402" s="122"/>
    </row>
    <row r="403" spans="1:70" x14ac:dyDescent="0.25">
      <c r="A403" s="63"/>
      <c r="B403" s="65"/>
      <c r="C403" s="65"/>
      <c r="D403" s="118"/>
      <c r="E403" s="66"/>
      <c r="U403" s="151"/>
      <c r="V403" s="151"/>
      <c r="W403" s="151"/>
      <c r="X403" s="151"/>
      <c r="Y403" s="151"/>
      <c r="Z403" s="151"/>
      <c r="AA403" s="151"/>
      <c r="AB403" s="151"/>
      <c r="AC403" s="151"/>
      <c r="AD403" s="151"/>
      <c r="AE403" s="151"/>
      <c r="AF403" s="151"/>
      <c r="AG403" s="151"/>
      <c r="AH403" s="151"/>
      <c r="AI403" s="151"/>
      <c r="AJ403" s="151"/>
      <c r="AK403" s="151"/>
      <c r="AL403" s="151"/>
      <c r="AM403" s="151"/>
      <c r="AN403" s="151"/>
      <c r="AO403" s="151"/>
      <c r="AP403" s="151"/>
      <c r="AQ403" s="151"/>
      <c r="AR403" s="151"/>
      <c r="AS403" s="151"/>
      <c r="AT403" s="151"/>
      <c r="AU403" s="151"/>
      <c r="AV403" s="151"/>
      <c r="AW403" s="151"/>
      <c r="AX403" s="151"/>
      <c r="AY403" s="151"/>
      <c r="AZ403" s="151"/>
      <c r="BA403" s="151"/>
      <c r="BB403" s="151"/>
      <c r="BC403" s="151"/>
      <c r="BD403" s="151"/>
      <c r="BE403" s="151"/>
      <c r="BF403" s="151"/>
      <c r="BG403" s="151"/>
      <c r="BH403" s="151"/>
      <c r="BI403" s="151"/>
      <c r="BJ403" s="151"/>
      <c r="BK403" s="151"/>
      <c r="BL403" s="122"/>
      <c r="BM403" s="122"/>
      <c r="BN403" s="122"/>
      <c r="BO403" s="122"/>
      <c r="BP403" s="122"/>
      <c r="BQ403" s="122"/>
      <c r="BR403" s="122"/>
    </row>
    <row r="404" spans="1:70" x14ac:dyDescent="0.25">
      <c r="A404" s="63"/>
      <c r="B404" s="65"/>
      <c r="C404" s="65"/>
      <c r="D404" s="118"/>
      <c r="E404" s="66"/>
      <c r="U404" s="151"/>
      <c r="V404" s="151"/>
      <c r="W404" s="151"/>
      <c r="X404" s="151"/>
      <c r="Y404" s="151"/>
      <c r="Z404" s="151"/>
      <c r="AA404" s="151"/>
      <c r="AB404" s="151"/>
      <c r="AC404" s="151"/>
      <c r="AD404" s="151"/>
      <c r="AE404" s="151"/>
      <c r="AF404" s="151"/>
      <c r="AG404" s="151"/>
      <c r="AH404" s="151"/>
      <c r="AI404" s="151"/>
      <c r="AJ404" s="151"/>
      <c r="AK404" s="151"/>
      <c r="AL404" s="151"/>
      <c r="AM404" s="151"/>
      <c r="AN404" s="151"/>
      <c r="AO404" s="151"/>
      <c r="AP404" s="151"/>
      <c r="AQ404" s="151"/>
      <c r="AR404" s="151"/>
      <c r="AS404" s="151"/>
      <c r="AT404" s="151"/>
      <c r="AU404" s="151"/>
      <c r="AV404" s="151"/>
      <c r="AW404" s="151"/>
      <c r="AX404" s="151"/>
      <c r="AY404" s="151"/>
      <c r="AZ404" s="151"/>
      <c r="BA404" s="151"/>
      <c r="BB404" s="151"/>
      <c r="BC404" s="151"/>
      <c r="BD404" s="151"/>
      <c r="BE404" s="151"/>
      <c r="BF404" s="151"/>
      <c r="BG404" s="151"/>
      <c r="BH404" s="151"/>
      <c r="BI404" s="151"/>
      <c r="BJ404" s="151"/>
      <c r="BK404" s="151"/>
      <c r="BL404" s="122"/>
      <c r="BM404" s="122"/>
      <c r="BN404" s="122"/>
      <c r="BO404" s="122"/>
      <c r="BP404" s="122"/>
      <c r="BQ404" s="122"/>
      <c r="BR404" s="122"/>
    </row>
    <row r="405" spans="1:70" x14ac:dyDescent="0.25">
      <c r="A405" s="63"/>
      <c r="B405" s="65"/>
      <c r="C405" s="65"/>
      <c r="D405" s="118"/>
      <c r="E405" s="66"/>
      <c r="U405" s="151"/>
      <c r="V405" s="151"/>
      <c r="W405" s="151"/>
      <c r="X405" s="151"/>
      <c r="Y405" s="151"/>
      <c r="Z405" s="151"/>
      <c r="AA405" s="151"/>
      <c r="AB405" s="151"/>
      <c r="AC405" s="151"/>
      <c r="AD405" s="151"/>
      <c r="AE405" s="151"/>
      <c r="AF405" s="151"/>
      <c r="AG405" s="151"/>
      <c r="AH405" s="151"/>
      <c r="AI405" s="151"/>
      <c r="AJ405" s="151"/>
      <c r="AK405" s="151"/>
      <c r="AL405" s="151"/>
      <c r="AM405" s="151"/>
      <c r="AN405" s="151"/>
      <c r="AO405" s="151"/>
      <c r="AP405" s="151"/>
      <c r="AQ405" s="151"/>
      <c r="AR405" s="151"/>
      <c r="AS405" s="151"/>
      <c r="AT405" s="151"/>
      <c r="AU405" s="151"/>
      <c r="AV405" s="151"/>
      <c r="AW405" s="151"/>
      <c r="AX405" s="151"/>
      <c r="AY405" s="151"/>
      <c r="AZ405" s="151"/>
      <c r="BA405" s="151"/>
      <c r="BB405" s="151"/>
      <c r="BC405" s="151"/>
      <c r="BD405" s="151"/>
      <c r="BE405" s="151"/>
      <c r="BF405" s="151"/>
      <c r="BG405" s="151"/>
      <c r="BH405" s="151"/>
      <c r="BI405" s="151"/>
      <c r="BJ405" s="151"/>
      <c r="BK405" s="151"/>
      <c r="BL405" s="122"/>
      <c r="BM405" s="122"/>
      <c r="BN405" s="122"/>
      <c r="BO405" s="122"/>
      <c r="BP405" s="122"/>
      <c r="BQ405" s="122"/>
      <c r="BR405" s="122"/>
    </row>
    <row r="406" spans="1:70" x14ac:dyDescent="0.25">
      <c r="A406" s="63"/>
      <c r="B406" s="65"/>
      <c r="C406" s="65"/>
      <c r="D406" s="118"/>
      <c r="E406" s="66"/>
      <c r="U406" s="151"/>
      <c r="V406" s="151"/>
      <c r="W406" s="151"/>
      <c r="X406" s="151"/>
      <c r="Y406" s="151"/>
      <c r="Z406" s="151"/>
      <c r="AA406" s="151"/>
      <c r="AB406" s="151"/>
      <c r="AC406" s="151"/>
      <c r="AD406" s="151"/>
      <c r="AE406" s="151"/>
      <c r="AF406" s="151"/>
      <c r="AG406" s="151"/>
      <c r="AH406" s="151"/>
      <c r="AI406" s="151"/>
      <c r="AJ406" s="151"/>
      <c r="AK406" s="151"/>
      <c r="AL406" s="151"/>
      <c r="AM406" s="151"/>
      <c r="AN406" s="151"/>
      <c r="AO406" s="151"/>
      <c r="AP406" s="151"/>
      <c r="AQ406" s="151"/>
      <c r="AR406" s="151"/>
      <c r="AS406" s="151"/>
      <c r="AT406" s="151"/>
      <c r="AU406" s="151"/>
      <c r="AV406" s="151"/>
      <c r="AW406" s="151"/>
      <c r="AX406" s="151"/>
      <c r="AY406" s="151"/>
      <c r="AZ406" s="151"/>
      <c r="BA406" s="151"/>
      <c r="BB406" s="151"/>
      <c r="BC406" s="151"/>
      <c r="BD406" s="151"/>
      <c r="BE406" s="151"/>
      <c r="BF406" s="151"/>
      <c r="BG406" s="151"/>
      <c r="BH406" s="151"/>
      <c r="BI406" s="151"/>
      <c r="BJ406" s="151"/>
      <c r="BK406" s="151"/>
      <c r="BL406" s="122"/>
      <c r="BM406" s="122"/>
      <c r="BN406" s="122"/>
      <c r="BO406" s="122"/>
      <c r="BP406" s="122"/>
      <c r="BQ406" s="122"/>
      <c r="BR406" s="122"/>
    </row>
    <row r="407" spans="1:70" x14ac:dyDescent="0.25">
      <c r="A407" s="63"/>
      <c r="B407" s="65"/>
      <c r="C407" s="65"/>
      <c r="D407" s="118"/>
      <c r="E407" s="66"/>
      <c r="U407" s="151"/>
      <c r="V407" s="151"/>
      <c r="W407" s="151"/>
      <c r="X407" s="151"/>
      <c r="Y407" s="151"/>
      <c r="Z407" s="151"/>
      <c r="AA407" s="151"/>
      <c r="AB407" s="151"/>
      <c r="AC407" s="151"/>
      <c r="AD407" s="151"/>
      <c r="AE407" s="151"/>
      <c r="AF407" s="151"/>
      <c r="AG407" s="151"/>
      <c r="AH407" s="151"/>
      <c r="AI407" s="151"/>
      <c r="AJ407" s="151"/>
      <c r="AK407" s="151"/>
      <c r="AL407" s="151"/>
      <c r="AM407" s="151"/>
      <c r="AN407" s="151"/>
      <c r="AO407" s="151"/>
      <c r="AP407" s="151"/>
      <c r="AQ407" s="151"/>
      <c r="AR407" s="151"/>
      <c r="AS407" s="151"/>
      <c r="AT407" s="151"/>
      <c r="AU407" s="151"/>
      <c r="AV407" s="151"/>
      <c r="AW407" s="151"/>
      <c r="AX407" s="151"/>
      <c r="AY407" s="151"/>
      <c r="AZ407" s="151"/>
      <c r="BA407" s="151"/>
      <c r="BB407" s="151"/>
      <c r="BC407" s="151"/>
      <c r="BD407" s="151"/>
      <c r="BE407" s="151"/>
      <c r="BF407" s="151"/>
      <c r="BG407" s="151"/>
      <c r="BH407" s="151"/>
      <c r="BI407" s="151"/>
      <c r="BJ407" s="151"/>
      <c r="BK407" s="151"/>
      <c r="BL407" s="122"/>
      <c r="BM407" s="122"/>
      <c r="BN407" s="122"/>
      <c r="BO407" s="122"/>
      <c r="BP407" s="122"/>
      <c r="BQ407" s="122"/>
      <c r="BR407" s="122"/>
    </row>
    <row r="408" spans="1:70" x14ac:dyDescent="0.25">
      <c r="A408" s="63"/>
      <c r="B408" s="65"/>
      <c r="C408" s="65"/>
      <c r="D408" s="118"/>
      <c r="E408" s="66"/>
      <c r="U408" s="151"/>
      <c r="V408" s="151"/>
      <c r="W408" s="151"/>
      <c r="X408" s="151"/>
      <c r="Y408" s="151"/>
      <c r="Z408" s="151"/>
      <c r="AA408" s="151"/>
      <c r="AB408" s="151"/>
      <c r="AC408" s="151"/>
      <c r="AD408" s="151"/>
      <c r="AE408" s="151"/>
      <c r="AF408" s="151"/>
      <c r="AG408" s="151"/>
      <c r="AH408" s="151"/>
      <c r="AI408" s="151"/>
      <c r="AJ408" s="151"/>
      <c r="AK408" s="151"/>
      <c r="AL408" s="151"/>
      <c r="AM408" s="151"/>
      <c r="AN408" s="151"/>
      <c r="AO408" s="151"/>
      <c r="AP408" s="151"/>
      <c r="AQ408" s="151"/>
      <c r="AR408" s="151"/>
      <c r="AS408" s="151"/>
      <c r="AT408" s="151"/>
      <c r="AU408" s="151"/>
      <c r="AV408" s="151"/>
      <c r="AW408" s="151"/>
      <c r="AX408" s="151"/>
      <c r="AY408" s="151"/>
      <c r="AZ408" s="151"/>
      <c r="BA408" s="151"/>
      <c r="BB408" s="151"/>
      <c r="BC408" s="151"/>
      <c r="BD408" s="151"/>
      <c r="BE408" s="151"/>
      <c r="BF408" s="151"/>
      <c r="BG408" s="151"/>
      <c r="BH408" s="151"/>
      <c r="BI408" s="151"/>
      <c r="BJ408" s="151"/>
      <c r="BK408" s="151"/>
      <c r="BL408" s="122"/>
      <c r="BM408" s="122"/>
      <c r="BN408" s="122"/>
      <c r="BO408" s="122"/>
      <c r="BP408" s="122"/>
      <c r="BQ408" s="122"/>
      <c r="BR408" s="122"/>
    </row>
    <row r="409" spans="1:70" x14ac:dyDescent="0.25">
      <c r="A409" s="63"/>
      <c r="B409" s="65"/>
      <c r="C409" s="65"/>
      <c r="D409" s="118"/>
      <c r="E409" s="66"/>
      <c r="U409" s="151"/>
      <c r="V409" s="151"/>
      <c r="W409" s="151"/>
      <c r="X409" s="151"/>
      <c r="Y409" s="151"/>
      <c r="Z409" s="151"/>
      <c r="AA409" s="151"/>
      <c r="AB409" s="151"/>
      <c r="AC409" s="151"/>
      <c r="AD409" s="151"/>
      <c r="AE409" s="151"/>
      <c r="AF409" s="151"/>
      <c r="AG409" s="151"/>
      <c r="AH409" s="151"/>
      <c r="AI409" s="151"/>
      <c r="AJ409" s="151"/>
      <c r="AK409" s="151"/>
      <c r="AL409" s="151"/>
      <c r="AM409" s="151"/>
      <c r="AN409" s="151"/>
      <c r="AO409" s="151"/>
      <c r="AP409" s="151"/>
      <c r="AQ409" s="151"/>
      <c r="AR409" s="151"/>
      <c r="AS409" s="151"/>
      <c r="AT409" s="151"/>
      <c r="AU409" s="151"/>
      <c r="AV409" s="151"/>
      <c r="AW409" s="151"/>
      <c r="AX409" s="151"/>
      <c r="AY409" s="151"/>
      <c r="AZ409" s="151"/>
      <c r="BA409" s="151"/>
      <c r="BB409" s="151"/>
      <c r="BC409" s="151"/>
      <c r="BD409" s="151"/>
      <c r="BE409" s="151"/>
      <c r="BF409" s="151"/>
      <c r="BG409" s="151"/>
      <c r="BH409" s="151"/>
      <c r="BI409" s="151"/>
      <c r="BJ409" s="151"/>
      <c r="BK409" s="151"/>
      <c r="BL409" s="122"/>
      <c r="BM409" s="122"/>
      <c r="BN409" s="122"/>
      <c r="BO409" s="122"/>
      <c r="BP409" s="122"/>
      <c r="BQ409" s="122"/>
      <c r="BR409" s="122"/>
    </row>
    <row r="410" spans="1:70" x14ac:dyDescent="0.25">
      <c r="A410" s="63"/>
      <c r="B410" s="65"/>
      <c r="C410" s="65"/>
      <c r="D410" s="118"/>
      <c r="E410" s="66"/>
      <c r="U410" s="151"/>
      <c r="V410" s="151"/>
      <c r="W410" s="151"/>
      <c r="X410" s="151"/>
      <c r="Y410" s="151"/>
      <c r="Z410" s="151"/>
      <c r="AA410" s="151"/>
      <c r="AB410" s="151"/>
      <c r="AC410" s="151"/>
      <c r="AD410" s="151"/>
      <c r="AE410" s="151"/>
      <c r="AF410" s="151"/>
      <c r="AG410" s="151"/>
      <c r="AH410" s="151"/>
      <c r="AI410" s="151"/>
      <c r="AJ410" s="151"/>
      <c r="AK410" s="151"/>
      <c r="AL410" s="151"/>
      <c r="AM410" s="151"/>
      <c r="AN410" s="151"/>
      <c r="AO410" s="151"/>
      <c r="AP410" s="151"/>
      <c r="AQ410" s="151"/>
      <c r="AR410" s="151"/>
      <c r="AS410" s="151"/>
      <c r="AT410" s="151"/>
      <c r="AU410" s="151"/>
      <c r="AV410" s="151"/>
      <c r="AW410" s="151"/>
      <c r="AX410" s="151"/>
      <c r="AY410" s="151"/>
      <c r="AZ410" s="151"/>
      <c r="BA410" s="151"/>
      <c r="BB410" s="151"/>
      <c r="BC410" s="151"/>
      <c r="BD410" s="151"/>
      <c r="BE410" s="151"/>
      <c r="BF410" s="151"/>
      <c r="BG410" s="151"/>
      <c r="BH410" s="151"/>
      <c r="BI410" s="151"/>
      <c r="BJ410" s="151"/>
      <c r="BK410" s="151"/>
      <c r="BL410" s="122"/>
      <c r="BM410" s="122"/>
      <c r="BN410" s="122"/>
      <c r="BO410" s="122"/>
      <c r="BP410" s="122"/>
      <c r="BQ410" s="122"/>
      <c r="BR410" s="122"/>
    </row>
    <row r="411" spans="1:70" x14ac:dyDescent="0.25">
      <c r="A411" s="63"/>
      <c r="B411" s="65"/>
      <c r="C411" s="65"/>
      <c r="D411" s="118"/>
      <c r="E411" s="66"/>
      <c r="U411" s="151"/>
      <c r="V411" s="151"/>
      <c r="W411" s="151"/>
      <c r="X411" s="151"/>
      <c r="Y411" s="151"/>
      <c r="Z411" s="151"/>
      <c r="AA411" s="151"/>
      <c r="AB411" s="151"/>
      <c r="AC411" s="151"/>
      <c r="AD411" s="151"/>
      <c r="AE411" s="151"/>
      <c r="AF411" s="151"/>
      <c r="AG411" s="151"/>
      <c r="AH411" s="151"/>
      <c r="AI411" s="151"/>
      <c r="AJ411" s="151"/>
      <c r="AK411" s="151"/>
      <c r="AL411" s="151"/>
      <c r="AM411" s="151"/>
      <c r="AN411" s="151"/>
      <c r="AO411" s="151"/>
      <c r="AP411" s="151"/>
      <c r="AQ411" s="151"/>
      <c r="AR411" s="151"/>
      <c r="AS411" s="151"/>
      <c r="AT411" s="151"/>
      <c r="AU411" s="151"/>
      <c r="AV411" s="151"/>
      <c r="AW411" s="151"/>
      <c r="AX411" s="151"/>
      <c r="AY411" s="151"/>
      <c r="AZ411" s="151"/>
      <c r="BA411" s="151"/>
      <c r="BB411" s="151"/>
      <c r="BC411" s="151"/>
      <c r="BD411" s="151"/>
      <c r="BE411" s="151"/>
      <c r="BF411" s="151"/>
      <c r="BG411" s="151"/>
      <c r="BH411" s="151"/>
      <c r="BI411" s="151"/>
      <c r="BJ411" s="151"/>
      <c r="BK411" s="151"/>
      <c r="BL411" s="122"/>
      <c r="BM411" s="122"/>
      <c r="BN411" s="122"/>
      <c r="BO411" s="122"/>
      <c r="BP411" s="122"/>
      <c r="BQ411" s="122"/>
      <c r="BR411" s="122"/>
    </row>
    <row r="412" spans="1:70" x14ac:dyDescent="0.25">
      <c r="A412" s="63"/>
      <c r="B412" s="65"/>
      <c r="C412" s="65"/>
      <c r="D412" s="118"/>
      <c r="E412" s="66"/>
      <c r="U412" s="151"/>
      <c r="V412" s="151"/>
      <c r="W412" s="151"/>
      <c r="X412" s="151"/>
      <c r="Y412" s="151"/>
      <c r="Z412" s="151"/>
      <c r="AA412" s="151"/>
      <c r="AB412" s="151"/>
      <c r="AC412" s="151"/>
      <c r="AD412" s="151"/>
      <c r="AE412" s="151"/>
      <c r="AF412" s="151"/>
      <c r="AG412" s="151"/>
      <c r="AH412" s="151"/>
      <c r="AI412" s="151"/>
      <c r="AJ412" s="151"/>
      <c r="AK412" s="151"/>
      <c r="AL412" s="151"/>
      <c r="AM412" s="151"/>
      <c r="AN412" s="151"/>
      <c r="AO412" s="151"/>
      <c r="AP412" s="151"/>
      <c r="AQ412" s="151"/>
      <c r="AR412" s="151"/>
      <c r="AS412" s="151"/>
      <c r="AT412" s="151"/>
      <c r="AU412" s="151"/>
      <c r="AV412" s="151"/>
      <c r="AW412" s="151"/>
      <c r="AX412" s="151"/>
      <c r="AY412" s="151"/>
      <c r="AZ412" s="151"/>
      <c r="BA412" s="151"/>
      <c r="BB412" s="151"/>
      <c r="BC412" s="151"/>
      <c r="BD412" s="151"/>
      <c r="BE412" s="151"/>
      <c r="BF412" s="151"/>
      <c r="BG412" s="151"/>
      <c r="BH412" s="151"/>
      <c r="BI412" s="151"/>
      <c r="BJ412" s="151"/>
      <c r="BK412" s="151"/>
      <c r="BL412" s="122"/>
      <c r="BM412" s="122"/>
      <c r="BN412" s="122"/>
      <c r="BO412" s="122"/>
      <c r="BP412" s="122"/>
      <c r="BQ412" s="122"/>
      <c r="BR412" s="122"/>
    </row>
    <row r="413" spans="1:70" x14ac:dyDescent="0.25">
      <c r="A413" s="63"/>
      <c r="B413" s="65"/>
      <c r="C413" s="65"/>
      <c r="D413" s="118"/>
      <c r="E413" s="66"/>
      <c r="U413" s="151"/>
      <c r="V413" s="151"/>
      <c r="W413" s="151"/>
      <c r="X413" s="151"/>
      <c r="Y413" s="151"/>
      <c r="Z413" s="151"/>
      <c r="AA413" s="151"/>
      <c r="AB413" s="151"/>
      <c r="AC413" s="151"/>
      <c r="AD413" s="151"/>
      <c r="AE413" s="151"/>
      <c r="AF413" s="151"/>
      <c r="AG413" s="151"/>
      <c r="AH413" s="151"/>
      <c r="AI413" s="151"/>
      <c r="AJ413" s="151"/>
      <c r="AK413" s="151"/>
      <c r="AL413" s="151"/>
      <c r="AM413" s="151"/>
      <c r="AN413" s="151"/>
      <c r="AO413" s="151"/>
      <c r="AP413" s="151"/>
      <c r="AQ413" s="151"/>
      <c r="AR413" s="151"/>
      <c r="AS413" s="151"/>
      <c r="AT413" s="151"/>
      <c r="AU413" s="151"/>
      <c r="AV413" s="151"/>
      <c r="AW413" s="151"/>
      <c r="AX413" s="151"/>
      <c r="AY413" s="151"/>
      <c r="AZ413" s="151"/>
      <c r="BA413" s="151"/>
      <c r="BB413" s="151"/>
      <c r="BC413" s="151"/>
      <c r="BD413" s="151"/>
      <c r="BE413" s="151"/>
      <c r="BF413" s="151"/>
      <c r="BG413" s="151"/>
      <c r="BH413" s="151"/>
      <c r="BI413" s="151"/>
      <c r="BJ413" s="151"/>
      <c r="BK413" s="151"/>
      <c r="BL413" s="122"/>
      <c r="BM413" s="122"/>
      <c r="BN413" s="122"/>
      <c r="BO413" s="122"/>
      <c r="BP413" s="122"/>
      <c r="BQ413" s="122"/>
      <c r="BR413" s="122"/>
    </row>
    <row r="414" spans="1:70" x14ac:dyDescent="0.25">
      <c r="A414" s="63"/>
      <c r="B414" s="65"/>
      <c r="C414" s="65"/>
      <c r="D414" s="118"/>
      <c r="E414" s="66"/>
      <c r="U414" s="151"/>
      <c r="V414" s="151"/>
      <c r="W414" s="151"/>
      <c r="X414" s="151"/>
      <c r="Y414" s="151"/>
      <c r="Z414" s="151"/>
      <c r="AA414" s="151"/>
      <c r="AB414" s="151"/>
      <c r="AC414" s="151"/>
      <c r="AD414" s="151"/>
      <c r="AE414" s="151"/>
      <c r="AF414" s="151"/>
      <c r="AG414" s="151"/>
      <c r="AH414" s="151"/>
      <c r="AI414" s="151"/>
      <c r="AJ414" s="151"/>
      <c r="AK414" s="151"/>
      <c r="AL414" s="151"/>
      <c r="AM414" s="151"/>
      <c r="AN414" s="151"/>
      <c r="AO414" s="151"/>
      <c r="AP414" s="151"/>
      <c r="AQ414" s="151"/>
      <c r="AR414" s="151"/>
      <c r="AS414" s="151"/>
      <c r="AT414" s="151"/>
      <c r="AU414" s="151"/>
      <c r="AV414" s="151"/>
      <c r="AW414" s="151"/>
      <c r="AX414" s="151"/>
      <c r="AY414" s="151"/>
      <c r="AZ414" s="151"/>
      <c r="BA414" s="151"/>
      <c r="BB414" s="151"/>
      <c r="BC414" s="151"/>
      <c r="BD414" s="151"/>
      <c r="BE414" s="151"/>
      <c r="BF414" s="151"/>
      <c r="BG414" s="151"/>
      <c r="BH414" s="151"/>
      <c r="BI414" s="151"/>
      <c r="BJ414" s="151"/>
      <c r="BK414" s="151"/>
      <c r="BL414" s="122"/>
      <c r="BM414" s="122"/>
      <c r="BN414" s="122"/>
      <c r="BO414" s="122"/>
      <c r="BP414" s="122"/>
      <c r="BQ414" s="122"/>
      <c r="BR414" s="122"/>
    </row>
    <row r="415" spans="1:70" x14ac:dyDescent="0.25">
      <c r="A415" s="63"/>
      <c r="B415" s="65"/>
      <c r="C415" s="65"/>
      <c r="D415" s="118"/>
      <c r="E415" s="66"/>
      <c r="U415" s="151"/>
      <c r="V415" s="151"/>
      <c r="W415" s="151"/>
      <c r="X415" s="151"/>
      <c r="Y415" s="151"/>
      <c r="Z415" s="151"/>
      <c r="AA415" s="151"/>
      <c r="AB415" s="151"/>
      <c r="AC415" s="151"/>
      <c r="AD415" s="151"/>
      <c r="AE415" s="151"/>
      <c r="AF415" s="151"/>
      <c r="AG415" s="151"/>
      <c r="AH415" s="151"/>
      <c r="AI415" s="151"/>
      <c r="AJ415" s="151"/>
      <c r="AK415" s="151"/>
      <c r="AL415" s="151"/>
      <c r="AM415" s="151"/>
      <c r="AN415" s="151"/>
      <c r="AO415" s="151"/>
      <c r="AP415" s="151"/>
      <c r="AQ415" s="151"/>
      <c r="AR415" s="151"/>
      <c r="AS415" s="151"/>
      <c r="AT415" s="151"/>
      <c r="AU415" s="151"/>
      <c r="AV415" s="151"/>
      <c r="AW415" s="151"/>
      <c r="AX415" s="151"/>
      <c r="AY415" s="151"/>
      <c r="AZ415" s="151"/>
      <c r="BA415" s="151"/>
      <c r="BB415" s="151"/>
      <c r="BC415" s="151"/>
      <c r="BD415" s="151"/>
      <c r="BE415" s="151"/>
      <c r="BF415" s="151"/>
      <c r="BG415" s="151"/>
      <c r="BH415" s="151"/>
      <c r="BI415" s="151"/>
      <c r="BJ415" s="151"/>
      <c r="BK415" s="151"/>
      <c r="BL415" s="122"/>
      <c r="BM415" s="122"/>
      <c r="BN415" s="122"/>
      <c r="BO415" s="122"/>
      <c r="BP415" s="122"/>
      <c r="BQ415" s="122"/>
      <c r="BR415" s="122"/>
    </row>
    <row r="416" spans="1:70" x14ac:dyDescent="0.25">
      <c r="A416" s="63"/>
      <c r="B416" s="65"/>
      <c r="C416" s="65"/>
      <c r="D416" s="118"/>
      <c r="E416" s="66"/>
      <c r="U416" s="151"/>
      <c r="V416" s="151"/>
      <c r="W416" s="151"/>
      <c r="X416" s="151"/>
      <c r="Y416" s="151"/>
      <c r="Z416" s="151"/>
      <c r="AA416" s="151"/>
      <c r="AB416" s="151"/>
      <c r="AC416" s="151"/>
      <c r="AD416" s="151"/>
      <c r="AE416" s="151"/>
      <c r="AF416" s="151"/>
      <c r="AG416" s="151"/>
      <c r="AH416" s="151"/>
      <c r="AI416" s="151"/>
      <c r="AJ416" s="151"/>
      <c r="AK416" s="151"/>
      <c r="AL416" s="151"/>
      <c r="AM416" s="151"/>
      <c r="AN416" s="151"/>
      <c r="AO416" s="151"/>
      <c r="AP416" s="151"/>
      <c r="AQ416" s="151"/>
      <c r="AR416" s="151"/>
      <c r="AS416" s="151"/>
      <c r="AT416" s="151"/>
      <c r="AU416" s="151"/>
      <c r="AV416" s="151"/>
      <c r="AW416" s="151"/>
      <c r="AX416" s="151"/>
      <c r="AY416" s="151"/>
      <c r="AZ416" s="151"/>
      <c r="BA416" s="151"/>
      <c r="BB416" s="151"/>
      <c r="BC416" s="151"/>
      <c r="BD416" s="151"/>
      <c r="BE416" s="151"/>
      <c r="BF416" s="151"/>
      <c r="BG416" s="151"/>
      <c r="BH416" s="151"/>
      <c r="BI416" s="151"/>
      <c r="BJ416" s="151"/>
      <c r="BK416" s="151"/>
      <c r="BL416" s="122"/>
      <c r="BM416" s="122"/>
      <c r="BN416" s="122"/>
      <c r="BO416" s="122"/>
      <c r="BP416" s="122"/>
      <c r="BQ416" s="122"/>
      <c r="BR416" s="122"/>
    </row>
    <row r="417" spans="1:70" x14ac:dyDescent="0.25">
      <c r="A417" s="63"/>
      <c r="B417" s="65"/>
      <c r="C417" s="65"/>
      <c r="D417" s="118"/>
      <c r="E417" s="66"/>
      <c r="U417" s="151"/>
      <c r="V417" s="151"/>
      <c r="W417" s="151"/>
      <c r="X417" s="151"/>
      <c r="Y417" s="151"/>
      <c r="Z417" s="151"/>
      <c r="AA417" s="151"/>
      <c r="AB417" s="151"/>
      <c r="AC417" s="151"/>
      <c r="AD417" s="151"/>
      <c r="AE417" s="151"/>
      <c r="AF417" s="151"/>
      <c r="AG417" s="151"/>
      <c r="AH417" s="151"/>
      <c r="AI417" s="151"/>
      <c r="AJ417" s="151"/>
      <c r="AK417" s="151"/>
      <c r="AL417" s="151"/>
      <c r="AM417" s="151"/>
      <c r="AN417" s="151"/>
      <c r="AO417" s="151"/>
      <c r="AP417" s="151"/>
      <c r="AQ417" s="151"/>
      <c r="AR417" s="151"/>
      <c r="AS417" s="151"/>
      <c r="AT417" s="151"/>
      <c r="AU417" s="151"/>
      <c r="AV417" s="151"/>
      <c r="AW417" s="151"/>
      <c r="AX417" s="151"/>
      <c r="AY417" s="151"/>
      <c r="AZ417" s="151"/>
      <c r="BA417" s="151"/>
      <c r="BB417" s="151"/>
      <c r="BC417" s="151"/>
      <c r="BD417" s="151"/>
      <c r="BE417" s="151"/>
      <c r="BF417" s="151"/>
      <c r="BG417" s="151"/>
      <c r="BH417" s="151"/>
      <c r="BI417" s="151"/>
      <c r="BJ417" s="151"/>
      <c r="BK417" s="151"/>
      <c r="BL417" s="122"/>
      <c r="BM417" s="122"/>
      <c r="BN417" s="122"/>
      <c r="BO417" s="122"/>
      <c r="BP417" s="122"/>
      <c r="BQ417" s="122"/>
      <c r="BR417" s="122"/>
    </row>
    <row r="418" spans="1:70" x14ac:dyDescent="0.25">
      <c r="A418" s="63"/>
      <c r="B418" s="65"/>
      <c r="C418" s="65"/>
      <c r="D418" s="118"/>
      <c r="E418" s="66"/>
      <c r="U418" s="151"/>
      <c r="V418" s="151"/>
      <c r="W418" s="151"/>
      <c r="X418" s="151"/>
      <c r="Y418" s="151"/>
      <c r="Z418" s="151"/>
      <c r="AA418" s="151"/>
      <c r="AB418" s="151"/>
      <c r="AC418" s="151"/>
      <c r="AD418" s="151"/>
      <c r="AE418" s="151"/>
      <c r="AF418" s="151"/>
      <c r="AG418" s="151"/>
      <c r="AH418" s="151"/>
      <c r="AI418" s="151"/>
      <c r="AJ418" s="151"/>
      <c r="AK418" s="151"/>
      <c r="AL418" s="151"/>
      <c r="AM418" s="151"/>
      <c r="AN418" s="151"/>
      <c r="AO418" s="151"/>
      <c r="AP418" s="151"/>
      <c r="AQ418" s="151"/>
      <c r="AR418" s="151"/>
      <c r="AS418" s="151"/>
      <c r="AT418" s="151"/>
      <c r="AU418" s="151"/>
      <c r="AV418" s="151"/>
      <c r="AW418" s="151"/>
      <c r="AX418" s="151"/>
      <c r="AY418" s="151"/>
      <c r="AZ418" s="151"/>
      <c r="BA418" s="151"/>
      <c r="BB418" s="151"/>
      <c r="BC418" s="151"/>
      <c r="BD418" s="151"/>
      <c r="BE418" s="151"/>
      <c r="BF418" s="151"/>
      <c r="BG418" s="151"/>
      <c r="BH418" s="151"/>
      <c r="BI418" s="151"/>
      <c r="BJ418" s="151"/>
      <c r="BK418" s="151"/>
      <c r="BL418" s="122"/>
      <c r="BM418" s="122"/>
      <c r="BN418" s="122"/>
      <c r="BO418" s="122"/>
      <c r="BP418" s="122"/>
      <c r="BQ418" s="122"/>
      <c r="BR418" s="122"/>
    </row>
    <row r="419" spans="1:70" x14ac:dyDescent="0.25">
      <c r="A419" s="63"/>
      <c r="B419" s="65"/>
      <c r="C419" s="65"/>
      <c r="D419" s="118"/>
      <c r="E419" s="66"/>
      <c r="U419" s="151"/>
      <c r="V419" s="151"/>
      <c r="W419" s="151"/>
      <c r="X419" s="151"/>
      <c r="Y419" s="151"/>
      <c r="Z419" s="151"/>
      <c r="AA419" s="151"/>
      <c r="AB419" s="151"/>
      <c r="AC419" s="151"/>
      <c r="AD419" s="151"/>
      <c r="AE419" s="151"/>
      <c r="AF419" s="151"/>
      <c r="AG419" s="151"/>
      <c r="AH419" s="151"/>
      <c r="AI419" s="151"/>
      <c r="AJ419" s="151"/>
      <c r="AK419" s="151"/>
      <c r="AL419" s="151"/>
      <c r="AM419" s="151"/>
      <c r="AN419" s="151"/>
      <c r="AO419" s="151"/>
      <c r="AP419" s="151"/>
      <c r="AQ419" s="151"/>
      <c r="AR419" s="151"/>
      <c r="AS419" s="151"/>
      <c r="AT419" s="151"/>
      <c r="AU419" s="151"/>
      <c r="AV419" s="151"/>
      <c r="AW419" s="151"/>
      <c r="AX419" s="151"/>
      <c r="AY419" s="151"/>
      <c r="AZ419" s="151"/>
      <c r="BA419" s="151"/>
      <c r="BB419" s="151"/>
      <c r="BC419" s="151"/>
      <c r="BD419" s="151"/>
      <c r="BE419" s="151"/>
      <c r="BF419" s="151"/>
      <c r="BG419" s="151"/>
      <c r="BH419" s="151"/>
      <c r="BI419" s="151"/>
      <c r="BJ419" s="151"/>
      <c r="BK419" s="151"/>
      <c r="BL419" s="122"/>
      <c r="BM419" s="122"/>
      <c r="BN419" s="122"/>
      <c r="BO419" s="122"/>
      <c r="BP419" s="122"/>
      <c r="BQ419" s="122"/>
      <c r="BR419" s="122"/>
    </row>
    <row r="420" spans="1:70" x14ac:dyDescent="0.25">
      <c r="A420" s="63"/>
      <c r="B420" s="65"/>
      <c r="C420" s="65"/>
      <c r="D420" s="118"/>
      <c r="E420" s="66"/>
      <c r="U420" s="151"/>
      <c r="V420" s="151"/>
      <c r="W420" s="151"/>
      <c r="X420" s="151"/>
      <c r="Y420" s="151"/>
      <c r="Z420" s="151"/>
      <c r="AA420" s="151"/>
      <c r="AB420" s="151"/>
      <c r="AC420" s="151"/>
      <c r="AD420" s="151"/>
      <c r="AE420" s="151"/>
      <c r="AF420" s="151"/>
      <c r="AG420" s="151"/>
      <c r="AH420" s="151"/>
      <c r="AI420" s="151"/>
      <c r="AJ420" s="151"/>
      <c r="AK420" s="151"/>
      <c r="AL420" s="151"/>
      <c r="AM420" s="151"/>
      <c r="AN420" s="151"/>
      <c r="AO420" s="151"/>
      <c r="AP420" s="151"/>
      <c r="AQ420" s="151"/>
      <c r="AR420" s="151"/>
      <c r="AS420" s="151"/>
      <c r="AT420" s="151"/>
      <c r="AU420" s="151"/>
      <c r="AV420" s="151"/>
      <c r="AW420" s="151"/>
      <c r="AX420" s="151"/>
      <c r="AY420" s="151"/>
      <c r="AZ420" s="151"/>
      <c r="BA420" s="151"/>
      <c r="BB420" s="151"/>
      <c r="BC420" s="151"/>
      <c r="BD420" s="151"/>
      <c r="BE420" s="151"/>
      <c r="BF420" s="151"/>
      <c r="BG420" s="151"/>
      <c r="BH420" s="151"/>
      <c r="BI420" s="151"/>
      <c r="BJ420" s="151"/>
      <c r="BK420" s="151"/>
      <c r="BL420" s="122"/>
      <c r="BM420" s="122"/>
      <c r="BN420" s="122"/>
      <c r="BO420" s="122"/>
      <c r="BP420" s="122"/>
      <c r="BQ420" s="122"/>
      <c r="BR420" s="122"/>
    </row>
    <row r="421" spans="1:70" x14ac:dyDescent="0.25">
      <c r="A421" s="63"/>
      <c r="B421" s="65"/>
      <c r="C421" s="65"/>
      <c r="D421" s="118"/>
      <c r="E421" s="66"/>
      <c r="U421" s="151"/>
      <c r="V421" s="151"/>
      <c r="W421" s="151"/>
      <c r="X421" s="151"/>
      <c r="Y421" s="151"/>
      <c r="Z421" s="151"/>
      <c r="AA421" s="151"/>
      <c r="AB421" s="151"/>
      <c r="AC421" s="151"/>
      <c r="AD421" s="151"/>
      <c r="AE421" s="151"/>
      <c r="AF421" s="151"/>
      <c r="AG421" s="151"/>
      <c r="AH421" s="151"/>
      <c r="AI421" s="151"/>
      <c r="AJ421" s="151"/>
      <c r="AK421" s="151"/>
      <c r="AL421" s="151"/>
      <c r="AM421" s="151"/>
      <c r="AN421" s="151"/>
      <c r="AO421" s="151"/>
      <c r="AP421" s="151"/>
      <c r="AQ421" s="151"/>
      <c r="AR421" s="151"/>
      <c r="AS421" s="151"/>
      <c r="AT421" s="151"/>
      <c r="AU421" s="151"/>
      <c r="AV421" s="151"/>
      <c r="AW421" s="151"/>
      <c r="AX421" s="151"/>
      <c r="AY421" s="151"/>
      <c r="AZ421" s="151"/>
      <c r="BA421" s="151"/>
      <c r="BB421" s="151"/>
      <c r="BC421" s="151"/>
      <c r="BD421" s="151"/>
      <c r="BE421" s="151"/>
      <c r="BF421" s="151"/>
      <c r="BG421" s="151"/>
      <c r="BH421" s="151"/>
      <c r="BI421" s="151"/>
      <c r="BJ421" s="151"/>
      <c r="BK421" s="151"/>
      <c r="BL421" s="122"/>
      <c r="BM421" s="122"/>
      <c r="BN421" s="122"/>
      <c r="BO421" s="122"/>
      <c r="BP421" s="122"/>
      <c r="BQ421" s="122"/>
      <c r="BR421" s="122"/>
    </row>
    <row r="422" spans="1:70" x14ac:dyDescent="0.25">
      <c r="A422" s="63"/>
      <c r="B422" s="65"/>
      <c r="C422" s="65"/>
      <c r="D422" s="118"/>
      <c r="E422" s="66"/>
      <c r="U422" s="151"/>
      <c r="V422" s="151"/>
      <c r="W422" s="151"/>
      <c r="X422" s="151"/>
      <c r="Y422" s="151"/>
      <c r="Z422" s="151"/>
      <c r="AA422" s="151"/>
      <c r="AB422" s="151"/>
      <c r="AC422" s="151"/>
      <c r="AD422" s="151"/>
      <c r="AE422" s="151"/>
      <c r="AF422" s="151"/>
      <c r="AG422" s="151"/>
      <c r="AH422" s="151"/>
      <c r="AI422" s="151"/>
      <c r="AJ422" s="151"/>
      <c r="AK422" s="151"/>
      <c r="AL422" s="151"/>
      <c r="AM422" s="151"/>
      <c r="AN422" s="151"/>
      <c r="AO422" s="151"/>
      <c r="AP422" s="151"/>
      <c r="AQ422" s="151"/>
      <c r="AR422" s="151"/>
      <c r="AS422" s="151"/>
      <c r="AT422" s="151"/>
      <c r="AU422" s="151"/>
      <c r="AV422" s="151"/>
      <c r="AW422" s="151"/>
      <c r="AX422" s="151"/>
      <c r="AY422" s="151"/>
      <c r="AZ422" s="151"/>
      <c r="BA422" s="151"/>
      <c r="BB422" s="151"/>
      <c r="BC422" s="151"/>
      <c r="BD422" s="151"/>
      <c r="BE422" s="151"/>
      <c r="BF422" s="151"/>
      <c r="BG422" s="151"/>
      <c r="BH422" s="151"/>
      <c r="BI422" s="151"/>
      <c r="BJ422" s="151"/>
      <c r="BK422" s="151"/>
      <c r="BL422" s="122"/>
      <c r="BM422" s="122"/>
      <c r="BN422" s="122"/>
      <c r="BO422" s="122"/>
      <c r="BP422" s="122"/>
      <c r="BQ422" s="122"/>
      <c r="BR422" s="122"/>
    </row>
    <row r="423" spans="1:70" x14ac:dyDescent="0.25">
      <c r="A423" s="63"/>
      <c r="B423" s="65"/>
      <c r="C423" s="65"/>
      <c r="D423" s="118"/>
      <c r="E423" s="66"/>
      <c r="U423" s="151"/>
      <c r="V423" s="151"/>
      <c r="W423" s="151"/>
      <c r="X423" s="151"/>
      <c r="Y423" s="151"/>
      <c r="Z423" s="151"/>
      <c r="AA423" s="151"/>
      <c r="AB423" s="151"/>
      <c r="AC423" s="151"/>
      <c r="AD423" s="151"/>
      <c r="AE423" s="151"/>
      <c r="AF423" s="151"/>
      <c r="AG423" s="151"/>
      <c r="AH423" s="151"/>
      <c r="AI423" s="151"/>
      <c r="AJ423" s="151"/>
      <c r="AK423" s="151"/>
      <c r="AL423" s="151"/>
      <c r="AM423" s="151"/>
      <c r="AN423" s="151"/>
      <c r="AO423" s="151"/>
      <c r="AP423" s="151"/>
      <c r="AQ423" s="151"/>
      <c r="AR423" s="151"/>
      <c r="AS423" s="151"/>
      <c r="AT423" s="151"/>
      <c r="AU423" s="151"/>
      <c r="AV423" s="151"/>
      <c r="AW423" s="151"/>
      <c r="AX423" s="151"/>
      <c r="AY423" s="151"/>
      <c r="AZ423" s="151"/>
      <c r="BA423" s="151"/>
      <c r="BB423" s="151"/>
      <c r="BC423" s="151"/>
      <c r="BD423" s="151"/>
      <c r="BE423" s="151"/>
      <c r="BF423" s="151"/>
      <c r="BG423" s="151"/>
      <c r="BH423" s="151"/>
      <c r="BI423" s="151"/>
      <c r="BJ423" s="151"/>
      <c r="BK423" s="151"/>
      <c r="BL423" s="122"/>
      <c r="BM423" s="122"/>
      <c r="BN423" s="122"/>
      <c r="BO423" s="122"/>
      <c r="BP423" s="122"/>
      <c r="BQ423" s="122"/>
      <c r="BR423" s="122"/>
    </row>
    <row r="424" spans="1:70" x14ac:dyDescent="0.25">
      <c r="A424" s="63"/>
      <c r="B424" s="65"/>
      <c r="C424" s="65"/>
      <c r="D424" s="118"/>
      <c r="E424" s="66"/>
      <c r="U424" s="151"/>
      <c r="V424" s="151"/>
      <c r="W424" s="151"/>
      <c r="X424" s="151"/>
      <c r="Y424" s="151"/>
      <c r="Z424" s="151"/>
      <c r="AA424" s="151"/>
      <c r="AB424" s="151"/>
      <c r="AC424" s="151"/>
      <c r="AD424" s="151"/>
      <c r="AE424" s="151"/>
      <c r="AF424" s="151"/>
      <c r="AG424" s="151"/>
      <c r="AH424" s="151"/>
      <c r="AI424" s="151"/>
      <c r="AJ424" s="151"/>
      <c r="AK424" s="151"/>
      <c r="AL424" s="151"/>
      <c r="AM424" s="151"/>
      <c r="AN424" s="151"/>
      <c r="AO424" s="151"/>
      <c r="AP424" s="151"/>
      <c r="AQ424" s="151"/>
      <c r="AR424" s="151"/>
      <c r="AS424" s="151"/>
      <c r="AT424" s="151"/>
      <c r="AU424" s="151"/>
      <c r="AV424" s="151"/>
      <c r="AW424" s="151"/>
      <c r="AX424" s="151"/>
      <c r="AY424" s="151"/>
      <c r="AZ424" s="151"/>
      <c r="BA424" s="151"/>
      <c r="BB424" s="151"/>
      <c r="BC424" s="151"/>
      <c r="BD424" s="151"/>
      <c r="BE424" s="151"/>
      <c r="BF424" s="151"/>
      <c r="BG424" s="151"/>
      <c r="BH424" s="151"/>
      <c r="BI424" s="151"/>
      <c r="BJ424" s="151"/>
      <c r="BK424" s="151"/>
      <c r="BL424" s="122"/>
      <c r="BM424" s="122"/>
      <c r="BN424" s="122"/>
      <c r="BO424" s="122"/>
      <c r="BP424" s="122"/>
      <c r="BQ424" s="122"/>
      <c r="BR424" s="122"/>
    </row>
    <row r="425" spans="1:70" x14ac:dyDescent="0.25">
      <c r="A425" s="63"/>
      <c r="B425" s="65"/>
      <c r="C425" s="65"/>
      <c r="D425" s="118"/>
      <c r="E425" s="66"/>
      <c r="U425" s="151"/>
      <c r="V425" s="151"/>
      <c r="W425" s="151"/>
      <c r="X425" s="151"/>
      <c r="Y425" s="151"/>
      <c r="Z425" s="151"/>
      <c r="AA425" s="151"/>
      <c r="AB425" s="151"/>
      <c r="AC425" s="151"/>
      <c r="AD425" s="151"/>
      <c r="AE425" s="151"/>
      <c r="AF425" s="151"/>
      <c r="AG425" s="151"/>
      <c r="AH425" s="151"/>
      <c r="AI425" s="151"/>
      <c r="AJ425" s="151"/>
      <c r="AK425" s="151"/>
      <c r="AL425" s="151"/>
      <c r="AM425" s="151"/>
      <c r="AN425" s="151"/>
      <c r="AO425" s="151"/>
      <c r="AP425" s="151"/>
      <c r="AQ425" s="151"/>
      <c r="AR425" s="151"/>
      <c r="AS425" s="151"/>
      <c r="AT425" s="151"/>
      <c r="AU425" s="151"/>
      <c r="AV425" s="151"/>
      <c r="AW425" s="151"/>
      <c r="AX425" s="151"/>
      <c r="AY425" s="151"/>
      <c r="AZ425" s="151"/>
      <c r="BA425" s="151"/>
      <c r="BB425" s="151"/>
      <c r="BC425" s="151"/>
      <c r="BD425" s="151"/>
      <c r="BE425" s="151"/>
      <c r="BF425" s="151"/>
      <c r="BG425" s="151"/>
      <c r="BH425" s="151"/>
      <c r="BI425" s="151"/>
      <c r="BJ425" s="151"/>
      <c r="BK425" s="151"/>
      <c r="BL425" s="122"/>
      <c r="BM425" s="122"/>
      <c r="BN425" s="122"/>
      <c r="BO425" s="122"/>
      <c r="BP425" s="122"/>
      <c r="BQ425" s="122"/>
      <c r="BR425" s="122"/>
    </row>
    <row r="426" spans="1:70" x14ac:dyDescent="0.25">
      <c r="A426" s="63"/>
      <c r="B426" s="65"/>
      <c r="C426" s="65"/>
      <c r="D426" s="118"/>
      <c r="E426" s="66"/>
      <c r="U426" s="151"/>
      <c r="V426" s="151"/>
      <c r="W426" s="151"/>
      <c r="X426" s="151"/>
      <c r="Y426" s="151"/>
      <c r="Z426" s="151"/>
      <c r="AA426" s="151"/>
      <c r="AB426" s="151"/>
      <c r="AC426" s="151"/>
      <c r="AD426" s="151"/>
      <c r="AE426" s="151"/>
      <c r="AF426" s="151"/>
      <c r="AG426" s="151"/>
      <c r="AH426" s="151"/>
      <c r="AI426" s="151"/>
      <c r="AJ426" s="151"/>
      <c r="AK426" s="151"/>
      <c r="AL426" s="151"/>
      <c r="AM426" s="151"/>
      <c r="AN426" s="151"/>
      <c r="AO426" s="151"/>
      <c r="AP426" s="151"/>
      <c r="AQ426" s="151"/>
      <c r="AR426" s="151"/>
      <c r="AS426" s="151"/>
      <c r="AT426" s="151"/>
      <c r="AU426" s="151"/>
      <c r="AV426" s="151"/>
      <c r="AW426" s="151"/>
      <c r="AX426" s="151"/>
      <c r="AY426" s="151"/>
      <c r="AZ426" s="151"/>
      <c r="BA426" s="151"/>
      <c r="BB426" s="151"/>
      <c r="BC426" s="151"/>
      <c r="BD426" s="151"/>
      <c r="BE426" s="151"/>
      <c r="BF426" s="151"/>
      <c r="BG426" s="151"/>
      <c r="BH426" s="151"/>
      <c r="BI426" s="151"/>
      <c r="BJ426" s="151"/>
      <c r="BK426" s="151"/>
      <c r="BL426" s="122"/>
      <c r="BM426" s="122"/>
      <c r="BN426" s="122"/>
      <c r="BO426" s="122"/>
      <c r="BP426" s="122"/>
      <c r="BQ426" s="122"/>
      <c r="BR426" s="122"/>
    </row>
    <row r="427" spans="1:70" x14ac:dyDescent="0.25">
      <c r="A427" s="63"/>
      <c r="B427" s="64"/>
      <c r="C427" s="65"/>
      <c r="D427" s="118"/>
      <c r="E427" s="66"/>
      <c r="U427" s="151"/>
      <c r="V427" s="151"/>
      <c r="W427" s="151"/>
      <c r="X427" s="151"/>
      <c r="Y427" s="151"/>
      <c r="Z427" s="151"/>
      <c r="AA427" s="151"/>
      <c r="AB427" s="151"/>
      <c r="AC427" s="151"/>
      <c r="AD427" s="151"/>
      <c r="AE427" s="151"/>
      <c r="AF427" s="151"/>
      <c r="AG427" s="151"/>
      <c r="AH427" s="151"/>
      <c r="AI427" s="151"/>
      <c r="AJ427" s="151"/>
      <c r="AK427" s="151"/>
      <c r="AL427" s="151"/>
      <c r="AM427" s="151"/>
      <c r="AN427" s="151"/>
      <c r="AO427" s="151"/>
      <c r="AP427" s="151"/>
      <c r="AQ427" s="151"/>
      <c r="AR427" s="151"/>
      <c r="AS427" s="151"/>
      <c r="AT427" s="151"/>
      <c r="AU427" s="151"/>
      <c r="AV427" s="151"/>
      <c r="AW427" s="151"/>
      <c r="AX427" s="151"/>
      <c r="AY427" s="151"/>
      <c r="AZ427" s="151"/>
      <c r="BA427" s="151"/>
      <c r="BB427" s="151"/>
      <c r="BC427" s="151"/>
      <c r="BD427" s="151"/>
      <c r="BE427" s="151"/>
      <c r="BF427" s="151"/>
      <c r="BG427" s="151"/>
      <c r="BH427" s="151"/>
      <c r="BI427" s="151"/>
      <c r="BJ427" s="151"/>
      <c r="BK427" s="151"/>
      <c r="BL427" s="122"/>
      <c r="BM427" s="122"/>
      <c r="BN427" s="122"/>
      <c r="BO427" s="122"/>
      <c r="BP427" s="122"/>
      <c r="BQ427" s="122"/>
      <c r="BR427" s="122"/>
    </row>
    <row r="428" spans="1:70" x14ac:dyDescent="0.25">
      <c r="A428" s="63"/>
      <c r="B428" s="65"/>
      <c r="C428" s="65"/>
      <c r="D428" s="118"/>
      <c r="E428" s="66"/>
      <c r="U428" s="151"/>
      <c r="V428" s="151"/>
      <c r="W428" s="151"/>
      <c r="X428" s="151"/>
      <c r="Y428" s="151"/>
      <c r="Z428" s="151"/>
      <c r="AA428" s="151"/>
      <c r="AB428" s="151"/>
      <c r="AC428" s="151"/>
      <c r="AD428" s="151"/>
      <c r="AE428" s="151"/>
      <c r="AF428" s="151"/>
      <c r="AG428" s="151"/>
      <c r="AH428" s="151"/>
      <c r="AI428" s="151"/>
      <c r="AJ428" s="151"/>
      <c r="AK428" s="151"/>
      <c r="AL428" s="151"/>
      <c r="AM428" s="151"/>
      <c r="AN428" s="151"/>
      <c r="AO428" s="151"/>
      <c r="AP428" s="151"/>
      <c r="AQ428" s="151"/>
      <c r="AR428" s="151"/>
      <c r="AS428" s="151"/>
      <c r="AT428" s="151"/>
      <c r="AU428" s="151"/>
      <c r="AV428" s="151"/>
      <c r="AW428" s="151"/>
      <c r="AX428" s="151"/>
      <c r="AY428" s="151"/>
      <c r="AZ428" s="151"/>
      <c r="BA428" s="151"/>
      <c r="BB428" s="151"/>
      <c r="BC428" s="151"/>
      <c r="BD428" s="151"/>
      <c r="BE428" s="151"/>
      <c r="BF428" s="151"/>
      <c r="BG428" s="151"/>
      <c r="BH428" s="151"/>
      <c r="BI428" s="151"/>
      <c r="BJ428" s="151"/>
      <c r="BK428" s="151"/>
      <c r="BL428" s="122"/>
      <c r="BM428" s="122"/>
      <c r="BN428" s="122"/>
      <c r="BO428" s="122"/>
      <c r="BP428" s="122"/>
      <c r="BQ428" s="122"/>
      <c r="BR428" s="122"/>
    </row>
    <row r="429" spans="1:70" x14ac:dyDescent="0.25">
      <c r="A429" s="63"/>
      <c r="B429" s="65"/>
      <c r="C429" s="65"/>
      <c r="D429" s="118"/>
      <c r="E429" s="66"/>
      <c r="U429" s="151"/>
      <c r="V429" s="151"/>
      <c r="W429" s="151"/>
      <c r="X429" s="151"/>
      <c r="Y429" s="151"/>
      <c r="Z429" s="151"/>
      <c r="AA429" s="151"/>
      <c r="AB429" s="151"/>
      <c r="AC429" s="151"/>
      <c r="AD429" s="151"/>
      <c r="AE429" s="151"/>
      <c r="AF429" s="151"/>
      <c r="AG429" s="151"/>
      <c r="AH429" s="151"/>
      <c r="AI429" s="151"/>
      <c r="AJ429" s="151"/>
      <c r="AK429" s="151"/>
      <c r="AL429" s="151"/>
      <c r="AM429" s="151"/>
      <c r="AN429" s="151"/>
      <c r="AO429" s="151"/>
      <c r="AP429" s="151"/>
      <c r="AQ429" s="151"/>
      <c r="AR429" s="151"/>
      <c r="AS429" s="151"/>
      <c r="AT429" s="151"/>
      <c r="AU429" s="151"/>
      <c r="AV429" s="151"/>
      <c r="AW429" s="151"/>
      <c r="AX429" s="151"/>
      <c r="AY429" s="151"/>
      <c r="AZ429" s="151"/>
      <c r="BA429" s="151"/>
      <c r="BB429" s="151"/>
      <c r="BC429" s="151"/>
      <c r="BD429" s="151"/>
      <c r="BE429" s="151"/>
      <c r="BF429" s="151"/>
      <c r="BG429" s="151"/>
      <c r="BH429" s="151"/>
      <c r="BI429" s="151"/>
      <c r="BJ429" s="151"/>
      <c r="BK429" s="151"/>
      <c r="BL429" s="122"/>
      <c r="BM429" s="122"/>
      <c r="BN429" s="122"/>
      <c r="BO429" s="122"/>
      <c r="BP429" s="122"/>
      <c r="BQ429" s="122"/>
      <c r="BR429" s="122"/>
    </row>
    <row r="430" spans="1:70" x14ac:dyDescent="0.25">
      <c r="A430" s="63"/>
      <c r="B430" s="65"/>
      <c r="C430" s="65"/>
      <c r="D430" s="118"/>
      <c r="E430" s="66"/>
      <c r="U430" s="151"/>
      <c r="V430" s="151"/>
      <c r="W430" s="151"/>
      <c r="X430" s="151"/>
      <c r="Y430" s="151"/>
      <c r="Z430" s="151"/>
      <c r="AA430" s="151"/>
      <c r="AB430" s="151"/>
      <c r="AC430" s="151"/>
      <c r="AD430" s="151"/>
      <c r="AE430" s="151"/>
      <c r="AF430" s="151"/>
      <c r="AG430" s="151"/>
      <c r="AH430" s="151"/>
      <c r="AI430" s="151"/>
      <c r="AJ430" s="151"/>
      <c r="AK430" s="151"/>
      <c r="AL430" s="151"/>
      <c r="AM430" s="151"/>
      <c r="AN430" s="151"/>
      <c r="AO430" s="151"/>
      <c r="AP430" s="151"/>
      <c r="AQ430" s="151"/>
      <c r="AR430" s="151"/>
      <c r="AS430" s="151"/>
      <c r="AT430" s="151"/>
      <c r="AU430" s="151"/>
      <c r="AV430" s="151"/>
      <c r="AW430" s="151"/>
      <c r="AX430" s="151"/>
      <c r="AY430" s="151"/>
      <c r="AZ430" s="151"/>
      <c r="BA430" s="151"/>
      <c r="BB430" s="151"/>
      <c r="BC430" s="151"/>
      <c r="BD430" s="151"/>
      <c r="BE430" s="151"/>
      <c r="BF430" s="151"/>
      <c r="BG430" s="151"/>
      <c r="BH430" s="151"/>
      <c r="BI430" s="151"/>
      <c r="BJ430" s="151"/>
      <c r="BK430" s="151"/>
      <c r="BL430" s="122"/>
      <c r="BM430" s="122"/>
      <c r="BN430" s="122"/>
      <c r="BO430" s="122"/>
      <c r="BP430" s="122"/>
      <c r="BQ430" s="122"/>
      <c r="BR430" s="122"/>
    </row>
    <row r="431" spans="1:70" x14ac:dyDescent="0.25">
      <c r="A431" s="63"/>
      <c r="B431" s="65"/>
      <c r="C431" s="65"/>
      <c r="D431" s="118"/>
      <c r="E431" s="66"/>
      <c r="U431" s="151"/>
      <c r="V431" s="151"/>
      <c r="W431" s="151"/>
      <c r="X431" s="151"/>
      <c r="Y431" s="151"/>
      <c r="Z431" s="151"/>
      <c r="AA431" s="151"/>
      <c r="AB431" s="151"/>
      <c r="AC431" s="151"/>
      <c r="AD431" s="151"/>
      <c r="AE431" s="151"/>
      <c r="AF431" s="151"/>
      <c r="AG431" s="151"/>
      <c r="AH431" s="151"/>
      <c r="AI431" s="151"/>
      <c r="AJ431" s="151"/>
      <c r="AK431" s="151"/>
      <c r="AL431" s="151"/>
      <c r="AM431" s="151"/>
      <c r="AN431" s="151"/>
      <c r="AO431" s="151"/>
      <c r="AP431" s="151"/>
      <c r="AQ431" s="151"/>
      <c r="AR431" s="151"/>
      <c r="AS431" s="151"/>
      <c r="AT431" s="151"/>
      <c r="AU431" s="151"/>
      <c r="AV431" s="151"/>
      <c r="AW431" s="151"/>
      <c r="AX431" s="151"/>
      <c r="AY431" s="151"/>
      <c r="AZ431" s="151"/>
      <c r="BA431" s="151"/>
      <c r="BB431" s="151"/>
      <c r="BC431" s="151"/>
      <c r="BD431" s="151"/>
      <c r="BE431" s="151"/>
      <c r="BF431" s="151"/>
      <c r="BG431" s="151"/>
      <c r="BH431" s="151"/>
      <c r="BI431" s="151"/>
      <c r="BJ431" s="151"/>
      <c r="BK431" s="151"/>
      <c r="BL431" s="122"/>
      <c r="BM431" s="122"/>
      <c r="BN431" s="122"/>
      <c r="BO431" s="122"/>
      <c r="BP431" s="122"/>
      <c r="BQ431" s="122"/>
      <c r="BR431" s="122"/>
    </row>
    <row r="432" spans="1:70" x14ac:dyDescent="0.25">
      <c r="A432" s="63"/>
      <c r="B432" s="65"/>
      <c r="C432" s="65"/>
      <c r="D432" s="118"/>
      <c r="E432" s="66"/>
      <c r="U432" s="151"/>
      <c r="V432" s="151"/>
      <c r="W432" s="151"/>
      <c r="X432" s="151"/>
      <c r="Y432" s="151"/>
      <c r="Z432" s="151"/>
      <c r="AA432" s="151"/>
      <c r="AB432" s="151"/>
      <c r="AC432" s="151"/>
      <c r="AD432" s="151"/>
      <c r="AE432" s="151"/>
      <c r="AF432" s="151"/>
      <c r="AG432" s="151"/>
      <c r="AH432" s="151"/>
      <c r="AI432" s="151"/>
      <c r="AJ432" s="151"/>
      <c r="AK432" s="151"/>
      <c r="AL432" s="151"/>
      <c r="AM432" s="151"/>
      <c r="AN432" s="151"/>
      <c r="AO432" s="151"/>
      <c r="AP432" s="151"/>
      <c r="AQ432" s="151"/>
      <c r="AR432" s="151"/>
      <c r="AS432" s="151"/>
      <c r="AT432" s="151"/>
      <c r="AU432" s="151"/>
      <c r="AV432" s="151"/>
      <c r="AW432" s="151"/>
      <c r="AX432" s="151"/>
      <c r="AY432" s="151"/>
      <c r="AZ432" s="151"/>
      <c r="BA432" s="151"/>
      <c r="BB432" s="151"/>
      <c r="BC432" s="151"/>
      <c r="BD432" s="151"/>
      <c r="BE432" s="151"/>
      <c r="BF432" s="151"/>
      <c r="BG432" s="151"/>
      <c r="BH432" s="151"/>
      <c r="BI432" s="151"/>
      <c r="BJ432" s="151"/>
      <c r="BK432" s="151"/>
      <c r="BL432" s="122"/>
      <c r="BM432" s="122"/>
      <c r="BN432" s="122"/>
      <c r="BO432" s="122"/>
      <c r="BP432" s="122"/>
      <c r="BQ432" s="122"/>
      <c r="BR432" s="122"/>
    </row>
    <row r="433" spans="1:70" x14ac:dyDescent="0.25">
      <c r="A433" s="63"/>
      <c r="B433" s="65"/>
      <c r="C433" s="65"/>
      <c r="D433" s="118"/>
      <c r="E433" s="66"/>
      <c r="U433" s="151"/>
      <c r="V433" s="151"/>
      <c r="W433" s="151"/>
      <c r="X433" s="151"/>
      <c r="Y433" s="151"/>
      <c r="Z433" s="151"/>
      <c r="AA433" s="151"/>
      <c r="AB433" s="151"/>
      <c r="AC433" s="151"/>
      <c r="AD433" s="151"/>
      <c r="AE433" s="151"/>
      <c r="AF433" s="151"/>
      <c r="AG433" s="151"/>
      <c r="AH433" s="151"/>
      <c r="AI433" s="151"/>
      <c r="AJ433" s="151"/>
      <c r="AK433" s="151"/>
      <c r="AL433" s="151"/>
      <c r="AM433" s="151"/>
      <c r="AN433" s="151"/>
      <c r="AO433" s="151"/>
      <c r="AP433" s="151"/>
      <c r="AQ433" s="151"/>
      <c r="AR433" s="151"/>
      <c r="AS433" s="151"/>
      <c r="AT433" s="151"/>
      <c r="AU433" s="151"/>
      <c r="AV433" s="151"/>
      <c r="AW433" s="151"/>
      <c r="AX433" s="151"/>
      <c r="AY433" s="151"/>
      <c r="AZ433" s="151"/>
      <c r="BA433" s="151"/>
      <c r="BB433" s="151"/>
      <c r="BC433" s="151"/>
      <c r="BD433" s="151"/>
      <c r="BE433" s="151"/>
      <c r="BF433" s="151"/>
      <c r="BG433" s="151"/>
      <c r="BH433" s="151"/>
      <c r="BI433" s="151"/>
      <c r="BJ433" s="151"/>
      <c r="BK433" s="151"/>
      <c r="BL433" s="122"/>
      <c r="BM433" s="122"/>
      <c r="BN433" s="122"/>
      <c r="BO433" s="122"/>
      <c r="BP433" s="122"/>
      <c r="BQ433" s="122"/>
      <c r="BR433" s="122"/>
    </row>
    <row r="434" spans="1:70" x14ac:dyDescent="0.25">
      <c r="A434" s="63"/>
      <c r="B434" s="65"/>
      <c r="C434" s="65"/>
      <c r="D434" s="118"/>
      <c r="E434" s="66"/>
      <c r="U434" s="151"/>
      <c r="V434" s="151"/>
      <c r="W434" s="151"/>
      <c r="X434" s="151"/>
      <c r="Y434" s="151"/>
      <c r="Z434" s="151"/>
      <c r="AA434" s="151"/>
      <c r="AB434" s="151"/>
      <c r="AC434" s="151"/>
      <c r="AD434" s="151"/>
      <c r="AE434" s="151"/>
      <c r="AF434" s="151"/>
      <c r="AG434" s="151"/>
      <c r="AH434" s="151"/>
      <c r="AI434" s="151"/>
      <c r="AJ434" s="151"/>
      <c r="AK434" s="151"/>
      <c r="AL434" s="151"/>
      <c r="AM434" s="151"/>
      <c r="AN434" s="151"/>
      <c r="AO434" s="151"/>
      <c r="AP434" s="151"/>
      <c r="AQ434" s="151"/>
      <c r="AR434" s="151"/>
      <c r="AS434" s="151"/>
      <c r="AT434" s="151"/>
      <c r="AU434" s="151"/>
      <c r="AV434" s="151"/>
      <c r="AW434" s="151"/>
      <c r="AX434" s="151"/>
      <c r="AY434" s="151"/>
      <c r="AZ434" s="151"/>
      <c r="BA434" s="151"/>
      <c r="BB434" s="151"/>
      <c r="BC434" s="151"/>
      <c r="BD434" s="151"/>
      <c r="BE434" s="151"/>
      <c r="BF434" s="151"/>
      <c r="BG434" s="151"/>
      <c r="BH434" s="151"/>
      <c r="BI434" s="151"/>
      <c r="BJ434" s="151"/>
      <c r="BK434" s="151"/>
      <c r="BL434" s="122"/>
      <c r="BM434" s="122"/>
      <c r="BN434" s="122"/>
      <c r="BO434" s="122"/>
      <c r="BP434" s="122"/>
      <c r="BQ434" s="122"/>
      <c r="BR434" s="122"/>
    </row>
    <row r="435" spans="1:70" x14ac:dyDescent="0.25">
      <c r="A435" s="63"/>
      <c r="B435" s="65"/>
      <c r="C435" s="65"/>
      <c r="D435" s="118"/>
      <c r="E435" s="66"/>
      <c r="U435" s="151"/>
      <c r="V435" s="151"/>
      <c r="W435" s="151"/>
      <c r="X435" s="151"/>
      <c r="Y435" s="151"/>
      <c r="Z435" s="151"/>
      <c r="AA435" s="151"/>
      <c r="AB435" s="151"/>
      <c r="AC435" s="151"/>
      <c r="AD435" s="151"/>
      <c r="AE435" s="151"/>
      <c r="AF435" s="151"/>
      <c r="AG435" s="151"/>
      <c r="AH435" s="151"/>
      <c r="AI435" s="151"/>
      <c r="AJ435" s="151"/>
      <c r="AK435" s="151"/>
      <c r="AL435" s="151"/>
      <c r="AM435" s="151"/>
      <c r="AN435" s="151"/>
      <c r="AO435" s="151"/>
      <c r="AP435" s="151"/>
      <c r="AQ435" s="151"/>
      <c r="AR435" s="151"/>
      <c r="AS435" s="151"/>
      <c r="AT435" s="151"/>
      <c r="AU435" s="151"/>
      <c r="AV435" s="151"/>
      <c r="AW435" s="151"/>
      <c r="AX435" s="151"/>
      <c r="AY435" s="151"/>
      <c r="AZ435" s="151"/>
      <c r="BA435" s="151"/>
      <c r="BB435" s="151"/>
      <c r="BC435" s="151"/>
      <c r="BD435" s="151"/>
      <c r="BE435" s="151"/>
      <c r="BF435" s="151"/>
      <c r="BG435" s="151"/>
      <c r="BH435" s="151"/>
      <c r="BI435" s="151"/>
      <c r="BJ435" s="151"/>
      <c r="BK435" s="151"/>
      <c r="BL435" s="122"/>
      <c r="BM435" s="122"/>
      <c r="BN435" s="122"/>
      <c r="BO435" s="122"/>
      <c r="BP435" s="122"/>
      <c r="BQ435" s="122"/>
      <c r="BR435" s="122"/>
    </row>
    <row r="436" spans="1:70" x14ac:dyDescent="0.25">
      <c r="A436" s="63"/>
      <c r="B436" s="65"/>
      <c r="C436" s="65"/>
      <c r="D436" s="118"/>
      <c r="E436" s="66"/>
      <c r="U436" s="151"/>
      <c r="V436" s="151"/>
      <c r="W436" s="151"/>
      <c r="X436" s="151"/>
      <c r="Y436" s="151"/>
      <c r="Z436" s="151"/>
      <c r="AA436" s="151"/>
      <c r="AB436" s="151"/>
      <c r="AC436" s="151"/>
      <c r="AD436" s="151"/>
      <c r="AE436" s="151"/>
      <c r="AF436" s="151"/>
      <c r="AG436" s="151"/>
      <c r="AH436" s="151"/>
      <c r="AI436" s="151"/>
      <c r="AJ436" s="151"/>
      <c r="AK436" s="151"/>
      <c r="AL436" s="151"/>
      <c r="AM436" s="151"/>
      <c r="AN436" s="151"/>
      <c r="AO436" s="151"/>
      <c r="AP436" s="151"/>
      <c r="AQ436" s="151"/>
      <c r="AR436" s="151"/>
      <c r="AS436" s="151"/>
      <c r="AT436" s="151"/>
      <c r="AU436" s="151"/>
      <c r="AV436" s="151"/>
      <c r="AW436" s="151"/>
      <c r="AX436" s="151"/>
      <c r="AY436" s="151"/>
      <c r="AZ436" s="151"/>
      <c r="BA436" s="151"/>
      <c r="BB436" s="151"/>
      <c r="BC436" s="151"/>
      <c r="BD436" s="151"/>
      <c r="BE436" s="151"/>
      <c r="BF436" s="151"/>
      <c r="BG436" s="151"/>
      <c r="BH436" s="151"/>
      <c r="BI436" s="151"/>
      <c r="BJ436" s="151"/>
      <c r="BK436" s="151"/>
      <c r="BL436" s="122"/>
      <c r="BM436" s="122"/>
      <c r="BN436" s="122"/>
      <c r="BO436" s="122"/>
      <c r="BP436" s="122"/>
      <c r="BQ436" s="122"/>
      <c r="BR436" s="122"/>
    </row>
    <row r="437" spans="1:70" x14ac:dyDescent="0.25">
      <c r="A437" s="63"/>
      <c r="B437" s="65"/>
      <c r="C437" s="65"/>
      <c r="D437" s="118"/>
      <c r="E437" s="66"/>
      <c r="U437" s="151"/>
      <c r="V437" s="151"/>
      <c r="W437" s="151"/>
      <c r="X437" s="151"/>
      <c r="Y437" s="151"/>
      <c r="Z437" s="151"/>
      <c r="AA437" s="151"/>
      <c r="AB437" s="151"/>
      <c r="AC437" s="151"/>
      <c r="AD437" s="151"/>
      <c r="AE437" s="151"/>
      <c r="AF437" s="151"/>
      <c r="AG437" s="151"/>
      <c r="AH437" s="151"/>
      <c r="AI437" s="151"/>
      <c r="AJ437" s="151"/>
      <c r="AK437" s="151"/>
      <c r="AL437" s="151"/>
      <c r="AM437" s="151"/>
      <c r="AN437" s="151"/>
      <c r="AO437" s="151"/>
      <c r="AP437" s="151"/>
      <c r="AQ437" s="151"/>
      <c r="AR437" s="151"/>
      <c r="AS437" s="151"/>
      <c r="AT437" s="151"/>
      <c r="AU437" s="151"/>
      <c r="AV437" s="151"/>
      <c r="AW437" s="151"/>
      <c r="AX437" s="151"/>
      <c r="AY437" s="151"/>
      <c r="AZ437" s="151"/>
      <c r="BA437" s="151"/>
      <c r="BB437" s="151"/>
      <c r="BC437" s="151"/>
      <c r="BD437" s="151"/>
      <c r="BE437" s="151"/>
      <c r="BF437" s="151"/>
      <c r="BG437" s="151"/>
      <c r="BH437" s="151"/>
      <c r="BI437" s="151"/>
      <c r="BJ437" s="151"/>
      <c r="BK437" s="151"/>
      <c r="BL437" s="122"/>
      <c r="BM437" s="122"/>
      <c r="BN437" s="122"/>
      <c r="BO437" s="122"/>
      <c r="BP437" s="122"/>
      <c r="BQ437" s="122"/>
      <c r="BR437" s="122"/>
    </row>
    <row r="438" spans="1:70" x14ac:dyDescent="0.25">
      <c r="A438" s="63"/>
      <c r="B438" s="65"/>
      <c r="C438" s="65"/>
      <c r="D438" s="118"/>
      <c r="E438" s="66"/>
      <c r="U438" s="151"/>
      <c r="V438" s="151"/>
      <c r="W438" s="151"/>
      <c r="X438" s="151"/>
      <c r="Y438" s="151"/>
      <c r="Z438" s="151"/>
      <c r="AA438" s="151"/>
      <c r="AB438" s="151"/>
      <c r="AC438" s="151"/>
      <c r="AD438" s="151"/>
      <c r="AE438" s="151"/>
      <c r="AF438" s="151"/>
      <c r="AG438" s="151"/>
      <c r="AH438" s="151"/>
      <c r="AI438" s="151"/>
      <c r="AJ438" s="151"/>
      <c r="AK438" s="151"/>
      <c r="AL438" s="151"/>
      <c r="AM438" s="151"/>
      <c r="AN438" s="151"/>
      <c r="AO438" s="151"/>
      <c r="AP438" s="151"/>
      <c r="AQ438" s="151"/>
      <c r="AR438" s="151"/>
      <c r="AS438" s="151"/>
      <c r="AT438" s="151"/>
      <c r="AU438" s="151"/>
      <c r="AV438" s="151"/>
      <c r="AW438" s="151"/>
      <c r="AX438" s="151"/>
      <c r="AY438" s="151"/>
      <c r="AZ438" s="151"/>
      <c r="BA438" s="151"/>
      <c r="BB438" s="151"/>
      <c r="BC438" s="151"/>
      <c r="BD438" s="151"/>
      <c r="BE438" s="151"/>
      <c r="BF438" s="151"/>
      <c r="BG438" s="151"/>
      <c r="BH438" s="151"/>
      <c r="BI438" s="151"/>
      <c r="BJ438" s="151"/>
      <c r="BK438" s="151"/>
      <c r="BL438" s="122"/>
      <c r="BM438" s="122"/>
      <c r="BN438" s="122"/>
      <c r="BO438" s="122"/>
      <c r="BP438" s="122"/>
      <c r="BQ438" s="122"/>
      <c r="BR438" s="122"/>
    </row>
    <row r="439" spans="1:70" x14ac:dyDescent="0.25">
      <c r="A439" s="63"/>
      <c r="B439" s="65"/>
      <c r="C439" s="65"/>
      <c r="D439" s="118"/>
      <c r="E439" s="66"/>
      <c r="U439" s="151"/>
      <c r="V439" s="151"/>
      <c r="W439" s="151"/>
      <c r="X439" s="151"/>
      <c r="Y439" s="151"/>
      <c r="Z439" s="151"/>
      <c r="AA439" s="151"/>
      <c r="AB439" s="151"/>
      <c r="AC439" s="151"/>
      <c r="AD439" s="151"/>
      <c r="AE439" s="151"/>
      <c r="AF439" s="151"/>
      <c r="AG439" s="151"/>
      <c r="AH439" s="151"/>
      <c r="AI439" s="151"/>
      <c r="AJ439" s="151"/>
      <c r="AK439" s="151"/>
      <c r="AL439" s="151"/>
      <c r="AM439" s="151"/>
      <c r="AN439" s="151"/>
      <c r="AO439" s="151"/>
      <c r="AP439" s="151"/>
      <c r="AQ439" s="151"/>
      <c r="AR439" s="151"/>
      <c r="AS439" s="151"/>
      <c r="AT439" s="151"/>
      <c r="AU439" s="151"/>
      <c r="AV439" s="151"/>
      <c r="AW439" s="151"/>
      <c r="AX439" s="151"/>
      <c r="AY439" s="151"/>
      <c r="AZ439" s="151"/>
      <c r="BA439" s="151"/>
      <c r="BB439" s="151"/>
      <c r="BC439" s="151"/>
      <c r="BD439" s="151"/>
      <c r="BE439" s="151"/>
      <c r="BF439" s="151"/>
      <c r="BG439" s="151"/>
      <c r="BH439" s="151"/>
      <c r="BI439" s="151"/>
      <c r="BJ439" s="151"/>
      <c r="BK439" s="151"/>
      <c r="BL439" s="122"/>
      <c r="BM439" s="122"/>
      <c r="BN439" s="122"/>
      <c r="BO439" s="122"/>
      <c r="BP439" s="122"/>
      <c r="BQ439" s="122"/>
      <c r="BR439" s="122"/>
    </row>
    <row r="440" spans="1:70" x14ac:dyDescent="0.25">
      <c r="A440" s="63"/>
      <c r="B440" s="65"/>
      <c r="C440" s="65"/>
      <c r="D440" s="118"/>
      <c r="E440" s="66"/>
      <c r="U440" s="151"/>
      <c r="V440" s="151"/>
      <c r="W440" s="151"/>
      <c r="X440" s="151"/>
      <c r="Y440" s="151"/>
      <c r="Z440" s="151"/>
      <c r="AA440" s="151"/>
      <c r="AB440" s="151"/>
      <c r="AC440" s="151"/>
      <c r="AD440" s="151"/>
      <c r="AE440" s="151"/>
      <c r="AF440" s="151"/>
      <c r="AG440" s="151"/>
      <c r="AH440" s="151"/>
      <c r="AI440" s="151"/>
      <c r="AJ440" s="151"/>
      <c r="AK440" s="151"/>
      <c r="AL440" s="151"/>
      <c r="AM440" s="151"/>
      <c r="AN440" s="151"/>
      <c r="AO440" s="151"/>
      <c r="AP440" s="151"/>
      <c r="AQ440" s="151"/>
      <c r="AR440" s="151"/>
      <c r="AS440" s="151"/>
      <c r="AT440" s="151"/>
      <c r="AU440" s="151"/>
      <c r="AV440" s="151"/>
      <c r="AW440" s="151"/>
      <c r="AX440" s="151"/>
      <c r="AY440" s="151"/>
      <c r="AZ440" s="151"/>
      <c r="BA440" s="151"/>
      <c r="BB440" s="151"/>
      <c r="BC440" s="151"/>
      <c r="BD440" s="151"/>
      <c r="BE440" s="151"/>
      <c r="BF440" s="151"/>
      <c r="BG440" s="151"/>
      <c r="BH440" s="151"/>
      <c r="BI440" s="151"/>
      <c r="BJ440" s="151"/>
      <c r="BK440" s="151"/>
      <c r="BL440" s="122"/>
      <c r="BM440" s="122"/>
      <c r="BN440" s="122"/>
      <c r="BO440" s="122"/>
      <c r="BP440" s="122"/>
      <c r="BQ440" s="122"/>
      <c r="BR440" s="122"/>
    </row>
    <row r="441" spans="1:70" x14ac:dyDescent="0.25">
      <c r="A441" s="63"/>
      <c r="B441" s="65"/>
      <c r="C441" s="65"/>
      <c r="D441" s="118"/>
      <c r="E441" s="66"/>
      <c r="U441" s="151"/>
      <c r="V441" s="151"/>
      <c r="W441" s="151"/>
      <c r="X441" s="151"/>
      <c r="Y441" s="151"/>
      <c r="Z441" s="151"/>
      <c r="AA441" s="151"/>
      <c r="AB441" s="151"/>
      <c r="AC441" s="151"/>
      <c r="AD441" s="151"/>
      <c r="AE441" s="151"/>
      <c r="AF441" s="151"/>
      <c r="AG441" s="151"/>
      <c r="AH441" s="151"/>
      <c r="AI441" s="151"/>
      <c r="AJ441" s="151"/>
      <c r="AK441" s="151"/>
      <c r="AL441" s="151"/>
      <c r="AM441" s="151"/>
      <c r="AN441" s="151"/>
      <c r="AO441" s="151"/>
      <c r="AP441" s="151"/>
      <c r="AQ441" s="151"/>
      <c r="AR441" s="151"/>
      <c r="AS441" s="151"/>
      <c r="AT441" s="151"/>
      <c r="AU441" s="151"/>
      <c r="AV441" s="151"/>
      <c r="AW441" s="151"/>
      <c r="AX441" s="151"/>
      <c r="AY441" s="151"/>
      <c r="AZ441" s="151"/>
      <c r="BA441" s="151"/>
      <c r="BB441" s="151"/>
      <c r="BC441" s="151"/>
      <c r="BD441" s="151"/>
      <c r="BE441" s="151"/>
      <c r="BF441" s="151"/>
      <c r="BG441" s="151"/>
      <c r="BH441" s="151"/>
      <c r="BI441" s="151"/>
      <c r="BJ441" s="151"/>
      <c r="BK441" s="151"/>
      <c r="BL441" s="122"/>
      <c r="BM441" s="122"/>
      <c r="BN441" s="122"/>
      <c r="BO441" s="122"/>
      <c r="BP441" s="122"/>
      <c r="BQ441" s="122"/>
      <c r="BR441" s="122"/>
    </row>
    <row r="442" spans="1:70" x14ac:dyDescent="0.25">
      <c r="A442" s="63"/>
      <c r="B442" s="65"/>
      <c r="C442" s="65"/>
      <c r="D442" s="118"/>
      <c r="E442" s="66"/>
      <c r="U442" s="151"/>
      <c r="V442" s="151"/>
      <c r="W442" s="151"/>
      <c r="X442" s="151"/>
      <c r="Y442" s="151"/>
      <c r="Z442" s="151"/>
      <c r="AA442" s="151"/>
      <c r="AB442" s="151"/>
      <c r="AC442" s="151"/>
      <c r="AD442" s="151"/>
      <c r="AE442" s="151"/>
      <c r="AF442" s="151"/>
      <c r="AG442" s="151"/>
      <c r="AH442" s="151"/>
      <c r="AI442" s="151"/>
      <c r="AJ442" s="151"/>
      <c r="AK442" s="151"/>
      <c r="AL442" s="151"/>
      <c r="AM442" s="151"/>
      <c r="AN442" s="151"/>
      <c r="AO442" s="151"/>
      <c r="AP442" s="151"/>
      <c r="AQ442" s="151"/>
      <c r="AR442" s="151"/>
      <c r="AS442" s="151"/>
      <c r="AT442" s="151"/>
      <c r="AU442" s="151"/>
      <c r="AV442" s="151"/>
      <c r="AW442" s="151"/>
      <c r="AX442" s="151"/>
      <c r="AY442" s="151"/>
      <c r="AZ442" s="151"/>
      <c r="BA442" s="151"/>
      <c r="BB442" s="151"/>
      <c r="BC442" s="151"/>
      <c r="BD442" s="151"/>
      <c r="BE442" s="151"/>
      <c r="BF442" s="151"/>
      <c r="BG442" s="151"/>
      <c r="BH442" s="151"/>
      <c r="BI442" s="151"/>
      <c r="BJ442" s="151"/>
      <c r="BK442" s="151"/>
      <c r="BL442" s="122"/>
      <c r="BM442" s="122"/>
      <c r="BN442" s="122"/>
      <c r="BO442" s="122"/>
      <c r="BP442" s="122"/>
      <c r="BQ442" s="122"/>
      <c r="BR442" s="122"/>
    </row>
    <row r="443" spans="1:70" x14ac:dyDescent="0.25">
      <c r="A443" s="63"/>
      <c r="B443" s="65"/>
      <c r="C443" s="65"/>
      <c r="D443" s="118"/>
      <c r="E443" s="66"/>
      <c r="U443" s="151"/>
      <c r="V443" s="151"/>
      <c r="W443" s="151"/>
      <c r="X443" s="151"/>
      <c r="Y443" s="151"/>
      <c r="Z443" s="151"/>
      <c r="AA443" s="151"/>
      <c r="AB443" s="151"/>
      <c r="AC443" s="151"/>
      <c r="AD443" s="151"/>
      <c r="AE443" s="151"/>
      <c r="AF443" s="151"/>
      <c r="AG443" s="151"/>
      <c r="AH443" s="151"/>
      <c r="AI443" s="151"/>
      <c r="AJ443" s="151"/>
      <c r="AK443" s="151"/>
      <c r="AL443" s="151"/>
      <c r="AM443" s="151"/>
      <c r="AN443" s="151"/>
      <c r="AO443" s="151"/>
      <c r="AP443" s="151"/>
      <c r="AQ443" s="151"/>
      <c r="AR443" s="151"/>
      <c r="AS443" s="151"/>
      <c r="AT443" s="151"/>
      <c r="AU443" s="151"/>
      <c r="AV443" s="151"/>
      <c r="AW443" s="151"/>
      <c r="AX443" s="151"/>
      <c r="AY443" s="151"/>
      <c r="AZ443" s="151"/>
      <c r="BA443" s="151"/>
      <c r="BB443" s="151"/>
      <c r="BC443" s="151"/>
      <c r="BD443" s="151"/>
      <c r="BE443" s="151"/>
      <c r="BF443" s="151"/>
      <c r="BG443" s="151"/>
      <c r="BH443" s="151"/>
      <c r="BI443" s="151"/>
      <c r="BJ443" s="151"/>
      <c r="BK443" s="151"/>
      <c r="BL443" s="122"/>
      <c r="BM443" s="122"/>
      <c r="BN443" s="122"/>
      <c r="BO443" s="122"/>
      <c r="BP443" s="122"/>
      <c r="BQ443" s="122"/>
      <c r="BR443" s="122"/>
    </row>
    <row r="444" spans="1:70" x14ac:dyDescent="0.25">
      <c r="A444" s="63"/>
      <c r="B444" s="65"/>
      <c r="C444" s="65"/>
      <c r="D444" s="118"/>
      <c r="E444" s="66"/>
      <c r="U444" s="151"/>
      <c r="V444" s="151"/>
      <c r="W444" s="151"/>
      <c r="X444" s="151"/>
      <c r="Y444" s="151"/>
      <c r="Z444" s="151"/>
      <c r="AA444" s="151"/>
      <c r="AB444" s="151"/>
      <c r="AC444" s="151"/>
      <c r="AD444" s="151"/>
      <c r="AE444" s="151"/>
      <c r="AF444" s="151"/>
      <c r="AG444" s="151"/>
      <c r="AH444" s="151"/>
      <c r="AI444" s="151"/>
      <c r="AJ444" s="151"/>
      <c r="AK444" s="151"/>
      <c r="AL444" s="151"/>
      <c r="AM444" s="151"/>
      <c r="AN444" s="151"/>
      <c r="AO444" s="151"/>
      <c r="AP444" s="151"/>
      <c r="AQ444" s="151"/>
      <c r="AR444" s="151"/>
      <c r="AS444" s="151"/>
      <c r="AT444" s="151"/>
      <c r="AU444" s="151"/>
      <c r="AV444" s="151"/>
      <c r="AW444" s="151"/>
      <c r="AX444" s="151"/>
      <c r="AY444" s="151"/>
      <c r="AZ444" s="151"/>
      <c r="BA444" s="151"/>
      <c r="BB444" s="151"/>
      <c r="BC444" s="151"/>
      <c r="BD444" s="151"/>
      <c r="BE444" s="151"/>
      <c r="BF444" s="151"/>
      <c r="BG444" s="151"/>
      <c r="BH444" s="151"/>
      <c r="BI444" s="151"/>
      <c r="BJ444" s="151"/>
      <c r="BK444" s="151"/>
      <c r="BL444" s="122"/>
      <c r="BM444" s="122"/>
      <c r="BN444" s="122"/>
      <c r="BO444" s="122"/>
      <c r="BP444" s="122"/>
      <c r="BQ444" s="122"/>
      <c r="BR444" s="122"/>
    </row>
    <row r="445" spans="1:70" x14ac:dyDescent="0.25">
      <c r="A445" s="63"/>
      <c r="B445" s="65"/>
      <c r="C445" s="65"/>
      <c r="D445" s="118"/>
      <c r="E445" s="66"/>
      <c r="U445" s="151"/>
      <c r="V445" s="151"/>
      <c r="W445" s="151"/>
      <c r="X445" s="151"/>
      <c r="Y445" s="151"/>
      <c r="Z445" s="151"/>
      <c r="AA445" s="151"/>
      <c r="AB445" s="151"/>
      <c r="AC445" s="151"/>
      <c r="AD445" s="151"/>
      <c r="AE445" s="151"/>
      <c r="AF445" s="151"/>
      <c r="AG445" s="151"/>
      <c r="AH445" s="151"/>
      <c r="AI445" s="151"/>
      <c r="AJ445" s="151"/>
      <c r="AK445" s="151"/>
      <c r="AL445" s="151"/>
      <c r="AM445" s="151"/>
      <c r="AN445" s="151"/>
      <c r="AO445" s="151"/>
      <c r="AP445" s="151"/>
      <c r="AQ445" s="151"/>
      <c r="AR445" s="151"/>
      <c r="AS445" s="151"/>
      <c r="AT445" s="151"/>
      <c r="AU445" s="151"/>
      <c r="AV445" s="151"/>
      <c r="AW445" s="151"/>
      <c r="AX445" s="151"/>
      <c r="AY445" s="151"/>
      <c r="AZ445" s="151"/>
      <c r="BA445" s="151"/>
      <c r="BB445" s="151"/>
      <c r="BC445" s="151"/>
      <c r="BD445" s="151"/>
      <c r="BE445" s="151"/>
      <c r="BF445" s="151"/>
      <c r="BG445" s="151"/>
      <c r="BH445" s="151"/>
      <c r="BI445" s="151"/>
      <c r="BJ445" s="151"/>
      <c r="BK445" s="151"/>
      <c r="BL445" s="122"/>
      <c r="BM445" s="122"/>
      <c r="BN445" s="122"/>
      <c r="BO445" s="122"/>
      <c r="BP445" s="122"/>
      <c r="BQ445" s="122"/>
      <c r="BR445" s="122"/>
    </row>
    <row r="446" spans="1:70" x14ac:dyDescent="0.25">
      <c r="A446" s="63"/>
      <c r="B446" s="65"/>
      <c r="C446" s="65"/>
      <c r="D446" s="118"/>
      <c r="E446" s="66"/>
      <c r="U446" s="151"/>
      <c r="V446" s="151"/>
      <c r="W446" s="151"/>
      <c r="X446" s="151"/>
      <c r="Y446" s="151"/>
      <c r="Z446" s="151"/>
      <c r="AA446" s="151"/>
      <c r="AB446" s="151"/>
      <c r="AC446" s="151"/>
      <c r="AD446" s="151"/>
      <c r="AE446" s="151"/>
      <c r="AF446" s="151"/>
      <c r="AG446" s="151"/>
      <c r="AH446" s="151"/>
      <c r="AI446" s="151"/>
      <c r="AJ446" s="151"/>
      <c r="AK446" s="151"/>
      <c r="AL446" s="151"/>
      <c r="AM446" s="151"/>
      <c r="AN446" s="151"/>
      <c r="AO446" s="151"/>
      <c r="AP446" s="151"/>
      <c r="AQ446" s="151"/>
      <c r="AR446" s="151"/>
      <c r="AS446" s="151"/>
      <c r="AT446" s="151"/>
      <c r="AU446" s="151"/>
      <c r="AV446" s="151"/>
      <c r="AW446" s="151"/>
      <c r="AX446" s="151"/>
      <c r="AY446" s="151"/>
      <c r="AZ446" s="151"/>
      <c r="BA446" s="151"/>
      <c r="BB446" s="151"/>
      <c r="BC446" s="151"/>
      <c r="BD446" s="151"/>
      <c r="BE446" s="151"/>
      <c r="BF446" s="151"/>
      <c r="BG446" s="151"/>
      <c r="BH446" s="151"/>
      <c r="BI446" s="151"/>
      <c r="BJ446" s="151"/>
      <c r="BK446" s="151"/>
      <c r="BL446" s="122"/>
      <c r="BM446" s="122"/>
      <c r="BN446" s="122"/>
      <c r="BO446" s="122"/>
      <c r="BP446" s="122"/>
      <c r="BQ446" s="122"/>
      <c r="BR446" s="122"/>
    </row>
    <row r="447" spans="1:70" x14ac:dyDescent="0.25">
      <c r="A447" s="52"/>
      <c r="B447" s="60"/>
      <c r="C447" s="60"/>
      <c r="D447" s="119"/>
      <c r="E447" s="61"/>
      <c r="AB447" s="9"/>
      <c r="AK447" s="9"/>
      <c r="BJ447" s="121"/>
      <c r="BL447" s="122"/>
      <c r="BM447" s="122"/>
      <c r="BN447" s="122"/>
      <c r="BO447" s="122"/>
      <c r="BP447" s="122"/>
      <c r="BQ447" s="122"/>
      <c r="BR447" s="122"/>
    </row>
    <row r="448" spans="1:70" x14ac:dyDescent="0.25">
      <c r="A448" s="52"/>
      <c r="B448" s="60"/>
      <c r="C448" s="60"/>
      <c r="D448" s="119"/>
      <c r="E448" s="61"/>
      <c r="AB448" s="9"/>
      <c r="AK448" s="9"/>
      <c r="BJ448" s="121"/>
      <c r="BL448" s="122"/>
      <c r="BM448" s="122"/>
      <c r="BN448" s="122"/>
      <c r="BO448" s="122"/>
      <c r="BP448" s="122"/>
      <c r="BQ448" s="122"/>
      <c r="BR448" s="122"/>
    </row>
    <row r="449" spans="1:70" x14ac:dyDescent="0.25">
      <c r="A449" s="52"/>
      <c r="B449" s="60"/>
      <c r="C449" s="60"/>
      <c r="D449" s="119"/>
      <c r="E449" s="61"/>
      <c r="AB449" s="9"/>
      <c r="AK449" s="9"/>
      <c r="BJ449" s="121"/>
      <c r="BL449" s="122"/>
      <c r="BM449" s="122"/>
      <c r="BN449" s="122"/>
      <c r="BO449" s="122"/>
      <c r="BP449" s="122"/>
      <c r="BQ449" s="122"/>
      <c r="BR449" s="122"/>
    </row>
    <row r="450" spans="1:70" x14ac:dyDescent="0.25">
      <c r="A450" s="52"/>
      <c r="B450" s="60"/>
      <c r="C450" s="60"/>
      <c r="D450" s="119"/>
      <c r="E450" s="61"/>
      <c r="AB450" s="9"/>
      <c r="AK450" s="9"/>
      <c r="BJ450" s="121"/>
      <c r="BL450" s="122"/>
      <c r="BM450" s="122"/>
      <c r="BN450" s="122"/>
      <c r="BO450" s="122"/>
      <c r="BP450" s="122"/>
      <c r="BQ450" s="122"/>
      <c r="BR450" s="122"/>
    </row>
    <row r="451" spans="1:70" x14ac:dyDescent="0.25">
      <c r="A451" s="52"/>
      <c r="B451" s="60"/>
      <c r="C451" s="60"/>
      <c r="D451" s="119"/>
      <c r="E451" s="61"/>
      <c r="AB451" s="9"/>
      <c r="AK451" s="9"/>
      <c r="BJ451" s="121"/>
      <c r="BL451" s="122"/>
      <c r="BM451" s="122"/>
      <c r="BN451" s="122"/>
      <c r="BO451" s="122"/>
      <c r="BP451" s="122"/>
      <c r="BQ451" s="122"/>
      <c r="BR451" s="122"/>
    </row>
    <row r="452" spans="1:70" x14ac:dyDescent="0.25">
      <c r="A452" s="52"/>
      <c r="B452" s="60"/>
      <c r="C452" s="60"/>
      <c r="D452" s="119"/>
      <c r="E452" s="61"/>
      <c r="AB452" s="9"/>
      <c r="AK452" s="9"/>
      <c r="BJ452" s="121"/>
      <c r="BL452" s="122"/>
      <c r="BM452" s="122"/>
      <c r="BN452" s="122"/>
      <c r="BO452" s="122"/>
      <c r="BP452" s="122"/>
      <c r="BQ452" s="122"/>
      <c r="BR452" s="122"/>
    </row>
    <row r="453" spans="1:70" x14ac:dyDescent="0.25">
      <c r="A453" s="52"/>
      <c r="B453" s="60"/>
      <c r="C453" s="60"/>
      <c r="D453" s="119"/>
      <c r="E453" s="61"/>
      <c r="AB453" s="9"/>
      <c r="AK453" s="9"/>
      <c r="BJ453" s="121"/>
      <c r="BL453" s="122"/>
      <c r="BM453" s="122"/>
      <c r="BN453" s="122"/>
      <c r="BO453" s="122"/>
      <c r="BP453" s="122"/>
      <c r="BQ453" s="122"/>
      <c r="BR453" s="122"/>
    </row>
    <row r="454" spans="1:70" x14ac:dyDescent="0.25">
      <c r="A454" s="63"/>
      <c r="B454" s="65"/>
      <c r="C454" s="65"/>
      <c r="D454" s="118"/>
      <c r="E454" s="66"/>
      <c r="AB454" s="9"/>
      <c r="AK454" s="9"/>
      <c r="BJ454" s="121"/>
      <c r="BL454" s="122"/>
      <c r="BM454" s="122"/>
      <c r="BN454" s="122"/>
      <c r="BO454" s="122"/>
      <c r="BP454" s="122"/>
      <c r="BQ454" s="122"/>
      <c r="BR454" s="122"/>
    </row>
    <row r="455" spans="1:70" x14ac:dyDescent="0.25">
      <c r="A455" s="63"/>
      <c r="B455" s="65"/>
      <c r="C455" s="65"/>
      <c r="D455" s="118"/>
      <c r="E455" s="66"/>
      <c r="AB455" s="9"/>
      <c r="AK455" s="9"/>
      <c r="BJ455" s="121"/>
      <c r="BL455" s="122"/>
      <c r="BM455" s="122"/>
      <c r="BN455" s="122"/>
      <c r="BO455" s="122"/>
      <c r="BP455" s="122"/>
      <c r="BQ455" s="122"/>
      <c r="BR455" s="122"/>
    </row>
    <row r="456" spans="1:70" x14ac:dyDescent="0.25">
      <c r="A456" s="63"/>
      <c r="B456" s="65"/>
      <c r="C456" s="65"/>
      <c r="D456" s="118"/>
      <c r="E456" s="66"/>
      <c r="AB456" s="9"/>
      <c r="AK456" s="9"/>
      <c r="BJ456" s="121"/>
      <c r="BL456" s="122"/>
      <c r="BM456" s="122"/>
      <c r="BN456" s="122"/>
      <c r="BO456" s="122"/>
      <c r="BP456" s="122"/>
      <c r="BQ456" s="122"/>
      <c r="BR456" s="122"/>
    </row>
    <row r="457" spans="1:70" x14ac:dyDescent="0.25">
      <c r="A457" s="63"/>
      <c r="B457" s="65"/>
      <c r="C457" s="65"/>
      <c r="D457" s="118"/>
      <c r="E457" s="66"/>
      <c r="AB457" s="9"/>
      <c r="BJ457" s="121"/>
      <c r="BL457" s="122"/>
      <c r="BM457" s="122"/>
      <c r="BN457" s="122"/>
      <c r="BO457" s="122"/>
      <c r="BP457" s="122"/>
      <c r="BQ457" s="122"/>
      <c r="BR457" s="122"/>
    </row>
    <row r="458" spans="1:70" x14ac:dyDescent="0.25">
      <c r="A458" s="63"/>
      <c r="B458" s="65"/>
      <c r="C458" s="65"/>
      <c r="D458" s="118"/>
      <c r="E458" s="66"/>
      <c r="AB458" s="9"/>
      <c r="AK458" s="9"/>
      <c r="BJ458" s="121"/>
      <c r="BL458" s="122"/>
      <c r="BM458" s="122"/>
      <c r="BN458" s="122"/>
      <c r="BO458" s="122"/>
      <c r="BP458" s="122"/>
      <c r="BQ458" s="122"/>
      <c r="BR458" s="122"/>
    </row>
    <row r="459" spans="1:70" x14ac:dyDescent="0.25">
      <c r="A459" s="63"/>
      <c r="B459" s="65"/>
      <c r="C459" s="65"/>
      <c r="D459" s="118"/>
      <c r="E459" s="66"/>
      <c r="AB459" s="9"/>
      <c r="AK459" s="9"/>
      <c r="BJ459" s="121"/>
      <c r="BL459" s="122"/>
      <c r="BM459" s="122"/>
      <c r="BN459" s="122"/>
      <c r="BO459" s="122"/>
      <c r="BP459" s="122"/>
      <c r="BQ459" s="122"/>
      <c r="BR459" s="122"/>
    </row>
    <row r="460" spans="1:70" x14ac:dyDescent="0.25">
      <c r="A460" s="63"/>
      <c r="B460" s="65"/>
      <c r="C460" s="65"/>
      <c r="D460" s="118"/>
      <c r="E460" s="66"/>
      <c r="AB460" s="9"/>
      <c r="AK460" s="9"/>
      <c r="BJ460" s="121"/>
      <c r="BL460" s="122"/>
      <c r="BM460" s="122"/>
      <c r="BN460" s="122"/>
      <c r="BO460" s="122"/>
      <c r="BP460" s="122"/>
      <c r="BQ460" s="122"/>
      <c r="BR460" s="122"/>
    </row>
    <row r="461" spans="1:70" x14ac:dyDescent="0.25">
      <c r="A461" s="63"/>
      <c r="B461" s="65"/>
      <c r="C461" s="65"/>
      <c r="D461" s="118"/>
      <c r="E461" s="66"/>
      <c r="AB461" s="9"/>
      <c r="AK461" s="9"/>
      <c r="BJ461" s="121"/>
      <c r="BL461" s="122"/>
      <c r="BM461" s="122"/>
      <c r="BN461" s="122"/>
      <c r="BO461" s="122"/>
      <c r="BP461" s="122"/>
      <c r="BQ461" s="122"/>
      <c r="BR461" s="122"/>
    </row>
    <row r="462" spans="1:70" x14ac:dyDescent="0.25">
      <c r="A462" s="63"/>
      <c r="B462" s="65"/>
      <c r="C462" s="65"/>
      <c r="D462" s="118"/>
      <c r="E462" s="66"/>
      <c r="AB462" s="9"/>
      <c r="BJ462" s="121"/>
      <c r="BL462" s="122"/>
      <c r="BM462" s="122"/>
      <c r="BN462" s="122"/>
      <c r="BO462" s="122"/>
      <c r="BP462" s="122"/>
      <c r="BQ462" s="122"/>
      <c r="BR462" s="122"/>
    </row>
    <row r="463" spans="1:70" x14ac:dyDescent="0.25">
      <c r="A463" s="63"/>
      <c r="B463" s="65"/>
      <c r="C463" s="65"/>
      <c r="D463" s="118"/>
      <c r="E463" s="66"/>
      <c r="AB463" s="9"/>
      <c r="BJ463" s="121"/>
      <c r="BL463" s="122"/>
      <c r="BM463" s="122"/>
      <c r="BN463" s="122"/>
      <c r="BO463" s="122"/>
      <c r="BP463" s="122"/>
      <c r="BQ463" s="122"/>
      <c r="BR463" s="122"/>
    </row>
    <row r="464" spans="1:70" x14ac:dyDescent="0.25">
      <c r="A464" s="63"/>
      <c r="B464" s="65"/>
      <c r="C464" s="65"/>
      <c r="D464" s="118"/>
      <c r="E464" s="66"/>
      <c r="AB464" s="9"/>
      <c r="BJ464" s="121"/>
      <c r="BL464" s="122"/>
      <c r="BM464" s="122"/>
      <c r="BN464" s="122"/>
      <c r="BO464" s="122"/>
      <c r="BP464" s="122"/>
      <c r="BQ464" s="122"/>
      <c r="BR464" s="122"/>
    </row>
    <row r="465" spans="1:70" x14ac:dyDescent="0.25">
      <c r="A465" s="63"/>
      <c r="B465" s="65"/>
      <c r="C465" s="65"/>
      <c r="D465" s="118"/>
      <c r="E465" s="66"/>
      <c r="AB465" s="9"/>
      <c r="BJ465" s="121"/>
      <c r="BL465" s="122"/>
      <c r="BM465" s="122"/>
      <c r="BN465" s="122"/>
      <c r="BO465" s="122"/>
      <c r="BP465" s="122"/>
      <c r="BQ465" s="122"/>
      <c r="BR465" s="122"/>
    </row>
    <row r="466" spans="1:70" x14ac:dyDescent="0.25">
      <c r="A466" s="63"/>
      <c r="B466" s="65"/>
      <c r="C466" s="65"/>
      <c r="D466" s="118"/>
      <c r="E466" s="66"/>
      <c r="AB466" s="9"/>
      <c r="AK466" s="9"/>
      <c r="BJ466" s="121"/>
      <c r="BL466" s="122"/>
      <c r="BM466" s="122"/>
      <c r="BN466" s="122"/>
      <c r="BO466" s="122"/>
      <c r="BP466" s="122"/>
      <c r="BQ466" s="122"/>
      <c r="BR466" s="122"/>
    </row>
    <row r="467" spans="1:70" x14ac:dyDescent="0.25">
      <c r="A467" s="63"/>
      <c r="B467" s="65"/>
      <c r="C467" s="65"/>
      <c r="D467" s="118"/>
      <c r="E467" s="66"/>
      <c r="AB467" s="9"/>
      <c r="AF467" s="114"/>
      <c r="AG467" s="114"/>
      <c r="AK467" s="9"/>
      <c r="BJ467" s="121"/>
      <c r="BL467" s="122"/>
      <c r="BM467" s="122"/>
      <c r="BN467" s="122"/>
      <c r="BO467" s="122"/>
      <c r="BP467" s="122"/>
      <c r="BQ467" s="122"/>
      <c r="BR467" s="122"/>
    </row>
    <row r="468" spans="1:70" x14ac:dyDescent="0.25">
      <c r="A468" s="63"/>
      <c r="B468" s="65"/>
      <c r="C468" s="65"/>
      <c r="D468" s="118"/>
      <c r="E468" s="66"/>
      <c r="AB468" s="9"/>
      <c r="AK468" s="9"/>
      <c r="BJ468" s="121"/>
      <c r="BL468" s="122"/>
      <c r="BM468" s="122"/>
      <c r="BN468" s="122"/>
      <c r="BO468" s="122"/>
      <c r="BP468" s="122"/>
      <c r="BQ468" s="122"/>
      <c r="BR468" s="122"/>
    </row>
    <row r="469" spans="1:70" x14ac:dyDescent="0.25">
      <c r="A469" s="63"/>
      <c r="B469" s="65"/>
      <c r="C469" s="65"/>
      <c r="D469" s="118"/>
      <c r="E469" s="66"/>
      <c r="AB469" s="9"/>
      <c r="AK469" s="9"/>
      <c r="BJ469" s="121"/>
      <c r="BL469" s="122"/>
      <c r="BM469" s="122"/>
      <c r="BN469" s="122"/>
      <c r="BO469" s="122"/>
      <c r="BP469" s="122"/>
      <c r="BQ469" s="122"/>
      <c r="BR469" s="122"/>
    </row>
    <row r="470" spans="1:70" x14ac:dyDescent="0.25">
      <c r="A470" s="63"/>
      <c r="B470" s="65"/>
      <c r="C470" s="65"/>
      <c r="D470" s="118"/>
      <c r="E470" s="66"/>
      <c r="AB470" s="9"/>
      <c r="AK470" s="9"/>
      <c r="BJ470" s="121"/>
      <c r="BL470" s="122"/>
      <c r="BM470" s="122"/>
      <c r="BN470" s="122"/>
      <c r="BO470" s="122"/>
      <c r="BP470" s="122"/>
      <c r="BQ470" s="122"/>
      <c r="BR470" s="122"/>
    </row>
    <row r="471" spans="1:70" x14ac:dyDescent="0.25">
      <c r="A471" s="63"/>
      <c r="B471" s="65"/>
      <c r="C471" s="65"/>
      <c r="D471" s="118"/>
      <c r="E471" s="66"/>
      <c r="AB471" s="9"/>
      <c r="AK471" s="9"/>
      <c r="BJ471" s="121"/>
      <c r="BL471" s="122"/>
      <c r="BM471" s="122"/>
      <c r="BN471" s="122"/>
      <c r="BO471" s="122"/>
      <c r="BP471" s="122"/>
      <c r="BQ471" s="122"/>
      <c r="BR471" s="122"/>
    </row>
    <row r="472" spans="1:70" x14ac:dyDescent="0.25">
      <c r="A472" s="52"/>
      <c r="B472" s="60"/>
      <c r="C472" s="60"/>
      <c r="D472" s="119"/>
      <c r="E472" s="61"/>
      <c r="AB472" s="9"/>
      <c r="AK472" s="9"/>
      <c r="BJ472" s="121"/>
      <c r="BL472" s="122"/>
      <c r="BM472" s="122"/>
      <c r="BN472" s="122"/>
      <c r="BO472" s="122"/>
      <c r="BP472" s="122"/>
      <c r="BQ472" s="122"/>
      <c r="BR472" s="122"/>
    </row>
    <row r="473" spans="1:70" x14ac:dyDescent="0.25">
      <c r="A473" s="52"/>
      <c r="B473" s="60"/>
      <c r="C473" s="60"/>
      <c r="D473" s="119"/>
      <c r="E473" s="61"/>
      <c r="AB473" s="9"/>
      <c r="AK473" s="9"/>
      <c r="BJ473" s="121"/>
      <c r="BL473" s="122"/>
      <c r="BM473" s="122"/>
      <c r="BN473" s="122"/>
      <c r="BO473" s="122"/>
      <c r="BP473" s="122"/>
      <c r="BQ473" s="122"/>
      <c r="BR473" s="122"/>
    </row>
    <row r="474" spans="1:70" x14ac:dyDescent="0.25">
      <c r="A474" s="63"/>
      <c r="B474" s="65"/>
      <c r="C474" s="65"/>
      <c r="D474" s="118"/>
      <c r="E474" s="66"/>
      <c r="AB474" s="9"/>
      <c r="AH474" s="114"/>
      <c r="AI474" s="114"/>
      <c r="AK474" s="9"/>
      <c r="BJ474" s="121"/>
      <c r="BL474" s="122"/>
      <c r="BM474" s="122"/>
      <c r="BN474" s="122"/>
      <c r="BO474" s="122"/>
      <c r="BP474" s="122"/>
      <c r="BQ474" s="122"/>
      <c r="BR474" s="122"/>
    </row>
    <row r="475" spans="1:70" x14ac:dyDescent="0.25">
      <c r="A475" s="63"/>
      <c r="B475" s="65"/>
      <c r="C475" s="65"/>
      <c r="D475" s="118"/>
      <c r="E475" s="66"/>
      <c r="AB475" s="9"/>
      <c r="BJ475" s="121"/>
      <c r="BL475" s="122"/>
      <c r="BM475" s="122"/>
      <c r="BN475" s="122"/>
      <c r="BO475" s="122"/>
      <c r="BP475" s="122"/>
      <c r="BQ475" s="122"/>
      <c r="BR475" s="122"/>
    </row>
    <row r="476" spans="1:70" x14ac:dyDescent="0.25">
      <c r="A476" s="63"/>
      <c r="B476" s="65"/>
      <c r="C476" s="65"/>
      <c r="D476" s="118"/>
      <c r="E476" s="66"/>
      <c r="AB476" s="9"/>
      <c r="AK476" s="9"/>
      <c r="BJ476" s="121"/>
      <c r="BL476" s="122"/>
      <c r="BM476" s="122"/>
      <c r="BN476" s="122"/>
      <c r="BO476" s="122"/>
      <c r="BP476" s="122"/>
      <c r="BQ476" s="122"/>
      <c r="BR476" s="122"/>
    </row>
    <row r="477" spans="1:70" x14ac:dyDescent="0.25">
      <c r="A477" s="63"/>
      <c r="B477" s="65"/>
      <c r="C477" s="65"/>
      <c r="D477" s="118"/>
      <c r="E477" s="66"/>
      <c r="AB477" s="9"/>
      <c r="AK477" s="9"/>
      <c r="BJ477" s="121"/>
      <c r="BL477" s="122"/>
      <c r="BM477" s="122"/>
      <c r="BN477" s="122"/>
      <c r="BO477" s="122"/>
      <c r="BP477" s="122"/>
      <c r="BQ477" s="122"/>
      <c r="BR477" s="122"/>
    </row>
    <row r="478" spans="1:70" x14ac:dyDescent="0.25">
      <c r="A478" s="63"/>
      <c r="B478" s="65"/>
      <c r="C478" s="65"/>
      <c r="D478" s="118"/>
      <c r="E478" s="66"/>
      <c r="AB478" s="9"/>
      <c r="BJ478" s="121"/>
      <c r="BL478" s="122"/>
      <c r="BM478" s="122"/>
      <c r="BN478" s="122"/>
      <c r="BO478" s="122"/>
      <c r="BP478" s="122"/>
      <c r="BQ478" s="122"/>
      <c r="BR478" s="122"/>
    </row>
    <row r="479" spans="1:70" x14ac:dyDescent="0.25">
      <c r="A479" s="63"/>
      <c r="B479" s="65"/>
      <c r="C479" s="65"/>
      <c r="D479" s="118"/>
      <c r="E479" s="66"/>
      <c r="AB479" s="9"/>
      <c r="BJ479" s="121"/>
      <c r="BL479" s="122"/>
      <c r="BM479" s="122"/>
      <c r="BN479" s="122"/>
      <c r="BO479" s="122"/>
      <c r="BP479" s="122"/>
      <c r="BQ479" s="122"/>
      <c r="BR479" s="122"/>
    </row>
    <row r="480" spans="1:70" x14ac:dyDescent="0.25">
      <c r="A480" s="63"/>
      <c r="B480" s="65"/>
      <c r="C480" s="65"/>
      <c r="D480" s="118"/>
      <c r="E480" s="66"/>
      <c r="AB480" s="9"/>
      <c r="BJ480" s="121"/>
      <c r="BL480" s="122"/>
      <c r="BM480" s="122"/>
      <c r="BN480" s="122"/>
      <c r="BO480" s="122"/>
      <c r="BP480" s="122"/>
      <c r="BQ480" s="122"/>
      <c r="BR480" s="122"/>
    </row>
    <row r="481" spans="1:70" x14ac:dyDescent="0.25">
      <c r="A481" s="63"/>
      <c r="B481" s="65"/>
      <c r="C481" s="65"/>
      <c r="D481" s="118"/>
      <c r="E481" s="66"/>
      <c r="AB481" s="9"/>
      <c r="AK481" s="9"/>
      <c r="BJ481" s="121"/>
      <c r="BL481" s="122"/>
      <c r="BM481" s="122"/>
      <c r="BN481" s="122"/>
      <c r="BO481" s="122"/>
      <c r="BP481" s="122"/>
      <c r="BQ481" s="122"/>
      <c r="BR481" s="122"/>
    </row>
    <row r="482" spans="1:70" x14ac:dyDescent="0.25">
      <c r="A482" s="63"/>
      <c r="B482" s="65"/>
      <c r="C482" s="65"/>
      <c r="D482" s="118"/>
      <c r="E482" s="66"/>
      <c r="AB482" s="9"/>
      <c r="BJ482" s="121"/>
      <c r="BL482" s="122"/>
      <c r="BM482" s="122"/>
      <c r="BN482" s="122"/>
      <c r="BO482" s="122"/>
      <c r="BP482" s="122"/>
      <c r="BQ482" s="122"/>
      <c r="BR482" s="122"/>
    </row>
    <row r="483" spans="1:70" x14ac:dyDescent="0.25">
      <c r="A483" s="63"/>
      <c r="B483" s="65"/>
      <c r="C483" s="65"/>
      <c r="D483" s="118"/>
      <c r="E483" s="66"/>
      <c r="AB483" s="9"/>
      <c r="BJ483" s="121"/>
      <c r="BL483" s="122"/>
      <c r="BM483" s="122"/>
      <c r="BN483" s="122"/>
      <c r="BO483" s="122"/>
      <c r="BP483" s="122"/>
      <c r="BQ483" s="122"/>
      <c r="BR483" s="122"/>
    </row>
    <row r="484" spans="1:70" x14ac:dyDescent="0.25">
      <c r="A484" s="63"/>
      <c r="B484" s="65"/>
      <c r="C484" s="65"/>
      <c r="D484" s="118"/>
      <c r="E484" s="66"/>
      <c r="AB484" s="9"/>
      <c r="AK484" s="9"/>
      <c r="BJ484" s="121"/>
      <c r="BL484" s="122"/>
      <c r="BM484" s="122"/>
      <c r="BN484" s="122"/>
      <c r="BO484" s="122"/>
      <c r="BP484" s="122"/>
      <c r="BQ484" s="122"/>
      <c r="BR484" s="122"/>
    </row>
    <row r="485" spans="1:70" x14ac:dyDescent="0.25">
      <c r="A485" s="63"/>
      <c r="B485" s="65"/>
      <c r="C485" s="65"/>
      <c r="D485" s="118"/>
      <c r="E485" s="66"/>
      <c r="AB485" s="9"/>
      <c r="AK485" s="9"/>
      <c r="BJ485" s="121"/>
      <c r="BL485" s="122"/>
      <c r="BM485" s="122"/>
      <c r="BN485" s="122"/>
      <c r="BO485" s="122"/>
      <c r="BP485" s="122"/>
      <c r="BQ485" s="122"/>
      <c r="BR485" s="122"/>
    </row>
    <row r="486" spans="1:70" x14ac:dyDescent="0.25">
      <c r="A486" s="63"/>
      <c r="B486" s="65"/>
      <c r="C486" s="65"/>
      <c r="D486" s="118"/>
      <c r="E486" s="66"/>
      <c r="AB486" s="9"/>
      <c r="AK486" s="9"/>
      <c r="BJ486" s="121"/>
      <c r="BL486" s="122"/>
      <c r="BM486" s="122"/>
      <c r="BN486" s="122"/>
      <c r="BO486" s="122"/>
      <c r="BP486" s="122"/>
      <c r="BQ486" s="122"/>
      <c r="BR486" s="122"/>
    </row>
    <row r="487" spans="1:70" x14ac:dyDescent="0.25">
      <c r="A487" s="63"/>
      <c r="B487" s="65"/>
      <c r="C487" s="65"/>
      <c r="D487" s="118"/>
      <c r="E487" s="66"/>
      <c r="AB487" s="9"/>
      <c r="BJ487" s="121"/>
      <c r="BL487" s="122"/>
      <c r="BM487" s="122"/>
      <c r="BN487" s="122"/>
      <c r="BO487" s="122"/>
      <c r="BP487" s="122"/>
      <c r="BQ487" s="122"/>
      <c r="BR487" s="122"/>
    </row>
    <row r="488" spans="1:70" x14ac:dyDescent="0.25">
      <c r="A488" s="63"/>
      <c r="B488" s="65"/>
      <c r="C488" s="65"/>
      <c r="D488" s="118"/>
      <c r="E488" s="66"/>
      <c r="AB488" s="9"/>
      <c r="BJ488" s="121"/>
      <c r="BL488" s="122"/>
      <c r="BM488" s="122"/>
      <c r="BN488" s="122"/>
      <c r="BO488" s="122"/>
      <c r="BP488" s="122"/>
      <c r="BQ488" s="122"/>
      <c r="BR488" s="122"/>
    </row>
    <row r="489" spans="1:70" x14ac:dyDescent="0.25">
      <c r="A489" s="63"/>
      <c r="B489" s="65"/>
      <c r="C489" s="65"/>
      <c r="D489" s="118"/>
      <c r="E489" s="66"/>
      <c r="AB489" s="9"/>
      <c r="AK489" s="9"/>
      <c r="BJ489" s="121"/>
      <c r="BL489" s="122"/>
      <c r="BM489" s="122"/>
      <c r="BN489" s="122"/>
      <c r="BO489" s="122"/>
      <c r="BP489" s="122"/>
      <c r="BQ489" s="122"/>
      <c r="BR489" s="122"/>
    </row>
    <row r="490" spans="1:70" x14ac:dyDescent="0.25">
      <c r="A490" s="63"/>
      <c r="B490" s="65"/>
      <c r="C490" s="65"/>
      <c r="D490" s="118"/>
      <c r="E490" s="66"/>
      <c r="AB490" s="9"/>
      <c r="BJ490" s="121"/>
      <c r="BL490" s="122"/>
      <c r="BM490" s="122"/>
      <c r="BN490" s="122"/>
      <c r="BO490" s="122"/>
      <c r="BP490" s="122"/>
      <c r="BQ490" s="122"/>
      <c r="BR490" s="122"/>
    </row>
    <row r="491" spans="1:70" x14ac:dyDescent="0.25">
      <c r="A491" s="63"/>
      <c r="B491" s="65"/>
      <c r="C491" s="65"/>
      <c r="D491" s="118"/>
      <c r="E491" s="66"/>
      <c r="AB491" s="9"/>
      <c r="BJ491" s="121"/>
      <c r="BL491" s="122"/>
      <c r="BM491" s="122"/>
      <c r="BN491" s="122"/>
      <c r="BO491" s="122"/>
      <c r="BP491" s="122"/>
      <c r="BQ491" s="122"/>
      <c r="BR491" s="122"/>
    </row>
    <row r="492" spans="1:70" x14ac:dyDescent="0.25">
      <c r="A492" s="63"/>
      <c r="B492" s="65"/>
      <c r="C492" s="65"/>
      <c r="D492" s="118"/>
      <c r="E492" s="66"/>
      <c r="AB492" s="9"/>
      <c r="BJ492" s="121"/>
      <c r="BL492" s="122"/>
      <c r="BM492" s="122"/>
      <c r="BN492" s="122"/>
      <c r="BO492" s="122"/>
      <c r="BP492" s="122"/>
      <c r="BQ492" s="122"/>
      <c r="BR492" s="122"/>
    </row>
    <row r="493" spans="1:70" x14ac:dyDescent="0.25">
      <c r="A493" s="63"/>
      <c r="B493" s="65"/>
      <c r="C493" s="65"/>
      <c r="D493" s="118"/>
      <c r="E493" s="66"/>
      <c r="AB493" s="9"/>
      <c r="AK493" s="9"/>
      <c r="BJ493" s="121"/>
      <c r="BL493" s="122"/>
      <c r="BM493" s="122"/>
      <c r="BN493" s="122"/>
      <c r="BO493" s="122"/>
      <c r="BP493" s="122"/>
      <c r="BQ493" s="122"/>
      <c r="BR493" s="122"/>
    </row>
    <row r="494" spans="1:70" x14ac:dyDescent="0.25">
      <c r="A494" s="63"/>
      <c r="B494" s="65"/>
      <c r="C494" s="65"/>
      <c r="D494" s="118"/>
      <c r="E494" s="66"/>
      <c r="AB494" s="9"/>
      <c r="AK494" s="9"/>
      <c r="BJ494" s="121"/>
      <c r="BL494" s="122"/>
      <c r="BM494" s="122"/>
      <c r="BN494" s="122"/>
      <c r="BO494" s="122"/>
      <c r="BP494" s="122"/>
      <c r="BQ494" s="122"/>
      <c r="BR494" s="122"/>
    </row>
    <row r="495" spans="1:70" x14ac:dyDescent="0.25">
      <c r="A495" s="63"/>
      <c r="B495" s="65"/>
      <c r="C495" s="65"/>
      <c r="D495" s="118"/>
      <c r="E495" s="66"/>
      <c r="AB495" s="9"/>
      <c r="AK495" s="9"/>
      <c r="BJ495" s="121"/>
      <c r="BL495" s="122"/>
      <c r="BM495" s="122"/>
      <c r="BN495" s="122"/>
      <c r="BO495" s="122"/>
      <c r="BP495" s="122"/>
      <c r="BQ495" s="122"/>
      <c r="BR495" s="122"/>
    </row>
    <row r="496" spans="1:70" x14ac:dyDescent="0.25">
      <c r="A496" s="63"/>
      <c r="B496" s="65"/>
      <c r="C496" s="65"/>
      <c r="D496" s="118"/>
      <c r="E496" s="66"/>
      <c r="AB496" s="9"/>
      <c r="BL496" s="122"/>
      <c r="BM496" s="122"/>
      <c r="BN496" s="122"/>
      <c r="BO496" s="122"/>
      <c r="BP496" s="122"/>
      <c r="BQ496" s="122"/>
      <c r="BR496" s="122"/>
    </row>
    <row r="497" spans="1:70" x14ac:dyDescent="0.25">
      <c r="A497" s="63"/>
      <c r="B497" s="65"/>
      <c r="C497" s="65"/>
      <c r="D497" s="118"/>
      <c r="E497" s="66"/>
      <c r="AB497" s="9"/>
      <c r="BL497" s="122"/>
      <c r="BM497" s="122"/>
      <c r="BN497" s="122"/>
      <c r="BO497" s="122"/>
      <c r="BP497" s="122"/>
      <c r="BQ497" s="122"/>
      <c r="BR497" s="122"/>
    </row>
    <row r="498" spans="1:70" x14ac:dyDescent="0.25">
      <c r="A498" s="63"/>
      <c r="B498" s="65"/>
      <c r="C498" s="65"/>
      <c r="D498" s="118"/>
      <c r="E498" s="66"/>
      <c r="AB498" s="9"/>
      <c r="BL498" s="122"/>
      <c r="BM498" s="122"/>
      <c r="BN498" s="122"/>
      <c r="BO498" s="122"/>
      <c r="BP498" s="122"/>
      <c r="BQ498" s="122"/>
      <c r="BR498" s="122"/>
    </row>
    <row r="499" spans="1:70" x14ac:dyDescent="0.25">
      <c r="A499" s="63"/>
      <c r="B499" s="65"/>
      <c r="C499" s="65"/>
      <c r="D499" s="118"/>
      <c r="E499" s="66"/>
      <c r="AB499" s="9"/>
      <c r="BL499" s="122"/>
      <c r="BM499" s="122"/>
      <c r="BN499" s="122"/>
      <c r="BO499" s="122"/>
      <c r="BP499" s="122"/>
      <c r="BQ499" s="122"/>
      <c r="BR499" s="122"/>
    </row>
    <row r="500" spans="1:70" x14ac:dyDescent="0.25">
      <c r="A500" s="63"/>
      <c r="B500" s="65"/>
      <c r="C500" s="65"/>
      <c r="D500" s="118"/>
      <c r="E500" s="66"/>
      <c r="AB500" s="9"/>
      <c r="BL500" s="122"/>
      <c r="BM500" s="122"/>
      <c r="BN500" s="122"/>
      <c r="BO500" s="122"/>
      <c r="BP500" s="122"/>
      <c r="BQ500" s="122"/>
      <c r="BR500" s="122"/>
    </row>
    <row r="501" spans="1:70" x14ac:dyDescent="0.25">
      <c r="A501" s="52"/>
      <c r="B501" s="60"/>
      <c r="C501" s="60"/>
      <c r="D501" s="119"/>
      <c r="E501" s="61"/>
      <c r="AB501" s="9"/>
      <c r="AK501" s="9"/>
      <c r="BL501" s="122"/>
      <c r="BM501" s="122"/>
      <c r="BN501" s="122"/>
      <c r="BO501" s="122"/>
      <c r="BP501" s="122"/>
      <c r="BQ501" s="122"/>
      <c r="BR501" s="122"/>
    </row>
    <row r="502" spans="1:70" x14ac:dyDescent="0.25">
      <c r="A502" s="52"/>
      <c r="B502" s="60"/>
      <c r="C502" s="60"/>
      <c r="D502" s="119"/>
      <c r="E502" s="61"/>
      <c r="AB502" s="9"/>
      <c r="AF502" s="114"/>
      <c r="AG502" s="114"/>
      <c r="AK502" s="9"/>
      <c r="BL502" s="122"/>
      <c r="BM502" s="122"/>
      <c r="BN502" s="122"/>
      <c r="BO502" s="122"/>
      <c r="BP502" s="122"/>
      <c r="BQ502" s="122"/>
      <c r="BR502" s="122"/>
    </row>
    <row r="503" spans="1:70" x14ac:dyDescent="0.25">
      <c r="A503" s="52"/>
      <c r="B503" s="60"/>
      <c r="C503" s="60"/>
      <c r="D503" s="119"/>
      <c r="E503" s="61"/>
      <c r="AB503" s="9"/>
      <c r="AK503" s="9"/>
      <c r="BL503" s="122"/>
      <c r="BM503" s="122"/>
      <c r="BN503" s="122"/>
      <c r="BO503" s="122"/>
      <c r="BP503" s="122"/>
      <c r="BQ503" s="122"/>
      <c r="BR503" s="122"/>
    </row>
    <row r="504" spans="1:70" x14ac:dyDescent="0.25">
      <c r="A504" s="52"/>
      <c r="B504" s="60"/>
      <c r="C504" s="60"/>
      <c r="D504" s="119"/>
      <c r="E504" s="61"/>
      <c r="AB504" s="9"/>
      <c r="AK504" s="9"/>
      <c r="BL504" s="122"/>
      <c r="BM504" s="122"/>
      <c r="BN504" s="122"/>
      <c r="BO504" s="122"/>
      <c r="BP504" s="122"/>
      <c r="BQ504" s="122"/>
      <c r="BR504" s="122"/>
    </row>
    <row r="505" spans="1:70" x14ac:dyDescent="0.25">
      <c r="A505" s="63"/>
      <c r="B505" s="65"/>
      <c r="C505" s="65"/>
      <c r="D505" s="118"/>
      <c r="E505" s="66"/>
      <c r="AB505" s="9"/>
      <c r="BL505" s="122"/>
      <c r="BM505" s="122"/>
      <c r="BN505" s="122"/>
      <c r="BO505" s="122"/>
      <c r="BP505" s="122"/>
      <c r="BQ505" s="122"/>
      <c r="BR505" s="122"/>
    </row>
    <row r="506" spans="1:70" x14ac:dyDescent="0.25">
      <c r="A506" s="52"/>
      <c r="B506" s="60"/>
      <c r="C506" s="60"/>
      <c r="D506" s="119"/>
      <c r="E506" s="61"/>
      <c r="AB506" s="9"/>
      <c r="AK506" s="9"/>
      <c r="BL506" s="122"/>
      <c r="BM506" s="122"/>
      <c r="BN506" s="122"/>
      <c r="BO506" s="122"/>
      <c r="BP506" s="122"/>
      <c r="BQ506" s="122"/>
      <c r="BR506" s="122"/>
    </row>
    <row r="507" spans="1:70" x14ac:dyDescent="0.25">
      <c r="A507" s="63"/>
      <c r="B507" s="65"/>
      <c r="C507" s="65"/>
      <c r="D507" s="118"/>
      <c r="E507" s="66"/>
      <c r="AB507" s="9"/>
      <c r="BL507" s="122"/>
      <c r="BM507" s="122"/>
      <c r="BN507" s="122"/>
      <c r="BO507" s="122"/>
      <c r="BP507" s="122"/>
      <c r="BQ507" s="122"/>
      <c r="BR507" s="122"/>
    </row>
    <row r="508" spans="1:70" x14ac:dyDescent="0.25">
      <c r="A508" s="63"/>
      <c r="B508" s="65"/>
      <c r="C508" s="65"/>
      <c r="D508" s="118"/>
      <c r="E508" s="66"/>
      <c r="AB508" s="9"/>
      <c r="BL508" s="122"/>
      <c r="BM508" s="122"/>
      <c r="BN508" s="122"/>
      <c r="BO508" s="122"/>
      <c r="BP508" s="122"/>
      <c r="BQ508" s="122"/>
      <c r="BR508" s="122"/>
    </row>
    <row r="509" spans="1:70" x14ac:dyDescent="0.25">
      <c r="A509" s="63"/>
      <c r="B509" s="65"/>
      <c r="C509" s="65"/>
      <c r="D509" s="118"/>
      <c r="E509" s="66"/>
      <c r="AB509" s="9"/>
      <c r="BL509" s="122"/>
      <c r="BM509" s="122"/>
      <c r="BN509" s="122"/>
      <c r="BO509" s="122"/>
      <c r="BP509" s="122"/>
      <c r="BQ509" s="122"/>
      <c r="BR509" s="122"/>
    </row>
    <row r="510" spans="1:70" x14ac:dyDescent="0.25">
      <c r="A510" s="63"/>
      <c r="B510" s="65"/>
      <c r="C510" s="65"/>
      <c r="D510" s="118"/>
      <c r="E510" s="66"/>
      <c r="AB510" s="9"/>
      <c r="BL510" s="122"/>
      <c r="BM510" s="122"/>
      <c r="BN510" s="122"/>
      <c r="BO510" s="122"/>
      <c r="BP510" s="122"/>
      <c r="BQ510" s="122"/>
      <c r="BR510" s="122"/>
    </row>
    <row r="511" spans="1:70" x14ac:dyDescent="0.25">
      <c r="A511" s="63"/>
      <c r="B511" s="65"/>
      <c r="C511" s="65"/>
      <c r="D511" s="118"/>
      <c r="E511" s="66"/>
      <c r="AB511" s="9"/>
      <c r="BL511" s="122"/>
      <c r="BM511" s="122"/>
      <c r="BN511" s="122"/>
      <c r="BO511" s="122"/>
      <c r="BP511" s="122"/>
      <c r="BQ511" s="122"/>
      <c r="BR511" s="122"/>
    </row>
    <row r="512" spans="1:70" x14ac:dyDescent="0.25">
      <c r="A512" s="63"/>
      <c r="B512" s="65"/>
      <c r="C512" s="65"/>
      <c r="D512" s="118"/>
      <c r="E512" s="66"/>
      <c r="AB512" s="9"/>
      <c r="BL512" s="122"/>
      <c r="BM512" s="122"/>
      <c r="BN512" s="122"/>
      <c r="BO512" s="122"/>
      <c r="BP512" s="122"/>
      <c r="BQ512" s="122"/>
      <c r="BR512" s="122"/>
    </row>
    <row r="513" spans="1:70" x14ac:dyDescent="0.25">
      <c r="A513" s="63"/>
      <c r="B513" s="65"/>
      <c r="C513" s="65"/>
      <c r="D513" s="118"/>
      <c r="E513" s="66"/>
      <c r="AB513" s="9"/>
      <c r="BL513" s="122"/>
      <c r="BM513" s="122"/>
      <c r="BN513" s="122"/>
      <c r="BO513" s="122"/>
      <c r="BP513" s="122"/>
      <c r="BQ513" s="122"/>
      <c r="BR513" s="122"/>
    </row>
    <row r="514" spans="1:70" x14ac:dyDescent="0.25">
      <c r="A514" s="63"/>
      <c r="B514" s="65"/>
      <c r="C514" s="65"/>
      <c r="D514" s="118"/>
      <c r="E514" s="66"/>
      <c r="AB514" s="9"/>
      <c r="BL514" s="122"/>
      <c r="BM514" s="122"/>
      <c r="BN514" s="122"/>
      <c r="BO514" s="122"/>
      <c r="BP514" s="122"/>
      <c r="BQ514" s="122"/>
      <c r="BR514" s="122"/>
    </row>
    <row r="515" spans="1:70" x14ac:dyDescent="0.25">
      <c r="A515" s="52"/>
      <c r="B515" s="60"/>
      <c r="C515" s="60"/>
      <c r="D515" s="119"/>
      <c r="E515" s="61"/>
      <c r="AB515" s="9"/>
      <c r="AK515" s="9"/>
      <c r="BL515" s="122"/>
      <c r="BM515" s="122"/>
      <c r="BN515" s="122"/>
      <c r="BO515" s="122"/>
      <c r="BP515" s="122"/>
      <c r="BQ515" s="122"/>
      <c r="BR515" s="122"/>
    </row>
    <row r="516" spans="1:70" x14ac:dyDescent="0.25">
      <c r="A516" s="52"/>
      <c r="B516" s="60"/>
      <c r="C516" s="60"/>
      <c r="D516" s="119"/>
      <c r="E516" s="61"/>
      <c r="AB516" s="9"/>
      <c r="AK516" s="9"/>
      <c r="BL516" s="122"/>
      <c r="BM516" s="122"/>
      <c r="BN516" s="122"/>
      <c r="BO516" s="122"/>
      <c r="BP516" s="122"/>
      <c r="BQ516" s="122"/>
      <c r="BR516" s="122"/>
    </row>
    <row r="517" spans="1:70" x14ac:dyDescent="0.25">
      <c r="A517" s="52"/>
      <c r="B517" s="60"/>
      <c r="C517" s="60"/>
      <c r="D517" s="119"/>
      <c r="E517" s="61"/>
      <c r="AB517" s="9"/>
      <c r="AK517" s="9"/>
      <c r="BL517" s="122"/>
      <c r="BM517" s="122"/>
      <c r="BN517" s="122"/>
      <c r="BO517" s="122"/>
      <c r="BP517" s="122"/>
      <c r="BQ517" s="122"/>
      <c r="BR517" s="122"/>
    </row>
    <row r="518" spans="1:70" x14ac:dyDescent="0.25">
      <c r="A518" s="52"/>
      <c r="B518" s="60"/>
      <c r="C518" s="60"/>
      <c r="D518" s="119"/>
      <c r="E518" s="61"/>
      <c r="AB518" s="9"/>
      <c r="AF518" s="114"/>
      <c r="AG518" s="114"/>
      <c r="AH518" s="114"/>
      <c r="AI518" s="114"/>
      <c r="AK518" s="9"/>
      <c r="BL518" s="122"/>
      <c r="BM518" s="122"/>
      <c r="BN518" s="122"/>
      <c r="BO518" s="122"/>
      <c r="BP518" s="122"/>
      <c r="BQ518" s="122"/>
      <c r="BR518" s="122"/>
    </row>
    <row r="519" spans="1:70" x14ac:dyDescent="0.25">
      <c r="A519" s="63"/>
      <c r="B519" s="65"/>
      <c r="C519" s="65"/>
      <c r="D519" s="118"/>
      <c r="E519" s="66"/>
      <c r="AB519" s="9"/>
      <c r="BL519" s="122"/>
      <c r="BM519" s="122"/>
      <c r="BN519" s="122"/>
      <c r="BO519" s="122"/>
      <c r="BP519" s="122"/>
      <c r="BQ519" s="122"/>
      <c r="BR519" s="122"/>
    </row>
    <row r="520" spans="1:70" x14ac:dyDescent="0.25">
      <c r="A520" s="63"/>
      <c r="B520" s="65"/>
      <c r="C520" s="65"/>
      <c r="D520" s="118"/>
      <c r="E520" s="66"/>
      <c r="AB520" s="9"/>
      <c r="BL520" s="122"/>
      <c r="BM520" s="122"/>
      <c r="BN520" s="122"/>
      <c r="BO520" s="122"/>
      <c r="BP520" s="122"/>
      <c r="BQ520" s="122"/>
      <c r="BR520" s="122"/>
    </row>
    <row r="521" spans="1:70" x14ac:dyDescent="0.25">
      <c r="A521" s="63"/>
      <c r="B521" s="65"/>
      <c r="C521" s="65"/>
      <c r="D521" s="118"/>
      <c r="E521" s="66"/>
      <c r="AB521" s="9"/>
      <c r="BL521" s="122"/>
      <c r="BM521" s="122"/>
      <c r="BN521" s="122"/>
      <c r="BO521" s="122"/>
      <c r="BP521" s="122"/>
      <c r="BQ521" s="122"/>
      <c r="BR521" s="122"/>
    </row>
    <row r="522" spans="1:70" x14ac:dyDescent="0.25">
      <c r="A522" s="63"/>
      <c r="B522" s="65"/>
      <c r="C522" s="65"/>
      <c r="D522" s="118"/>
      <c r="E522" s="66"/>
      <c r="AB522" s="9"/>
      <c r="BL522" s="122"/>
      <c r="BM522" s="122"/>
      <c r="BN522" s="122"/>
      <c r="BO522" s="122"/>
      <c r="BP522" s="122"/>
      <c r="BQ522" s="122"/>
      <c r="BR522" s="122"/>
    </row>
    <row r="523" spans="1:70" x14ac:dyDescent="0.25">
      <c r="A523" s="52"/>
      <c r="B523" s="60"/>
      <c r="C523" s="60"/>
      <c r="D523" s="119"/>
      <c r="E523" s="61"/>
      <c r="AB523" s="9"/>
      <c r="AK523" s="9"/>
      <c r="BL523" s="122"/>
      <c r="BM523" s="122"/>
      <c r="BN523" s="122"/>
      <c r="BO523" s="122"/>
      <c r="BP523" s="122"/>
      <c r="BQ523" s="122"/>
      <c r="BR523" s="122"/>
    </row>
    <row r="524" spans="1:70" x14ac:dyDescent="0.25">
      <c r="A524" s="52"/>
      <c r="B524" s="60"/>
      <c r="C524" s="60"/>
      <c r="D524" s="119"/>
      <c r="E524" s="61"/>
      <c r="AB524" s="9"/>
      <c r="AK524" s="9"/>
      <c r="BL524" s="122"/>
      <c r="BM524" s="122"/>
      <c r="BN524" s="122"/>
      <c r="BO524" s="122"/>
      <c r="BP524" s="122"/>
      <c r="BQ524" s="122"/>
      <c r="BR524" s="122"/>
    </row>
    <row r="525" spans="1:70" x14ac:dyDescent="0.25">
      <c r="B525" s="62"/>
      <c r="C525" s="62"/>
      <c r="D525" s="120"/>
      <c r="BL525" s="122"/>
      <c r="BM525" s="122"/>
      <c r="BN525" s="122"/>
      <c r="BO525" s="122"/>
      <c r="BP525" s="122"/>
      <c r="BQ525" s="122"/>
      <c r="BR525" s="122"/>
    </row>
    <row r="526" spans="1:70" x14ac:dyDescent="0.25">
      <c r="B526" s="62"/>
      <c r="C526" s="62"/>
      <c r="D526" s="120"/>
      <c r="BL526" s="122"/>
      <c r="BM526" s="122"/>
      <c r="BN526" s="122"/>
      <c r="BO526" s="122"/>
      <c r="BP526" s="122"/>
      <c r="BQ526" s="122"/>
      <c r="BR526" s="122"/>
    </row>
    <row r="527" spans="1:70" x14ac:dyDescent="0.25">
      <c r="B527" s="62"/>
      <c r="C527" s="62"/>
      <c r="D527" s="120"/>
      <c r="BL527" s="122"/>
      <c r="BM527" s="122"/>
      <c r="BN527" s="122"/>
      <c r="BO527" s="122"/>
      <c r="BP527" s="122"/>
      <c r="BQ527" s="122"/>
      <c r="BR527" s="122"/>
    </row>
    <row r="528" spans="1:70" x14ac:dyDescent="0.25">
      <c r="B528" s="62"/>
      <c r="C528" s="62"/>
      <c r="D528" s="120"/>
      <c r="BL528" s="122"/>
      <c r="BM528" s="122"/>
      <c r="BN528" s="122"/>
      <c r="BO528" s="122"/>
      <c r="BP528" s="122"/>
      <c r="BQ528" s="122"/>
      <c r="BR528" s="122"/>
    </row>
    <row r="529" spans="2:70" x14ac:dyDescent="0.25">
      <c r="B529" s="62"/>
      <c r="C529" s="62"/>
      <c r="D529" s="120"/>
      <c r="BL529" s="122"/>
      <c r="BM529" s="122"/>
      <c r="BN529" s="122"/>
      <c r="BO529" s="122"/>
      <c r="BP529" s="122"/>
      <c r="BQ529" s="122"/>
      <c r="BR529" s="122"/>
    </row>
    <row r="530" spans="2:70" x14ac:dyDescent="0.25">
      <c r="B530" s="62"/>
      <c r="C530" s="62"/>
      <c r="D530" s="120"/>
      <c r="BL530" s="122"/>
      <c r="BM530" s="122"/>
      <c r="BN530" s="122"/>
      <c r="BO530" s="122"/>
      <c r="BP530" s="122"/>
      <c r="BQ530" s="122"/>
      <c r="BR530" s="122"/>
    </row>
    <row r="531" spans="2:70" x14ac:dyDescent="0.25">
      <c r="B531" s="62"/>
      <c r="C531" s="62"/>
      <c r="D531" s="120"/>
      <c r="BL531" s="122"/>
      <c r="BM531" s="122"/>
      <c r="BN531" s="122"/>
      <c r="BO531" s="122"/>
      <c r="BP531" s="122"/>
      <c r="BQ531" s="122"/>
      <c r="BR531" s="122"/>
    </row>
    <row r="532" spans="2:70" x14ac:dyDescent="0.25">
      <c r="B532" s="62"/>
      <c r="C532" s="62"/>
      <c r="D532" s="120"/>
      <c r="BL532" s="122"/>
      <c r="BM532" s="122"/>
      <c r="BN532" s="122"/>
      <c r="BO532" s="122"/>
      <c r="BP532" s="122"/>
      <c r="BQ532" s="122"/>
      <c r="BR532" s="122"/>
    </row>
    <row r="533" spans="2:70" x14ac:dyDescent="0.25">
      <c r="B533" s="62"/>
      <c r="C533" s="62"/>
      <c r="D533" s="120"/>
      <c r="BL533" s="122"/>
      <c r="BM533" s="122"/>
      <c r="BN533" s="122"/>
      <c r="BO533" s="122"/>
      <c r="BP533" s="122"/>
      <c r="BQ533" s="122"/>
      <c r="BR533" s="122"/>
    </row>
    <row r="534" spans="2:70" x14ac:dyDescent="0.25">
      <c r="B534" s="62"/>
      <c r="C534" s="62"/>
      <c r="D534" s="120"/>
      <c r="BL534" s="122"/>
      <c r="BM534" s="122"/>
      <c r="BN534" s="122"/>
      <c r="BO534" s="122"/>
      <c r="BP534" s="122"/>
      <c r="BQ534" s="122"/>
      <c r="BR534" s="122"/>
    </row>
    <row r="535" spans="2:70" x14ac:dyDescent="0.25">
      <c r="B535" s="62"/>
      <c r="C535" s="62"/>
      <c r="D535" s="120"/>
      <c r="BL535" s="122"/>
      <c r="BM535" s="122"/>
      <c r="BN535" s="122"/>
      <c r="BO535" s="122"/>
      <c r="BP535" s="122"/>
      <c r="BQ535" s="122"/>
      <c r="BR535" s="122"/>
    </row>
    <row r="536" spans="2:70" x14ac:dyDescent="0.25">
      <c r="B536" s="62"/>
      <c r="C536" s="62"/>
      <c r="D536" s="120"/>
      <c r="BL536" s="122"/>
      <c r="BM536" s="122"/>
      <c r="BN536" s="122"/>
      <c r="BO536" s="122"/>
      <c r="BP536" s="122"/>
      <c r="BQ536" s="122"/>
      <c r="BR536" s="122"/>
    </row>
    <row r="537" spans="2:70" x14ac:dyDescent="0.25">
      <c r="B537" s="62"/>
      <c r="C537" s="62"/>
      <c r="D537" s="120"/>
      <c r="BL537" s="122"/>
      <c r="BM537" s="122"/>
      <c r="BN537" s="122"/>
      <c r="BO537" s="122"/>
      <c r="BP537" s="122"/>
      <c r="BQ537" s="122"/>
      <c r="BR537" s="122"/>
    </row>
    <row r="538" spans="2:70" x14ac:dyDescent="0.25">
      <c r="B538" s="62"/>
      <c r="C538" s="62"/>
      <c r="D538" s="120"/>
      <c r="BL538" s="122"/>
      <c r="BM538" s="122"/>
      <c r="BN538" s="122"/>
      <c r="BO538" s="122"/>
      <c r="BP538" s="122"/>
      <c r="BQ538" s="122"/>
      <c r="BR538" s="122"/>
    </row>
    <row r="539" spans="2:70" x14ac:dyDescent="0.25">
      <c r="B539" s="62"/>
      <c r="C539" s="62"/>
      <c r="D539" s="120"/>
      <c r="BL539" s="122"/>
      <c r="BM539" s="122"/>
      <c r="BN539" s="122"/>
      <c r="BO539" s="122"/>
      <c r="BP539" s="122"/>
      <c r="BQ539" s="122"/>
      <c r="BR539" s="122"/>
    </row>
    <row r="540" spans="2:70" x14ac:dyDescent="0.25">
      <c r="B540" s="62"/>
      <c r="C540" s="62"/>
      <c r="D540" s="120"/>
      <c r="BL540" s="122"/>
      <c r="BM540" s="122"/>
      <c r="BN540" s="122"/>
      <c r="BO540" s="122"/>
      <c r="BP540" s="122"/>
      <c r="BQ540" s="122"/>
      <c r="BR540" s="122"/>
    </row>
    <row r="541" spans="2:70" x14ac:dyDescent="0.25">
      <c r="B541" s="62"/>
      <c r="C541" s="62"/>
      <c r="D541" s="120"/>
      <c r="BL541" s="122"/>
      <c r="BM541" s="122"/>
      <c r="BN541" s="122"/>
      <c r="BO541" s="122"/>
      <c r="BP541" s="122"/>
      <c r="BQ541" s="122"/>
      <c r="BR541" s="122"/>
    </row>
    <row r="542" spans="2:70" x14ac:dyDescent="0.25">
      <c r="B542" s="62"/>
      <c r="C542" s="62"/>
      <c r="D542" s="120"/>
      <c r="BL542" s="122"/>
      <c r="BM542" s="122"/>
      <c r="BN542" s="122"/>
      <c r="BO542" s="122"/>
      <c r="BP542" s="122"/>
      <c r="BQ542" s="122"/>
      <c r="BR542" s="122"/>
    </row>
    <row r="543" spans="2:70" x14ac:dyDescent="0.25">
      <c r="B543" s="62"/>
      <c r="C543" s="62"/>
      <c r="D543" s="120"/>
      <c r="BL543" s="122"/>
      <c r="BM543" s="122"/>
      <c r="BN543" s="122"/>
      <c r="BO543" s="122"/>
      <c r="BP543" s="122"/>
      <c r="BQ543" s="122"/>
      <c r="BR543" s="122"/>
    </row>
    <row r="544" spans="2:70" x14ac:dyDescent="0.25">
      <c r="B544" s="62"/>
      <c r="C544" s="62"/>
      <c r="D544" s="120"/>
      <c r="BL544" s="122"/>
      <c r="BM544" s="122"/>
      <c r="BN544" s="122"/>
      <c r="BO544" s="122"/>
      <c r="BP544" s="122"/>
      <c r="BQ544" s="122"/>
      <c r="BR544" s="122"/>
    </row>
    <row r="545" spans="2:70" x14ac:dyDescent="0.25">
      <c r="B545" s="62"/>
      <c r="C545" s="62"/>
      <c r="D545" s="120"/>
      <c r="BL545" s="122"/>
      <c r="BM545" s="122"/>
      <c r="BN545" s="122"/>
      <c r="BO545" s="122"/>
      <c r="BP545" s="122"/>
      <c r="BQ545" s="122"/>
      <c r="BR545" s="122"/>
    </row>
    <row r="546" spans="2:70" x14ac:dyDescent="0.25">
      <c r="B546" s="62"/>
      <c r="C546" s="62"/>
      <c r="D546" s="120"/>
      <c r="BL546" s="122"/>
      <c r="BM546" s="122"/>
      <c r="BN546" s="122"/>
      <c r="BO546" s="122"/>
      <c r="BP546" s="122"/>
      <c r="BQ546" s="122"/>
      <c r="BR546" s="122"/>
    </row>
    <row r="547" spans="2:70" x14ac:dyDescent="0.25">
      <c r="B547" s="62"/>
      <c r="C547" s="62"/>
      <c r="D547" s="120"/>
      <c r="BL547" s="122"/>
      <c r="BM547" s="122"/>
      <c r="BN547" s="122"/>
      <c r="BO547" s="122"/>
      <c r="BP547" s="122"/>
      <c r="BQ547" s="122"/>
      <c r="BR547" s="122"/>
    </row>
    <row r="548" spans="2:70" x14ac:dyDescent="0.25">
      <c r="B548" s="62"/>
      <c r="C548" s="62"/>
      <c r="D548" s="120"/>
      <c r="BL548" s="122"/>
      <c r="BM548" s="122"/>
      <c r="BN548" s="122"/>
      <c r="BO548" s="122"/>
      <c r="BP548" s="122"/>
      <c r="BQ548" s="122"/>
      <c r="BR548" s="122"/>
    </row>
    <row r="549" spans="2:70" x14ac:dyDescent="0.25">
      <c r="B549" s="62"/>
      <c r="C549" s="62"/>
      <c r="D549" s="120"/>
      <c r="BL549" s="122"/>
      <c r="BM549" s="122"/>
      <c r="BN549" s="122"/>
      <c r="BO549" s="122"/>
      <c r="BP549" s="122"/>
      <c r="BQ549" s="122"/>
      <c r="BR549" s="122"/>
    </row>
    <row r="550" spans="2:70" x14ac:dyDescent="0.25">
      <c r="B550" s="62"/>
      <c r="C550" s="62"/>
      <c r="D550" s="120"/>
      <c r="BL550" s="122"/>
      <c r="BM550" s="122"/>
      <c r="BN550" s="122"/>
      <c r="BO550" s="122"/>
      <c r="BP550" s="122"/>
      <c r="BQ550" s="122"/>
      <c r="BR550" s="122"/>
    </row>
    <row r="551" spans="2:70" x14ac:dyDescent="0.25">
      <c r="B551" s="62"/>
      <c r="C551" s="62"/>
      <c r="D551" s="120"/>
      <c r="BL551" s="122"/>
      <c r="BM551" s="122"/>
      <c r="BN551" s="122"/>
      <c r="BO551" s="122"/>
      <c r="BP551" s="122"/>
      <c r="BQ551" s="122"/>
      <c r="BR551" s="122"/>
    </row>
    <row r="552" spans="2:70" x14ac:dyDescent="0.25">
      <c r="B552" s="62"/>
      <c r="C552" s="62"/>
      <c r="D552" s="120"/>
      <c r="BL552" s="122"/>
      <c r="BM552" s="122"/>
      <c r="BN552" s="122"/>
      <c r="BO552" s="122"/>
      <c r="BP552" s="122"/>
      <c r="BQ552" s="122"/>
      <c r="BR552" s="122"/>
    </row>
    <row r="553" spans="2:70" x14ac:dyDescent="0.25">
      <c r="B553" s="62"/>
      <c r="C553" s="62"/>
      <c r="D553" s="120"/>
      <c r="BL553" s="122"/>
      <c r="BM553" s="122"/>
      <c r="BN553" s="122"/>
      <c r="BO553" s="122"/>
      <c r="BP553" s="122"/>
      <c r="BQ553" s="122"/>
      <c r="BR553" s="122"/>
    </row>
    <row r="554" spans="2:70" x14ac:dyDescent="0.25">
      <c r="B554" s="62"/>
      <c r="C554" s="62"/>
      <c r="D554" s="120"/>
      <c r="BL554" s="122"/>
      <c r="BM554" s="122"/>
      <c r="BN554" s="122"/>
      <c r="BO554" s="122"/>
      <c r="BP554" s="122"/>
      <c r="BQ554" s="122"/>
      <c r="BR554" s="122"/>
    </row>
    <row r="555" spans="2:70" x14ac:dyDescent="0.25">
      <c r="B555" s="62"/>
      <c r="C555" s="62"/>
      <c r="D555" s="120"/>
      <c r="BL555" s="122"/>
      <c r="BM555" s="122"/>
      <c r="BN555" s="122"/>
      <c r="BO555" s="122"/>
      <c r="BP555" s="122"/>
      <c r="BQ555" s="122"/>
      <c r="BR555" s="122"/>
    </row>
    <row r="556" spans="2:70" x14ac:dyDescent="0.25">
      <c r="B556" s="62"/>
      <c r="C556" s="62"/>
      <c r="D556" s="120"/>
      <c r="BL556" s="122"/>
      <c r="BM556" s="122"/>
      <c r="BN556" s="122"/>
      <c r="BO556" s="122"/>
      <c r="BP556" s="122"/>
      <c r="BQ556" s="122"/>
      <c r="BR556" s="122"/>
    </row>
    <row r="557" spans="2:70" x14ac:dyDescent="0.25">
      <c r="B557" s="62"/>
      <c r="C557" s="62"/>
      <c r="D557" s="120"/>
      <c r="BL557" s="122"/>
      <c r="BM557" s="122"/>
      <c r="BN557" s="122"/>
      <c r="BO557" s="122"/>
      <c r="BP557" s="122"/>
      <c r="BQ557" s="122"/>
      <c r="BR557" s="122"/>
    </row>
    <row r="558" spans="2:70" x14ac:dyDescent="0.25">
      <c r="B558" s="62"/>
      <c r="C558" s="62"/>
      <c r="D558" s="120"/>
      <c r="BL558" s="122"/>
      <c r="BM558" s="122"/>
      <c r="BN558" s="122"/>
      <c r="BO558" s="122"/>
      <c r="BP558" s="122"/>
      <c r="BQ558" s="122"/>
      <c r="BR558" s="122"/>
    </row>
    <row r="559" spans="2:70" x14ac:dyDescent="0.25">
      <c r="B559" s="62"/>
      <c r="C559" s="62"/>
      <c r="D559" s="120"/>
      <c r="BL559" s="122"/>
      <c r="BM559" s="122"/>
      <c r="BN559" s="122"/>
      <c r="BO559" s="122"/>
      <c r="BP559" s="122"/>
      <c r="BQ559" s="122"/>
      <c r="BR559" s="122"/>
    </row>
    <row r="560" spans="2:70" x14ac:dyDescent="0.25">
      <c r="B560" s="62"/>
      <c r="C560" s="62"/>
      <c r="D560" s="120"/>
      <c r="BL560" s="122"/>
      <c r="BM560" s="122"/>
      <c r="BN560" s="122"/>
      <c r="BO560" s="122"/>
      <c r="BP560" s="122"/>
      <c r="BQ560" s="122"/>
      <c r="BR560" s="122"/>
    </row>
    <row r="561" spans="2:70" x14ac:dyDescent="0.25">
      <c r="B561" s="62"/>
      <c r="C561" s="62"/>
      <c r="D561" s="120"/>
      <c r="BL561" s="122"/>
      <c r="BM561" s="122"/>
      <c r="BN561" s="122"/>
      <c r="BO561" s="122"/>
      <c r="BP561" s="122"/>
      <c r="BQ561" s="122"/>
      <c r="BR561" s="122"/>
    </row>
    <row r="562" spans="2:70" x14ac:dyDescent="0.25">
      <c r="B562" s="62"/>
      <c r="C562" s="62"/>
      <c r="D562" s="120"/>
      <c r="BL562" s="122"/>
      <c r="BM562" s="122"/>
      <c r="BN562" s="122"/>
      <c r="BO562" s="122"/>
      <c r="BP562" s="122"/>
      <c r="BQ562" s="122"/>
      <c r="BR562" s="122"/>
    </row>
    <row r="563" spans="2:70" x14ac:dyDescent="0.25">
      <c r="B563" s="62"/>
      <c r="C563" s="62"/>
      <c r="D563" s="120"/>
      <c r="BL563" s="122"/>
      <c r="BM563" s="122"/>
      <c r="BN563" s="122"/>
      <c r="BO563" s="122"/>
      <c r="BP563" s="122"/>
      <c r="BQ563" s="122"/>
      <c r="BR563" s="122"/>
    </row>
    <row r="564" spans="2:70" x14ac:dyDescent="0.25">
      <c r="B564" s="62"/>
      <c r="C564" s="62"/>
      <c r="D564" s="120"/>
      <c r="BL564" s="122"/>
      <c r="BM564" s="122"/>
      <c r="BN564" s="122"/>
      <c r="BO564" s="122"/>
      <c r="BP564" s="122"/>
      <c r="BQ564" s="122"/>
      <c r="BR564" s="122"/>
    </row>
    <row r="565" spans="2:70" x14ac:dyDescent="0.25">
      <c r="B565" s="62"/>
      <c r="C565" s="62"/>
      <c r="D565" s="120"/>
      <c r="BL565" s="122"/>
      <c r="BM565" s="122"/>
      <c r="BN565" s="122"/>
      <c r="BO565" s="122"/>
      <c r="BP565" s="122"/>
      <c r="BQ565" s="122"/>
      <c r="BR565" s="122"/>
    </row>
    <row r="566" spans="2:70" x14ac:dyDescent="0.25">
      <c r="B566" s="62"/>
      <c r="C566" s="62"/>
      <c r="D566" s="120"/>
      <c r="BL566" s="122"/>
      <c r="BM566" s="122"/>
      <c r="BN566" s="122"/>
      <c r="BO566" s="122"/>
      <c r="BP566" s="122"/>
      <c r="BQ566" s="122"/>
      <c r="BR566" s="122"/>
    </row>
    <row r="567" spans="2:70" x14ac:dyDescent="0.25">
      <c r="B567" s="62"/>
      <c r="C567" s="62"/>
      <c r="D567" s="120"/>
      <c r="BL567" s="122"/>
      <c r="BM567" s="122"/>
      <c r="BN567" s="122"/>
      <c r="BO567" s="122"/>
      <c r="BP567" s="122"/>
      <c r="BQ567" s="122"/>
      <c r="BR567" s="122"/>
    </row>
    <row r="568" spans="2:70" x14ac:dyDescent="0.25">
      <c r="B568" s="62"/>
      <c r="C568" s="62"/>
      <c r="D568" s="120"/>
      <c r="BL568" s="122"/>
      <c r="BM568" s="122"/>
      <c r="BN568" s="122"/>
      <c r="BO568" s="122"/>
      <c r="BP568" s="122"/>
      <c r="BQ568" s="122"/>
      <c r="BR568" s="122"/>
    </row>
    <row r="569" spans="2:70" x14ac:dyDescent="0.25">
      <c r="B569" s="62"/>
      <c r="C569" s="62"/>
      <c r="D569" s="120"/>
      <c r="BL569" s="122"/>
      <c r="BM569" s="122"/>
      <c r="BN569" s="122"/>
      <c r="BO569" s="122"/>
      <c r="BP569" s="122"/>
      <c r="BQ569" s="122"/>
      <c r="BR569" s="122"/>
    </row>
    <row r="570" spans="2:70" x14ac:dyDescent="0.25">
      <c r="B570" s="62"/>
      <c r="C570" s="62"/>
      <c r="D570" s="120"/>
      <c r="BL570" s="122"/>
      <c r="BM570" s="122"/>
      <c r="BN570" s="122"/>
      <c r="BO570" s="122"/>
      <c r="BP570" s="122"/>
      <c r="BQ570" s="122"/>
      <c r="BR570" s="122"/>
    </row>
    <row r="571" spans="2:70" x14ac:dyDescent="0.25">
      <c r="B571" s="62"/>
      <c r="C571" s="62"/>
      <c r="D571" s="120"/>
      <c r="BL571" s="122"/>
      <c r="BM571" s="122"/>
      <c r="BN571" s="122"/>
      <c r="BO571" s="122"/>
      <c r="BP571" s="122"/>
      <c r="BQ571" s="122"/>
      <c r="BR571" s="122"/>
    </row>
    <row r="572" spans="2:70" x14ac:dyDescent="0.25">
      <c r="B572" s="62"/>
      <c r="C572" s="62"/>
      <c r="D572" s="120"/>
      <c r="BL572" s="122"/>
      <c r="BM572" s="122"/>
      <c r="BN572" s="122"/>
      <c r="BO572" s="122"/>
      <c r="BP572" s="122"/>
      <c r="BQ572" s="122"/>
      <c r="BR572" s="122"/>
    </row>
    <row r="573" spans="2:70" x14ac:dyDescent="0.25">
      <c r="B573" s="62"/>
      <c r="C573" s="62"/>
      <c r="D573" s="120"/>
      <c r="BL573" s="122"/>
      <c r="BM573" s="122"/>
      <c r="BN573" s="122"/>
      <c r="BO573" s="122"/>
      <c r="BP573" s="122"/>
      <c r="BQ573" s="122"/>
      <c r="BR573" s="122"/>
    </row>
    <row r="574" spans="2:70" x14ac:dyDescent="0.25">
      <c r="B574" s="62"/>
      <c r="C574" s="62"/>
      <c r="D574" s="120"/>
      <c r="BL574" s="122"/>
      <c r="BM574" s="122"/>
      <c r="BN574" s="122"/>
      <c r="BO574" s="122"/>
      <c r="BP574" s="122"/>
      <c r="BQ574" s="122"/>
      <c r="BR574" s="122"/>
    </row>
    <row r="575" spans="2:70" x14ac:dyDescent="0.25">
      <c r="B575" s="62"/>
      <c r="C575" s="62"/>
      <c r="D575" s="120"/>
      <c r="BL575" s="122"/>
      <c r="BM575" s="122"/>
      <c r="BN575" s="122"/>
      <c r="BO575" s="122"/>
      <c r="BP575" s="122"/>
      <c r="BQ575" s="122"/>
      <c r="BR575" s="122"/>
    </row>
    <row r="576" spans="2:70" x14ac:dyDescent="0.25">
      <c r="B576" s="62"/>
      <c r="C576" s="62"/>
      <c r="D576" s="120"/>
      <c r="BL576" s="122"/>
      <c r="BM576" s="122"/>
      <c r="BN576" s="122"/>
      <c r="BO576" s="122"/>
      <c r="BP576" s="122"/>
      <c r="BQ576" s="122"/>
      <c r="BR576" s="122"/>
    </row>
    <row r="577" spans="2:70" x14ac:dyDescent="0.25">
      <c r="B577" s="62"/>
      <c r="C577" s="62"/>
      <c r="D577" s="120"/>
      <c r="BL577" s="122"/>
      <c r="BM577" s="122"/>
      <c r="BN577" s="122"/>
      <c r="BO577" s="122"/>
      <c r="BP577" s="122"/>
      <c r="BQ577" s="122"/>
      <c r="BR577" s="122"/>
    </row>
    <row r="578" spans="2:70" x14ac:dyDescent="0.25">
      <c r="B578" s="62"/>
      <c r="C578" s="62"/>
      <c r="D578" s="120"/>
      <c r="BL578" s="122"/>
      <c r="BM578" s="122"/>
      <c r="BN578" s="122"/>
      <c r="BO578" s="122"/>
      <c r="BP578" s="122"/>
      <c r="BQ578" s="122"/>
      <c r="BR578" s="122"/>
    </row>
    <row r="579" spans="2:70" x14ac:dyDescent="0.25">
      <c r="B579" s="62"/>
      <c r="C579" s="62"/>
      <c r="D579" s="120"/>
      <c r="BL579" s="122"/>
      <c r="BM579" s="122"/>
      <c r="BN579" s="122"/>
      <c r="BO579" s="122"/>
      <c r="BP579" s="122"/>
      <c r="BQ579" s="122"/>
      <c r="BR579" s="122"/>
    </row>
    <row r="580" spans="2:70" x14ac:dyDescent="0.25">
      <c r="B580" s="62"/>
      <c r="C580" s="62"/>
      <c r="D580" s="120"/>
      <c r="BL580" s="122"/>
      <c r="BM580" s="122"/>
      <c r="BN580" s="122"/>
      <c r="BO580" s="122"/>
      <c r="BP580" s="122"/>
      <c r="BQ580" s="122"/>
      <c r="BR580" s="122"/>
    </row>
    <row r="581" spans="2:70" x14ac:dyDescent="0.25">
      <c r="B581" s="62"/>
      <c r="C581" s="62"/>
      <c r="D581" s="120"/>
      <c r="BL581" s="122"/>
      <c r="BM581" s="122"/>
      <c r="BN581" s="122"/>
      <c r="BO581" s="122"/>
      <c r="BP581" s="122"/>
      <c r="BQ581" s="122"/>
      <c r="BR581" s="122"/>
    </row>
    <row r="582" spans="2:70" x14ac:dyDescent="0.25">
      <c r="B582" s="62"/>
      <c r="C582" s="62"/>
      <c r="D582" s="120"/>
      <c r="BL582" s="122" t="str">
        <f>_xll.BDP($B582 &amp; " mtge","YLD_CNV_BID","SETTLE_DT=" &amp; $U$13,"PX_BID=" &amp; $D582, "MTG_PREPAY_SPEED=" &amp; AD582, "MTG_PREPAY_TYP=CPR")</f>
        <v>#N/A Invalid Security</v>
      </c>
      <c r="BM582" s="122" t="str">
        <f>_xll.BDP($B582 &amp; " mtge","YLD_CNV_BID","SETTLE_DT=" &amp; $U$13,"PX_BID=" &amp; $D582, "MTG_PREPAY_SPEED=" &amp; AE582, "MTG_PREPAY_TYP=CPR")</f>
        <v>#N/A Invalid Security</v>
      </c>
      <c r="BN582" s="122" t="str">
        <f>_xll.BDP($B582 &amp; " mtge","YLD_CNV_BID","SETTLE_DT=" &amp; $U$13,"PX_BID=" &amp; $D582, "MTG_PREPAY_SPEED=" &amp; AF582, "MTG_PREPAY_TYP=CPR")</f>
        <v>#N/A Invalid Security</v>
      </c>
      <c r="BO582" s="122" t="str">
        <f>_xll.BDP($B582 &amp; " mtge","YLD_CNV_BID","SETTLE_DT=" &amp; $U$13,"PX_BID=" &amp; $D582, "MTG_PREPAY_SPEED=" &amp; AG582, "MTG_PREPAY_TYP=CPR")</f>
        <v>#N/A Invalid Security</v>
      </c>
      <c r="BP582" s="122" t="str">
        <f>_xll.BDP($B582 &amp; " mtge","YLD_CNV_BID","SETTLE_DT=" &amp; $U$13,"PX_BID=" &amp; $D582, "MTG_PREPAY_SPEED=" &amp; AH582, "MTG_PREPAY_TYP=CPR")</f>
        <v>#N/A Invalid Security</v>
      </c>
      <c r="BQ582" s="122" t="str">
        <f>_xll.BDP($B582 &amp; " mtge","YLD_CNV_BID","SETTLE_DT=" &amp; $U$13,"PX_BID=" &amp; $D582, "MTG_PREPAY_SPEED=" &amp; AI582, "MTG_PREPAY_TYP=CPR")</f>
        <v>#N/A Invalid Security</v>
      </c>
      <c r="BR582" s="122"/>
    </row>
    <row r="583" spans="2:70" x14ac:dyDescent="0.25">
      <c r="B583" s="62"/>
      <c r="C583" s="62"/>
      <c r="D583" s="120"/>
      <c r="BL583" s="122" t="str">
        <f>_xll.BDP($B583 &amp; " mtge","YLD_CNV_BID","SETTLE_DT=" &amp; $U$13,"PX_BID=" &amp; $D583, "MTG_PREPAY_SPEED=" &amp; AD583, "MTG_PREPAY_TYP=CPR")</f>
        <v>#N/A Invalid Security</v>
      </c>
      <c r="BM583" s="122" t="str">
        <f>_xll.BDP($B583 &amp; " mtge","YLD_CNV_BID","SETTLE_DT=" &amp; $U$13,"PX_BID=" &amp; $D583, "MTG_PREPAY_SPEED=" &amp; AE583, "MTG_PREPAY_TYP=CPR")</f>
        <v>#N/A Invalid Security</v>
      </c>
      <c r="BN583" s="122" t="str">
        <f>_xll.BDP($B583 &amp; " mtge","YLD_CNV_BID","SETTLE_DT=" &amp; $U$13,"PX_BID=" &amp; $D583, "MTG_PREPAY_SPEED=" &amp; AF583, "MTG_PREPAY_TYP=CPR")</f>
        <v>#N/A Invalid Security</v>
      </c>
      <c r="BO583" s="122" t="str">
        <f>_xll.BDP($B583 &amp; " mtge","YLD_CNV_BID","SETTLE_DT=" &amp; $U$13,"PX_BID=" &amp; $D583, "MTG_PREPAY_SPEED=" &amp; AG583, "MTG_PREPAY_TYP=CPR")</f>
        <v>#N/A Invalid Security</v>
      </c>
      <c r="BP583" s="122" t="str">
        <f>_xll.BDP($B583 &amp; " mtge","YLD_CNV_BID","SETTLE_DT=" &amp; $U$13,"PX_BID=" &amp; $D583, "MTG_PREPAY_SPEED=" &amp; AH583, "MTG_PREPAY_TYP=CPR")</f>
        <v>#N/A Invalid Security</v>
      </c>
      <c r="BQ583" s="122" t="str">
        <f>_xll.BDP($B583 &amp; " mtge","YLD_CNV_BID","SETTLE_DT=" &amp; $U$13,"PX_BID=" &amp; $D583, "MTG_PREPAY_SPEED=" &amp; AI583, "MTG_PREPAY_TYP=CPR")</f>
        <v>#N/A Invalid Security</v>
      </c>
      <c r="BR583" s="122"/>
    </row>
    <row r="584" spans="2:70" x14ac:dyDescent="0.25">
      <c r="B584" s="62"/>
      <c r="C584" s="62"/>
      <c r="D584" s="120"/>
      <c r="BL584" s="122" t="str">
        <f>_xll.BDP($B584 &amp; " mtge","YLD_CNV_BID","SETTLE_DT=" &amp; $U$13,"PX_BID=" &amp; $D584, "MTG_PREPAY_SPEED=" &amp; AD584, "MTG_PREPAY_TYP=CPR")</f>
        <v>#N/A Invalid Security</v>
      </c>
      <c r="BM584" s="122" t="str">
        <f>_xll.BDP($B584 &amp; " mtge","YLD_CNV_BID","SETTLE_DT=" &amp; $U$13,"PX_BID=" &amp; $D584, "MTG_PREPAY_SPEED=" &amp; AE584, "MTG_PREPAY_TYP=CPR")</f>
        <v>#N/A Invalid Security</v>
      </c>
      <c r="BN584" s="122" t="str">
        <f>_xll.BDP($B584 &amp; " mtge","YLD_CNV_BID","SETTLE_DT=" &amp; $U$13,"PX_BID=" &amp; $D584, "MTG_PREPAY_SPEED=" &amp; AF584, "MTG_PREPAY_TYP=CPR")</f>
        <v>#N/A Invalid Security</v>
      </c>
      <c r="BO584" s="122" t="str">
        <f>_xll.BDP($B584 &amp; " mtge","YLD_CNV_BID","SETTLE_DT=" &amp; $U$13,"PX_BID=" &amp; $D584, "MTG_PREPAY_SPEED=" &amp; AG584, "MTG_PREPAY_TYP=CPR")</f>
        <v>#N/A Invalid Security</v>
      </c>
      <c r="BP584" s="122" t="str">
        <f>_xll.BDP($B584 &amp; " mtge","YLD_CNV_BID","SETTLE_DT=" &amp; $U$13,"PX_BID=" &amp; $D584, "MTG_PREPAY_SPEED=" &amp; AH584, "MTG_PREPAY_TYP=CPR")</f>
        <v>#N/A Invalid Security</v>
      </c>
      <c r="BQ584" s="122" t="str">
        <f>_xll.BDP($B584 &amp; " mtge","YLD_CNV_BID","SETTLE_DT=" &amp; $U$13,"PX_BID=" &amp; $D584, "MTG_PREPAY_SPEED=" &amp; AI584, "MTG_PREPAY_TYP=CPR")</f>
        <v>#N/A Invalid Security</v>
      </c>
      <c r="BR584" s="122"/>
    </row>
    <row r="585" spans="2:70" x14ac:dyDescent="0.25">
      <c r="B585" s="62"/>
      <c r="C585" s="62"/>
      <c r="D585" s="120"/>
      <c r="BL585" s="122" t="str">
        <f>_xll.BDP($B585 &amp; " mtge","YLD_CNV_BID","SETTLE_DT=" &amp; $U$13,"PX_BID=" &amp; $D585, "MTG_PREPAY_SPEED=" &amp; AD585, "MTG_PREPAY_TYP=CPR")</f>
        <v>#N/A Invalid Security</v>
      </c>
      <c r="BM585" s="122" t="str">
        <f>_xll.BDP($B585 &amp; " mtge","YLD_CNV_BID","SETTLE_DT=" &amp; $U$13,"PX_BID=" &amp; $D585, "MTG_PREPAY_SPEED=" &amp; AE585, "MTG_PREPAY_TYP=CPR")</f>
        <v>#N/A Invalid Security</v>
      </c>
      <c r="BN585" s="122" t="str">
        <f>_xll.BDP($B585 &amp; " mtge","YLD_CNV_BID","SETTLE_DT=" &amp; $U$13,"PX_BID=" &amp; $D585, "MTG_PREPAY_SPEED=" &amp; AF585, "MTG_PREPAY_TYP=CPR")</f>
        <v>#N/A Invalid Security</v>
      </c>
      <c r="BO585" s="122" t="str">
        <f>_xll.BDP($B585 &amp; " mtge","YLD_CNV_BID","SETTLE_DT=" &amp; $U$13,"PX_BID=" &amp; $D585, "MTG_PREPAY_SPEED=" &amp; AG585, "MTG_PREPAY_TYP=CPR")</f>
        <v>#N/A Invalid Security</v>
      </c>
      <c r="BP585" s="122" t="str">
        <f>_xll.BDP($B585 &amp; " mtge","YLD_CNV_BID","SETTLE_DT=" &amp; $U$13,"PX_BID=" &amp; $D585, "MTG_PREPAY_SPEED=" &amp; AH585, "MTG_PREPAY_TYP=CPR")</f>
        <v>#N/A Invalid Security</v>
      </c>
      <c r="BQ585" s="122" t="str">
        <f>_xll.BDP($B585 &amp; " mtge","YLD_CNV_BID","SETTLE_DT=" &amp; $U$13,"PX_BID=" &amp; $D585, "MTG_PREPAY_SPEED=" &amp; AI585, "MTG_PREPAY_TYP=CPR")</f>
        <v>#N/A Invalid Security</v>
      </c>
      <c r="BR585" s="122"/>
    </row>
    <row r="586" spans="2:70" x14ac:dyDescent="0.25">
      <c r="B586" s="62"/>
      <c r="C586" s="62"/>
      <c r="D586" s="120"/>
      <c r="BL586" s="122" t="str">
        <f>_xll.BDP($B586 &amp; " mtge","YLD_CNV_BID","SETTLE_DT=" &amp; $U$13,"PX_BID=" &amp; $D586, "MTG_PREPAY_SPEED=" &amp; AD586, "MTG_PREPAY_TYP=CPR")</f>
        <v>#N/A Invalid Security</v>
      </c>
      <c r="BM586" s="122" t="str">
        <f>_xll.BDP($B586 &amp; " mtge","YLD_CNV_BID","SETTLE_DT=" &amp; $U$13,"PX_BID=" &amp; $D586, "MTG_PREPAY_SPEED=" &amp; AE586, "MTG_PREPAY_TYP=CPR")</f>
        <v>#N/A Invalid Security</v>
      </c>
      <c r="BN586" s="122" t="str">
        <f>_xll.BDP($B586 &amp; " mtge","YLD_CNV_BID","SETTLE_DT=" &amp; $U$13,"PX_BID=" &amp; $D586, "MTG_PREPAY_SPEED=" &amp; AF586, "MTG_PREPAY_TYP=CPR")</f>
        <v>#N/A Invalid Security</v>
      </c>
      <c r="BO586" s="122" t="str">
        <f>_xll.BDP($B586 &amp; " mtge","YLD_CNV_BID","SETTLE_DT=" &amp; $U$13,"PX_BID=" &amp; $D586, "MTG_PREPAY_SPEED=" &amp; AG586, "MTG_PREPAY_TYP=CPR")</f>
        <v>#N/A Invalid Security</v>
      </c>
      <c r="BP586" s="122" t="str">
        <f>_xll.BDP($B586 &amp; " mtge","YLD_CNV_BID","SETTLE_DT=" &amp; $U$13,"PX_BID=" &amp; $D586, "MTG_PREPAY_SPEED=" &amp; AH586, "MTG_PREPAY_TYP=CPR")</f>
        <v>#N/A Invalid Security</v>
      </c>
      <c r="BQ586" s="122" t="str">
        <f>_xll.BDP($B586 &amp; " mtge","YLD_CNV_BID","SETTLE_DT=" &amp; $U$13,"PX_BID=" &amp; $D586, "MTG_PREPAY_SPEED=" &amp; AI586, "MTG_PREPAY_TYP=CPR")</f>
        <v>#N/A Invalid Security</v>
      </c>
      <c r="BR586" s="122"/>
    </row>
    <row r="587" spans="2:70" x14ac:dyDescent="0.25">
      <c r="B587" s="62"/>
      <c r="C587" s="62"/>
      <c r="D587" s="120"/>
      <c r="BL587" s="122" t="str">
        <f>_xll.BDP($B587 &amp; " mtge","YLD_CNV_BID","SETTLE_DT=" &amp; $U$13,"PX_BID=" &amp; $D587, "MTG_PREPAY_SPEED=" &amp; AD587, "MTG_PREPAY_TYP=CPR")</f>
        <v>#N/A Invalid Security</v>
      </c>
      <c r="BM587" s="122" t="str">
        <f>_xll.BDP($B587 &amp; " mtge","YLD_CNV_BID","SETTLE_DT=" &amp; $U$13,"PX_BID=" &amp; $D587, "MTG_PREPAY_SPEED=" &amp; AE587, "MTG_PREPAY_TYP=CPR")</f>
        <v>#N/A Invalid Security</v>
      </c>
      <c r="BN587" s="122" t="str">
        <f>_xll.BDP($B587 &amp; " mtge","YLD_CNV_BID","SETTLE_DT=" &amp; $U$13,"PX_BID=" &amp; $D587, "MTG_PREPAY_SPEED=" &amp; AF587, "MTG_PREPAY_TYP=CPR")</f>
        <v>#N/A Invalid Security</v>
      </c>
      <c r="BO587" s="122" t="str">
        <f>_xll.BDP($B587 &amp; " mtge","YLD_CNV_BID","SETTLE_DT=" &amp; $U$13,"PX_BID=" &amp; $D587, "MTG_PREPAY_SPEED=" &amp; AG587, "MTG_PREPAY_TYP=CPR")</f>
        <v>#N/A Invalid Security</v>
      </c>
      <c r="BP587" s="122" t="str">
        <f>_xll.BDP($B587 &amp; " mtge","YLD_CNV_BID","SETTLE_DT=" &amp; $U$13,"PX_BID=" &amp; $D587, "MTG_PREPAY_SPEED=" &amp; AH587, "MTG_PREPAY_TYP=CPR")</f>
        <v>#N/A Invalid Security</v>
      </c>
      <c r="BQ587" s="122" t="str">
        <f>_xll.BDP($B587 &amp; " mtge","YLD_CNV_BID","SETTLE_DT=" &amp; $U$13,"PX_BID=" &amp; $D587, "MTG_PREPAY_SPEED=" &amp; AI587, "MTG_PREPAY_TYP=CPR")</f>
        <v>#N/A Invalid Security</v>
      </c>
      <c r="BR587" s="122"/>
    </row>
    <row r="588" spans="2:70" x14ac:dyDescent="0.25">
      <c r="B588" s="62"/>
      <c r="C588" s="62"/>
      <c r="D588" s="120"/>
      <c r="BL588" s="122" t="str">
        <f>_xll.BDP($B588 &amp; " mtge","YLD_CNV_BID","SETTLE_DT=" &amp; $U$13,"PX_BID=" &amp; $D588, "MTG_PREPAY_SPEED=" &amp; AD588, "MTG_PREPAY_TYP=CPR")</f>
        <v>#N/A Invalid Security</v>
      </c>
      <c r="BM588" s="122" t="str">
        <f>_xll.BDP($B588 &amp; " mtge","YLD_CNV_BID","SETTLE_DT=" &amp; $U$13,"PX_BID=" &amp; $D588, "MTG_PREPAY_SPEED=" &amp; AE588, "MTG_PREPAY_TYP=CPR")</f>
        <v>#N/A Invalid Security</v>
      </c>
      <c r="BN588" s="122" t="str">
        <f>_xll.BDP($B588 &amp; " mtge","YLD_CNV_BID","SETTLE_DT=" &amp; $U$13,"PX_BID=" &amp; $D588, "MTG_PREPAY_SPEED=" &amp; AF588, "MTG_PREPAY_TYP=CPR")</f>
        <v>#N/A Invalid Security</v>
      </c>
      <c r="BO588" s="122" t="str">
        <f>_xll.BDP($B588 &amp; " mtge","YLD_CNV_BID","SETTLE_DT=" &amp; $U$13,"PX_BID=" &amp; $D588, "MTG_PREPAY_SPEED=" &amp; AG588, "MTG_PREPAY_TYP=CPR")</f>
        <v>#N/A Invalid Security</v>
      </c>
      <c r="BP588" s="122" t="str">
        <f>_xll.BDP($B588 &amp; " mtge","YLD_CNV_BID","SETTLE_DT=" &amp; $U$13,"PX_BID=" &amp; $D588, "MTG_PREPAY_SPEED=" &amp; AH588, "MTG_PREPAY_TYP=CPR")</f>
        <v>#N/A Invalid Security</v>
      </c>
      <c r="BQ588" s="122" t="str">
        <f>_xll.BDP($B588 &amp; " mtge","YLD_CNV_BID","SETTLE_DT=" &amp; $U$13,"PX_BID=" &amp; $D588, "MTG_PREPAY_SPEED=" &amp; AI588, "MTG_PREPAY_TYP=CPR")</f>
        <v>#N/A Invalid Security</v>
      </c>
      <c r="BR588" s="122"/>
    </row>
    <row r="589" spans="2:70" x14ac:dyDescent="0.25">
      <c r="B589" s="62"/>
      <c r="C589" s="62"/>
      <c r="D589" s="120"/>
      <c r="BL589" s="122" t="str">
        <f>_xll.BDP($B589 &amp; " mtge","YLD_CNV_BID","SETTLE_DT=" &amp; $U$13,"PX_BID=" &amp; $D589, "MTG_PREPAY_SPEED=" &amp; AD589, "MTG_PREPAY_TYP=CPR")</f>
        <v>#N/A Invalid Security</v>
      </c>
      <c r="BM589" s="122" t="str">
        <f>_xll.BDP($B589 &amp; " mtge","YLD_CNV_BID","SETTLE_DT=" &amp; $U$13,"PX_BID=" &amp; $D589, "MTG_PREPAY_SPEED=" &amp; AE589, "MTG_PREPAY_TYP=CPR")</f>
        <v>#N/A Invalid Security</v>
      </c>
      <c r="BN589" s="122" t="str">
        <f>_xll.BDP($B589 &amp; " mtge","YLD_CNV_BID","SETTLE_DT=" &amp; $U$13,"PX_BID=" &amp; $D589, "MTG_PREPAY_SPEED=" &amp; AF589, "MTG_PREPAY_TYP=CPR")</f>
        <v>#N/A Invalid Security</v>
      </c>
      <c r="BO589" s="122" t="str">
        <f>_xll.BDP($B589 &amp; " mtge","YLD_CNV_BID","SETTLE_DT=" &amp; $U$13,"PX_BID=" &amp; $D589, "MTG_PREPAY_SPEED=" &amp; AG589, "MTG_PREPAY_TYP=CPR")</f>
        <v>#N/A Invalid Security</v>
      </c>
      <c r="BP589" s="122" t="str">
        <f>_xll.BDP($B589 &amp; " mtge","YLD_CNV_BID","SETTLE_DT=" &amp; $U$13,"PX_BID=" &amp; $D589, "MTG_PREPAY_SPEED=" &amp; AH589, "MTG_PREPAY_TYP=CPR")</f>
        <v>#N/A Invalid Security</v>
      </c>
      <c r="BQ589" s="122" t="str">
        <f>_xll.BDP($B589 &amp; " mtge","YLD_CNV_BID","SETTLE_DT=" &amp; $U$13,"PX_BID=" &amp; $D589, "MTG_PREPAY_SPEED=" &amp; AI589, "MTG_PREPAY_TYP=CPR")</f>
        <v>#N/A Invalid Security</v>
      </c>
      <c r="BR589" s="122"/>
    </row>
    <row r="590" spans="2:70" x14ac:dyDescent="0.25">
      <c r="B590" s="62"/>
      <c r="C590" s="62"/>
      <c r="D590" s="120"/>
      <c r="BL590" s="122" t="str">
        <f>_xll.BDP($B590 &amp; " mtge","YLD_CNV_BID","SETTLE_DT=" &amp; $U$13,"PX_BID=" &amp; $D590, "MTG_PREPAY_SPEED=" &amp; AD590, "MTG_PREPAY_TYP=CPR")</f>
        <v>#N/A Invalid Security</v>
      </c>
      <c r="BM590" s="122" t="str">
        <f>_xll.BDP($B590 &amp; " mtge","YLD_CNV_BID","SETTLE_DT=" &amp; $U$13,"PX_BID=" &amp; $D590, "MTG_PREPAY_SPEED=" &amp; AE590, "MTG_PREPAY_TYP=CPR")</f>
        <v>#N/A Invalid Security</v>
      </c>
      <c r="BN590" s="122" t="str">
        <f>_xll.BDP($B590 &amp; " mtge","YLD_CNV_BID","SETTLE_DT=" &amp; $U$13,"PX_BID=" &amp; $D590, "MTG_PREPAY_SPEED=" &amp; AF590, "MTG_PREPAY_TYP=CPR")</f>
        <v>#N/A Invalid Security</v>
      </c>
      <c r="BO590" s="122" t="str">
        <f>_xll.BDP($B590 &amp; " mtge","YLD_CNV_BID","SETTLE_DT=" &amp; $U$13,"PX_BID=" &amp; $D590, "MTG_PREPAY_SPEED=" &amp; AG590, "MTG_PREPAY_TYP=CPR")</f>
        <v>#N/A Invalid Security</v>
      </c>
      <c r="BP590" s="122" t="str">
        <f>_xll.BDP($B590 &amp; " mtge","YLD_CNV_BID","SETTLE_DT=" &amp; $U$13,"PX_BID=" &amp; $D590, "MTG_PREPAY_SPEED=" &amp; AH590, "MTG_PREPAY_TYP=CPR")</f>
        <v>#N/A Invalid Security</v>
      </c>
      <c r="BQ590" s="122" t="str">
        <f>_xll.BDP($B590 &amp; " mtge","YLD_CNV_BID","SETTLE_DT=" &amp; $U$13,"PX_BID=" &amp; $D590, "MTG_PREPAY_SPEED=" &amp; AI590, "MTG_PREPAY_TYP=CPR")</f>
        <v>#N/A Invalid Security</v>
      </c>
      <c r="BR590" s="122"/>
    </row>
    <row r="591" spans="2:70" x14ac:dyDescent="0.25">
      <c r="B591" s="62"/>
      <c r="C591" s="62"/>
      <c r="D591" s="120"/>
      <c r="BL591" s="122" t="str">
        <f>_xll.BDP($B591 &amp; " mtge","YLD_CNV_BID","SETTLE_DT=" &amp; $U$13,"PX_BID=" &amp; $D591, "MTG_PREPAY_SPEED=" &amp; AD591, "MTG_PREPAY_TYP=CPR")</f>
        <v>#N/A Invalid Security</v>
      </c>
      <c r="BM591" s="122" t="str">
        <f>_xll.BDP($B591 &amp; " mtge","YLD_CNV_BID","SETTLE_DT=" &amp; $U$13,"PX_BID=" &amp; $D591, "MTG_PREPAY_SPEED=" &amp; AE591, "MTG_PREPAY_TYP=CPR")</f>
        <v>#N/A Invalid Security</v>
      </c>
      <c r="BN591" s="122" t="str">
        <f>_xll.BDP($B591 &amp; " mtge","YLD_CNV_BID","SETTLE_DT=" &amp; $U$13,"PX_BID=" &amp; $D591, "MTG_PREPAY_SPEED=" &amp; AF591, "MTG_PREPAY_TYP=CPR")</f>
        <v>#N/A Invalid Security</v>
      </c>
      <c r="BO591" s="122" t="str">
        <f>_xll.BDP($B591 &amp; " mtge","YLD_CNV_BID","SETTLE_DT=" &amp; $U$13,"PX_BID=" &amp; $D591, "MTG_PREPAY_SPEED=" &amp; AG591, "MTG_PREPAY_TYP=CPR")</f>
        <v>#N/A Invalid Security</v>
      </c>
      <c r="BP591" s="122" t="str">
        <f>_xll.BDP($B591 &amp; " mtge","YLD_CNV_BID","SETTLE_DT=" &amp; $U$13,"PX_BID=" &amp; $D591, "MTG_PREPAY_SPEED=" &amp; AH591, "MTG_PREPAY_TYP=CPR")</f>
        <v>#N/A Invalid Security</v>
      </c>
      <c r="BQ591" s="122" t="str">
        <f>_xll.BDP($B591 &amp; " mtge","YLD_CNV_BID","SETTLE_DT=" &amp; $U$13,"PX_BID=" &amp; $D591, "MTG_PREPAY_SPEED=" &amp; AI591, "MTG_PREPAY_TYP=CPR")</f>
        <v>#N/A Invalid Security</v>
      </c>
      <c r="BR591" s="122"/>
    </row>
    <row r="592" spans="2:70" x14ac:dyDescent="0.25">
      <c r="B592" s="62"/>
      <c r="C592" s="62"/>
      <c r="D592" s="120"/>
      <c r="BL592" s="122" t="str">
        <f>_xll.BDP($B592 &amp; " mtge","YLD_CNV_BID","SETTLE_DT=" &amp; $U$13,"PX_BID=" &amp; $D592, "MTG_PREPAY_SPEED=" &amp; AD592, "MTG_PREPAY_TYP=CPR")</f>
        <v>#N/A Invalid Security</v>
      </c>
      <c r="BM592" s="122" t="str">
        <f>_xll.BDP($B592 &amp; " mtge","YLD_CNV_BID","SETTLE_DT=" &amp; $U$13,"PX_BID=" &amp; $D592, "MTG_PREPAY_SPEED=" &amp; AE592, "MTG_PREPAY_TYP=CPR")</f>
        <v>#N/A Invalid Security</v>
      </c>
      <c r="BN592" s="122" t="str">
        <f>_xll.BDP($B592 &amp; " mtge","YLD_CNV_BID","SETTLE_DT=" &amp; $U$13,"PX_BID=" &amp; $D592, "MTG_PREPAY_SPEED=" &amp; AF592, "MTG_PREPAY_TYP=CPR")</f>
        <v>#N/A Invalid Security</v>
      </c>
      <c r="BO592" s="122" t="str">
        <f>_xll.BDP($B592 &amp; " mtge","YLD_CNV_BID","SETTLE_DT=" &amp; $U$13,"PX_BID=" &amp; $D592, "MTG_PREPAY_SPEED=" &amp; AG592, "MTG_PREPAY_TYP=CPR")</f>
        <v>#N/A Invalid Security</v>
      </c>
      <c r="BP592" s="122" t="str">
        <f>_xll.BDP($B592 &amp; " mtge","YLD_CNV_BID","SETTLE_DT=" &amp; $U$13,"PX_BID=" &amp; $D592, "MTG_PREPAY_SPEED=" &amp; AH592, "MTG_PREPAY_TYP=CPR")</f>
        <v>#N/A Invalid Security</v>
      </c>
      <c r="BQ592" s="122" t="str">
        <f>_xll.BDP($B592 &amp; " mtge","YLD_CNV_BID","SETTLE_DT=" &amp; $U$13,"PX_BID=" &amp; $D592, "MTG_PREPAY_SPEED=" &amp; AI592, "MTG_PREPAY_TYP=CPR")</f>
        <v>#N/A Invalid Security</v>
      </c>
      <c r="BR592" s="122"/>
    </row>
    <row r="593" spans="2:70" x14ac:dyDescent="0.25">
      <c r="B593" s="62"/>
      <c r="C593" s="62"/>
      <c r="D593" s="120"/>
      <c r="BL593" s="122" t="str">
        <f>_xll.BDP($B593 &amp; " mtge","YLD_CNV_BID","SETTLE_DT=" &amp; $U$13,"PX_BID=" &amp; $D593, "MTG_PREPAY_SPEED=" &amp; AD593, "MTG_PREPAY_TYP=CPR")</f>
        <v>#N/A Invalid Security</v>
      </c>
      <c r="BM593" s="122" t="str">
        <f>_xll.BDP($B593 &amp; " mtge","YLD_CNV_BID","SETTLE_DT=" &amp; $U$13,"PX_BID=" &amp; $D593, "MTG_PREPAY_SPEED=" &amp; AE593, "MTG_PREPAY_TYP=CPR")</f>
        <v>#N/A Invalid Security</v>
      </c>
      <c r="BN593" s="122" t="str">
        <f>_xll.BDP($B593 &amp; " mtge","YLD_CNV_BID","SETTLE_DT=" &amp; $U$13,"PX_BID=" &amp; $D593, "MTG_PREPAY_SPEED=" &amp; AF593, "MTG_PREPAY_TYP=CPR")</f>
        <v>#N/A Invalid Security</v>
      </c>
      <c r="BO593" s="122" t="str">
        <f>_xll.BDP($B593 &amp; " mtge","YLD_CNV_BID","SETTLE_DT=" &amp; $U$13,"PX_BID=" &amp; $D593, "MTG_PREPAY_SPEED=" &amp; AG593, "MTG_PREPAY_TYP=CPR")</f>
        <v>#N/A Invalid Security</v>
      </c>
      <c r="BP593" s="122" t="str">
        <f>_xll.BDP($B593 &amp; " mtge","YLD_CNV_BID","SETTLE_DT=" &amp; $U$13,"PX_BID=" &amp; $D593, "MTG_PREPAY_SPEED=" &amp; AH593, "MTG_PREPAY_TYP=CPR")</f>
        <v>#N/A Invalid Security</v>
      </c>
      <c r="BQ593" s="122" t="str">
        <f>_xll.BDP($B593 &amp; " mtge","YLD_CNV_BID","SETTLE_DT=" &amp; $U$13,"PX_BID=" &amp; $D593, "MTG_PREPAY_SPEED=" &amp; AI593, "MTG_PREPAY_TYP=CPR")</f>
        <v>#N/A Invalid Security</v>
      </c>
      <c r="BR593" s="122"/>
    </row>
    <row r="594" spans="2:70" x14ac:dyDescent="0.25">
      <c r="B594" s="62"/>
      <c r="C594" s="62"/>
      <c r="D594" s="120"/>
      <c r="BL594" s="122" t="str">
        <f>_xll.BDP($B594 &amp; " mtge","YLD_CNV_BID","SETTLE_DT=" &amp; $U$13,"PX_BID=" &amp; $D594, "MTG_PREPAY_SPEED=" &amp; AD594, "MTG_PREPAY_TYP=CPR")</f>
        <v>#N/A Invalid Security</v>
      </c>
      <c r="BM594" s="122" t="str">
        <f>_xll.BDP($B594 &amp; " mtge","YLD_CNV_BID","SETTLE_DT=" &amp; $U$13,"PX_BID=" &amp; $D594, "MTG_PREPAY_SPEED=" &amp; AE594, "MTG_PREPAY_TYP=CPR")</f>
        <v>#N/A Invalid Security</v>
      </c>
      <c r="BN594" s="122" t="str">
        <f>_xll.BDP($B594 &amp; " mtge","YLD_CNV_BID","SETTLE_DT=" &amp; $U$13,"PX_BID=" &amp; $D594, "MTG_PREPAY_SPEED=" &amp; AF594, "MTG_PREPAY_TYP=CPR")</f>
        <v>#N/A Invalid Security</v>
      </c>
      <c r="BO594" s="122" t="str">
        <f>_xll.BDP($B594 &amp; " mtge","YLD_CNV_BID","SETTLE_DT=" &amp; $U$13,"PX_BID=" &amp; $D594, "MTG_PREPAY_SPEED=" &amp; AG594, "MTG_PREPAY_TYP=CPR")</f>
        <v>#N/A Invalid Security</v>
      </c>
      <c r="BP594" s="122" t="str">
        <f>_xll.BDP($B594 &amp; " mtge","YLD_CNV_BID","SETTLE_DT=" &amp; $U$13,"PX_BID=" &amp; $D594, "MTG_PREPAY_SPEED=" &amp; AH594, "MTG_PREPAY_TYP=CPR")</f>
        <v>#N/A Invalid Security</v>
      </c>
      <c r="BQ594" s="122" t="str">
        <f>_xll.BDP($B594 &amp; " mtge","YLD_CNV_BID","SETTLE_DT=" &amp; $U$13,"PX_BID=" &amp; $D594, "MTG_PREPAY_SPEED=" &amp; AI594, "MTG_PREPAY_TYP=CPR")</f>
        <v>#N/A Invalid Security</v>
      </c>
      <c r="BR594" s="122"/>
    </row>
    <row r="595" spans="2:70" x14ac:dyDescent="0.25">
      <c r="B595" s="62"/>
      <c r="C595" s="62"/>
      <c r="D595" s="120"/>
      <c r="BL595" s="116" t="str">
        <f>_xll.BDP($B595 &amp; " mtge","YLD_CNV_BID","SETTLE_DT=" &amp; $U$13,"PX_BID=" &amp; $D595, "MTG_PREPAY_SPEED=" &amp; AD595, "MTG_PREPAY_TYP=CPR")</f>
        <v>#N/A Invalid Security</v>
      </c>
      <c r="BM595" s="116" t="str">
        <f>_xll.BDP($B595 &amp; " mtge","YLD_CNV_BID","SETTLE_DT=" &amp; $U$13,"PX_BID=" &amp; $D595, "MTG_PREPAY_SPEED=" &amp; AE595, "MTG_PREPAY_TYP=CPR")</f>
        <v>#N/A Invalid Security</v>
      </c>
      <c r="BN595" s="116" t="str">
        <f>_xll.BDP($B595 &amp; " mtge","YLD_CNV_BID","SETTLE_DT=" &amp; $U$13,"PX_BID=" &amp; $D595, "MTG_PREPAY_SPEED=" &amp; AF595, "MTG_PREPAY_TYP=CPR")</f>
        <v>#N/A Invalid Security</v>
      </c>
      <c r="BO595" s="116" t="str">
        <f>_xll.BDP($B595 &amp; " mtge","YLD_CNV_BID","SETTLE_DT=" &amp; $U$13,"PX_BID=" &amp; $D595, "MTG_PREPAY_SPEED=" &amp; AG595, "MTG_PREPAY_TYP=CPR")</f>
        <v>#N/A Invalid Security</v>
      </c>
      <c r="BP595" s="116" t="str">
        <f>_xll.BDP($B595 &amp; " mtge","YLD_CNV_BID","SETTLE_DT=" &amp; $U$13,"PX_BID=" &amp; $D595, "MTG_PREPAY_SPEED=" &amp; AH595, "MTG_PREPAY_TYP=CPR")</f>
        <v>#N/A Invalid Security</v>
      </c>
      <c r="BQ595" s="116" t="str">
        <f>_xll.BDP($B595 &amp; " mtge","YLD_CNV_BID","SETTLE_DT=" &amp; $U$13,"PX_BID=" &amp; $D595, "MTG_PREPAY_SPEED=" &amp; AI595, "MTG_PREPAY_TYP=CPR")</f>
        <v>#N/A Invalid Security</v>
      </c>
    </row>
    <row r="596" spans="2:70" x14ac:dyDescent="0.25">
      <c r="B596" s="62"/>
      <c r="C596" s="62"/>
      <c r="D596" s="120"/>
      <c r="BL596" s="116" t="str">
        <f>_xll.BDP($B596 &amp; " mtge","YLD_CNV_BID","SETTLE_DT=" &amp; $U$13,"PX_BID=" &amp; $D596, "MTG_PREPAY_SPEED=" &amp; AD596, "MTG_PREPAY_TYP=CPR")</f>
        <v>#N/A Invalid Security</v>
      </c>
      <c r="BM596" s="116" t="str">
        <f>_xll.BDP($B596 &amp; " mtge","YLD_CNV_BID","SETTLE_DT=" &amp; $U$13,"PX_BID=" &amp; $D596, "MTG_PREPAY_SPEED=" &amp; AE596, "MTG_PREPAY_TYP=CPR")</f>
        <v>#N/A Invalid Security</v>
      </c>
      <c r="BN596" s="116" t="str">
        <f>_xll.BDP($B596 &amp; " mtge","YLD_CNV_BID","SETTLE_DT=" &amp; $U$13,"PX_BID=" &amp; $D596, "MTG_PREPAY_SPEED=" &amp; AF596, "MTG_PREPAY_TYP=CPR")</f>
        <v>#N/A Invalid Security</v>
      </c>
      <c r="BO596" s="116" t="str">
        <f>_xll.BDP($B596 &amp; " mtge","YLD_CNV_BID","SETTLE_DT=" &amp; $U$13,"PX_BID=" &amp; $D596, "MTG_PREPAY_SPEED=" &amp; AG596, "MTG_PREPAY_TYP=CPR")</f>
        <v>#N/A Invalid Security</v>
      </c>
      <c r="BP596" s="116" t="str">
        <f>_xll.BDP($B596 &amp; " mtge","YLD_CNV_BID","SETTLE_DT=" &amp; $U$13,"PX_BID=" &amp; $D596, "MTG_PREPAY_SPEED=" &amp; AH596, "MTG_PREPAY_TYP=CPR")</f>
        <v>#N/A Invalid Security</v>
      </c>
      <c r="BQ596" s="116" t="str">
        <f>_xll.BDP($B596 &amp; " mtge","YLD_CNV_BID","SETTLE_DT=" &amp; $U$13,"PX_BID=" &amp; $D596, "MTG_PREPAY_SPEED=" &amp; AI596, "MTG_PREPAY_TYP=CPR")</f>
        <v>#N/A Invalid Security</v>
      </c>
    </row>
    <row r="597" spans="2:70" x14ac:dyDescent="0.25">
      <c r="B597" s="62"/>
      <c r="C597" s="62"/>
      <c r="D597" s="120"/>
    </row>
    <row r="598" spans="2:70" x14ac:dyDescent="0.25">
      <c r="B598" s="62"/>
      <c r="C598" s="62"/>
      <c r="D598" s="120"/>
    </row>
    <row r="599" spans="2:70" x14ac:dyDescent="0.25">
      <c r="B599" s="62"/>
      <c r="C599" s="62"/>
      <c r="D599" s="120"/>
    </row>
    <row r="600" spans="2:70" x14ac:dyDescent="0.25">
      <c r="B600" s="62"/>
      <c r="C600" s="62"/>
      <c r="D600" s="120"/>
    </row>
    <row r="601" spans="2:70" x14ac:dyDescent="0.25">
      <c r="B601" s="62"/>
      <c r="C601" s="62"/>
      <c r="D601" s="120"/>
    </row>
    <row r="602" spans="2:70" x14ac:dyDescent="0.25">
      <c r="B602" s="62"/>
      <c r="C602" s="62"/>
      <c r="D602" s="120"/>
    </row>
    <row r="603" spans="2:70" x14ac:dyDescent="0.25">
      <c r="B603" s="62"/>
      <c r="C603" s="62"/>
      <c r="D603" s="120"/>
    </row>
    <row r="604" spans="2:70" x14ac:dyDescent="0.25">
      <c r="B604" s="62"/>
      <c r="C604" s="62"/>
      <c r="D604" s="120"/>
    </row>
    <row r="605" spans="2:70" x14ac:dyDescent="0.25">
      <c r="B605" s="62"/>
      <c r="C605" s="62"/>
      <c r="D605" s="120"/>
    </row>
    <row r="606" spans="2:70" x14ac:dyDescent="0.25">
      <c r="B606" s="62"/>
      <c r="C606" s="62"/>
      <c r="D606" s="120"/>
    </row>
    <row r="607" spans="2:70" x14ac:dyDescent="0.25">
      <c r="B607" s="62"/>
      <c r="C607" s="62"/>
      <c r="D607" s="120"/>
    </row>
    <row r="608" spans="2:70" x14ac:dyDescent="0.25">
      <c r="B608" s="62"/>
      <c r="C608" s="62"/>
      <c r="D608" s="120"/>
    </row>
    <row r="609" spans="2:4" x14ac:dyDescent="0.25">
      <c r="B609" s="62"/>
      <c r="C609" s="62"/>
      <c r="D609" s="120"/>
    </row>
    <row r="610" spans="2:4" x14ac:dyDescent="0.25">
      <c r="B610" s="62"/>
      <c r="C610" s="62"/>
      <c r="D610" s="120"/>
    </row>
    <row r="611" spans="2:4" x14ac:dyDescent="0.25">
      <c r="B611" s="62"/>
      <c r="C611" s="62"/>
      <c r="D611" s="120"/>
    </row>
    <row r="612" spans="2:4" x14ac:dyDescent="0.25">
      <c r="B612" s="62"/>
      <c r="C612" s="62"/>
      <c r="D612" s="120"/>
    </row>
    <row r="613" spans="2:4" x14ac:dyDescent="0.25">
      <c r="B613" s="62"/>
      <c r="C613" s="62"/>
      <c r="D613" s="120"/>
    </row>
    <row r="614" spans="2:4" x14ac:dyDescent="0.25">
      <c r="B614" s="62"/>
      <c r="C614" s="62"/>
      <c r="D614" s="120"/>
    </row>
    <row r="615" spans="2:4" x14ac:dyDescent="0.25">
      <c r="B615" s="62"/>
      <c r="C615" s="62"/>
      <c r="D615" s="120"/>
    </row>
    <row r="616" spans="2:4" x14ac:dyDescent="0.25">
      <c r="B616" s="62"/>
      <c r="C616" s="62"/>
      <c r="D616" s="120"/>
    </row>
    <row r="617" spans="2:4" x14ac:dyDescent="0.25">
      <c r="B617" s="62"/>
      <c r="C617" s="62"/>
      <c r="D617" s="120"/>
    </row>
    <row r="618" spans="2:4" x14ac:dyDescent="0.25">
      <c r="B618" s="62"/>
      <c r="C618" s="62"/>
      <c r="D618" s="120"/>
    </row>
    <row r="619" spans="2:4" x14ac:dyDescent="0.25">
      <c r="B619" s="62"/>
      <c r="C619" s="62"/>
      <c r="D619" s="120"/>
    </row>
    <row r="620" spans="2:4" x14ac:dyDescent="0.25">
      <c r="B620" s="62"/>
      <c r="C620" s="62"/>
      <c r="D620" s="120"/>
    </row>
    <row r="621" spans="2:4" x14ac:dyDescent="0.25">
      <c r="B621" s="62"/>
      <c r="C621" s="62"/>
      <c r="D621" s="120"/>
    </row>
    <row r="622" spans="2:4" x14ac:dyDescent="0.25">
      <c r="B622" s="62"/>
      <c r="C622" s="62"/>
      <c r="D622" s="120"/>
    </row>
    <row r="623" spans="2:4" x14ac:dyDescent="0.25">
      <c r="B623" s="62"/>
      <c r="C623" s="62"/>
      <c r="D623" s="120"/>
    </row>
    <row r="624" spans="2:4" x14ac:dyDescent="0.25">
      <c r="B624" s="62"/>
      <c r="C624" s="62"/>
      <c r="D624" s="120"/>
    </row>
    <row r="625" spans="2:4" x14ac:dyDescent="0.25">
      <c r="B625" s="62"/>
      <c r="C625" s="62"/>
      <c r="D625" s="120"/>
    </row>
    <row r="626" spans="2:4" x14ac:dyDescent="0.25">
      <c r="B626" s="62"/>
      <c r="C626" s="62"/>
      <c r="D626" s="120"/>
    </row>
    <row r="627" spans="2:4" x14ac:dyDescent="0.25">
      <c r="B627" s="62"/>
      <c r="C627" s="62"/>
      <c r="D627" s="120"/>
    </row>
    <row r="628" spans="2:4" x14ac:dyDescent="0.25">
      <c r="B628" s="62"/>
      <c r="C628" s="62"/>
      <c r="D628" s="120"/>
    </row>
    <row r="629" spans="2:4" x14ac:dyDescent="0.25">
      <c r="B629" s="62"/>
      <c r="C629" s="62"/>
      <c r="D629" s="120"/>
    </row>
    <row r="630" spans="2:4" x14ac:dyDescent="0.25">
      <c r="B630" s="62"/>
      <c r="C630" s="62"/>
      <c r="D630" s="120"/>
    </row>
    <row r="631" spans="2:4" x14ac:dyDescent="0.25">
      <c r="B631" s="62"/>
      <c r="C631" s="62"/>
      <c r="D631" s="120"/>
    </row>
    <row r="632" spans="2:4" x14ac:dyDescent="0.25">
      <c r="B632" s="62"/>
      <c r="C632" s="62"/>
      <c r="D632" s="120"/>
    </row>
    <row r="633" spans="2:4" x14ac:dyDescent="0.25">
      <c r="B633" s="62"/>
      <c r="C633" s="62"/>
      <c r="D633" s="120"/>
    </row>
    <row r="634" spans="2:4" x14ac:dyDescent="0.25">
      <c r="B634" s="62"/>
      <c r="C634" s="62"/>
      <c r="D634" s="120"/>
    </row>
    <row r="635" spans="2:4" x14ac:dyDescent="0.25">
      <c r="B635" s="62"/>
      <c r="C635" s="62"/>
      <c r="D635" s="120"/>
    </row>
    <row r="636" spans="2:4" x14ac:dyDescent="0.25">
      <c r="B636" s="62"/>
      <c r="C636" s="62"/>
      <c r="D636" s="120"/>
    </row>
    <row r="637" spans="2:4" x14ac:dyDescent="0.25">
      <c r="B637" s="62"/>
      <c r="C637" s="62"/>
      <c r="D637" s="120"/>
    </row>
    <row r="638" spans="2:4" x14ac:dyDescent="0.25">
      <c r="B638" s="62"/>
      <c r="C638" s="62"/>
      <c r="D638" s="120"/>
    </row>
    <row r="639" spans="2:4" x14ac:dyDescent="0.25">
      <c r="B639" s="62"/>
      <c r="C639" s="62"/>
      <c r="D639" s="120"/>
    </row>
    <row r="640" spans="2:4" x14ac:dyDescent="0.25">
      <c r="B640" s="62"/>
      <c r="C640" s="62"/>
      <c r="D640" s="120"/>
    </row>
    <row r="641" spans="2:4" x14ac:dyDescent="0.25">
      <c r="B641" s="62"/>
      <c r="C641" s="62"/>
      <c r="D641" s="120"/>
    </row>
    <row r="642" spans="2:4" x14ac:dyDescent="0.25">
      <c r="B642" s="62"/>
      <c r="C642" s="62"/>
      <c r="D642" s="120"/>
    </row>
    <row r="643" spans="2:4" x14ac:dyDescent="0.25">
      <c r="B643" s="62"/>
      <c r="C643" s="62"/>
      <c r="D643" s="120"/>
    </row>
    <row r="644" spans="2:4" x14ac:dyDescent="0.25">
      <c r="B644" s="62"/>
      <c r="C644" s="62"/>
      <c r="D644" s="120"/>
    </row>
    <row r="645" spans="2:4" x14ac:dyDescent="0.25">
      <c r="B645" s="62"/>
      <c r="C645" s="62"/>
      <c r="D645" s="120"/>
    </row>
    <row r="646" spans="2:4" x14ac:dyDescent="0.25">
      <c r="B646" s="62"/>
      <c r="C646" s="62"/>
      <c r="D646" s="120"/>
    </row>
    <row r="647" spans="2:4" x14ac:dyDescent="0.25">
      <c r="B647" s="62"/>
      <c r="C647" s="62"/>
      <c r="D647" s="120"/>
    </row>
    <row r="648" spans="2:4" x14ac:dyDescent="0.25">
      <c r="B648" s="62"/>
      <c r="C648" s="62"/>
      <c r="D648" s="120"/>
    </row>
    <row r="649" spans="2:4" x14ac:dyDescent="0.25">
      <c r="B649" s="62"/>
      <c r="C649" s="62"/>
      <c r="D649" s="120"/>
    </row>
    <row r="650" spans="2:4" x14ac:dyDescent="0.25">
      <c r="B650" s="62"/>
      <c r="C650" s="62"/>
      <c r="D650" s="120"/>
    </row>
    <row r="651" spans="2:4" x14ac:dyDescent="0.25">
      <c r="B651" s="62"/>
      <c r="C651" s="62"/>
      <c r="D651" s="120"/>
    </row>
    <row r="652" spans="2:4" x14ac:dyDescent="0.25">
      <c r="B652" s="62"/>
      <c r="C652" s="62"/>
      <c r="D652" s="120"/>
    </row>
    <row r="653" spans="2:4" x14ac:dyDescent="0.25">
      <c r="B653" s="62"/>
      <c r="C653" s="62"/>
      <c r="D653" s="120"/>
    </row>
    <row r="654" spans="2:4" x14ac:dyDescent="0.25">
      <c r="B654" s="62"/>
      <c r="C654" s="62"/>
      <c r="D654" s="120"/>
    </row>
    <row r="655" spans="2:4" x14ac:dyDescent="0.25">
      <c r="B655" s="62"/>
      <c r="C655" s="62"/>
      <c r="D655" s="120"/>
    </row>
    <row r="656" spans="2:4" x14ac:dyDescent="0.25">
      <c r="B656" s="62"/>
      <c r="C656" s="62"/>
      <c r="D656" s="120"/>
    </row>
    <row r="657" spans="2:4" x14ac:dyDescent="0.25">
      <c r="B657" s="62"/>
      <c r="C657" s="62"/>
      <c r="D657" s="120"/>
    </row>
    <row r="658" spans="2:4" x14ac:dyDescent="0.25">
      <c r="B658" s="62"/>
      <c r="C658" s="62"/>
      <c r="D658" s="120"/>
    </row>
    <row r="659" spans="2:4" x14ac:dyDescent="0.25">
      <c r="B659" s="62"/>
      <c r="C659" s="62"/>
      <c r="D659" s="120"/>
    </row>
    <row r="660" spans="2:4" x14ac:dyDescent="0.25">
      <c r="B660" s="62"/>
      <c r="C660" s="62"/>
      <c r="D660" s="120"/>
    </row>
    <row r="661" spans="2:4" x14ac:dyDescent="0.25">
      <c r="B661" s="62"/>
      <c r="C661" s="62"/>
      <c r="D661" s="120"/>
    </row>
    <row r="662" spans="2:4" x14ac:dyDescent="0.25">
      <c r="B662" s="62"/>
      <c r="C662" s="62"/>
      <c r="D662" s="120"/>
    </row>
    <row r="663" spans="2:4" x14ac:dyDescent="0.25">
      <c r="B663" s="62"/>
      <c r="C663" s="62"/>
      <c r="D663" s="120"/>
    </row>
    <row r="664" spans="2:4" x14ac:dyDescent="0.25">
      <c r="B664" s="62"/>
      <c r="C664" s="62"/>
      <c r="D664" s="120"/>
    </row>
    <row r="665" spans="2:4" x14ac:dyDescent="0.25">
      <c r="B665" s="62"/>
      <c r="C665" s="62"/>
      <c r="D665" s="120"/>
    </row>
    <row r="666" spans="2:4" x14ac:dyDescent="0.25">
      <c r="B666" s="62"/>
      <c r="C666" s="62"/>
      <c r="D666" s="120"/>
    </row>
    <row r="667" spans="2:4" x14ac:dyDescent="0.25">
      <c r="B667" s="62"/>
      <c r="C667" s="62"/>
      <c r="D667" s="120"/>
    </row>
    <row r="668" spans="2:4" x14ac:dyDescent="0.25">
      <c r="B668" s="62"/>
      <c r="C668" s="62"/>
      <c r="D668" s="120"/>
    </row>
    <row r="669" spans="2:4" x14ac:dyDescent="0.25">
      <c r="B669" s="62"/>
      <c r="C669" s="62"/>
      <c r="D669" s="120"/>
    </row>
    <row r="670" spans="2:4" x14ac:dyDescent="0.25">
      <c r="B670" s="62"/>
      <c r="C670" s="62"/>
      <c r="D670" s="120"/>
    </row>
    <row r="671" spans="2:4" x14ac:dyDescent="0.25">
      <c r="B671" s="62"/>
      <c r="C671" s="62"/>
      <c r="D671" s="120"/>
    </row>
    <row r="672" spans="2:4" x14ac:dyDescent="0.25">
      <c r="B672" s="62"/>
      <c r="C672" s="62"/>
      <c r="D672" s="120"/>
    </row>
    <row r="673" spans="2:4" x14ac:dyDescent="0.25">
      <c r="B673" s="62"/>
      <c r="C673" s="62"/>
      <c r="D673" s="120"/>
    </row>
    <row r="674" spans="2:4" x14ac:dyDescent="0.25">
      <c r="B674" s="62"/>
      <c r="C674" s="62"/>
      <c r="D674" s="120"/>
    </row>
    <row r="675" spans="2:4" x14ac:dyDescent="0.25">
      <c r="B675" s="62"/>
      <c r="C675" s="62"/>
      <c r="D675" s="120"/>
    </row>
    <row r="676" spans="2:4" x14ac:dyDescent="0.25">
      <c r="B676" s="62"/>
      <c r="C676" s="62"/>
      <c r="D676" s="120"/>
    </row>
    <row r="677" spans="2:4" x14ac:dyDescent="0.25">
      <c r="B677" s="62"/>
      <c r="C677" s="62"/>
      <c r="D677" s="120"/>
    </row>
    <row r="678" spans="2:4" x14ac:dyDescent="0.25">
      <c r="B678" s="62"/>
      <c r="C678" s="62"/>
      <c r="D678" s="120"/>
    </row>
    <row r="679" spans="2:4" x14ac:dyDescent="0.25">
      <c r="B679" s="62"/>
      <c r="C679" s="62"/>
      <c r="D679" s="120"/>
    </row>
    <row r="680" spans="2:4" x14ac:dyDescent="0.25">
      <c r="B680" s="62"/>
      <c r="C680" s="62"/>
      <c r="D680" s="120"/>
    </row>
    <row r="681" spans="2:4" x14ac:dyDescent="0.25">
      <c r="B681" s="62"/>
      <c r="C681" s="62"/>
      <c r="D681" s="120"/>
    </row>
    <row r="682" spans="2:4" x14ac:dyDescent="0.25">
      <c r="B682" s="62"/>
      <c r="C682" s="62"/>
      <c r="D682" s="120"/>
    </row>
    <row r="683" spans="2:4" x14ac:dyDescent="0.25">
      <c r="B683" s="62"/>
      <c r="C683" s="62"/>
      <c r="D683" s="120"/>
    </row>
    <row r="684" spans="2:4" x14ac:dyDescent="0.25">
      <c r="B684" s="62"/>
      <c r="C684" s="62"/>
      <c r="D684" s="120"/>
    </row>
    <row r="685" spans="2:4" x14ac:dyDescent="0.25">
      <c r="B685" s="62"/>
      <c r="C685" s="62"/>
      <c r="D685" s="120"/>
    </row>
    <row r="686" spans="2:4" x14ac:dyDescent="0.25">
      <c r="B686" s="62"/>
      <c r="C686" s="62"/>
      <c r="D686" s="120"/>
    </row>
    <row r="687" spans="2:4" x14ac:dyDescent="0.25">
      <c r="B687" s="62"/>
      <c r="C687" s="62"/>
      <c r="D687" s="120"/>
    </row>
    <row r="688" spans="2:4" x14ac:dyDescent="0.25">
      <c r="B688" s="62"/>
      <c r="C688" s="62"/>
      <c r="D688" s="120"/>
    </row>
    <row r="689" spans="2:4" x14ac:dyDescent="0.25">
      <c r="B689" s="62"/>
      <c r="C689" s="62"/>
      <c r="D689" s="120"/>
    </row>
    <row r="690" spans="2:4" x14ac:dyDescent="0.25">
      <c r="B690" s="62"/>
      <c r="C690" s="62"/>
      <c r="D690" s="120"/>
    </row>
    <row r="691" spans="2:4" x14ac:dyDescent="0.25">
      <c r="B691" s="62"/>
      <c r="C691" s="62"/>
      <c r="D691" s="120"/>
    </row>
    <row r="692" spans="2:4" x14ac:dyDescent="0.25">
      <c r="B692" s="62"/>
      <c r="C692" s="62"/>
      <c r="D692" s="120"/>
    </row>
    <row r="693" spans="2:4" x14ac:dyDescent="0.25">
      <c r="B693" s="62"/>
      <c r="C693" s="62"/>
      <c r="D693" s="120"/>
    </row>
    <row r="694" spans="2:4" x14ac:dyDescent="0.25">
      <c r="B694" s="62"/>
      <c r="C694" s="62"/>
      <c r="D694" s="120"/>
    </row>
    <row r="695" spans="2:4" x14ac:dyDescent="0.25">
      <c r="B695" s="62"/>
      <c r="C695" s="62"/>
      <c r="D695" s="120"/>
    </row>
    <row r="696" spans="2:4" x14ac:dyDescent="0.25">
      <c r="B696" s="62"/>
      <c r="C696" s="62"/>
      <c r="D696" s="120"/>
    </row>
    <row r="697" spans="2:4" x14ac:dyDescent="0.25">
      <c r="B697" s="62"/>
      <c r="C697" s="62"/>
      <c r="D697" s="120"/>
    </row>
    <row r="698" spans="2:4" x14ac:dyDescent="0.25">
      <c r="B698" s="62"/>
      <c r="C698" s="62"/>
      <c r="D698" s="120"/>
    </row>
    <row r="699" spans="2:4" x14ac:dyDescent="0.25">
      <c r="B699" s="62"/>
      <c r="C699" s="62"/>
      <c r="D699" s="120"/>
    </row>
    <row r="700" spans="2:4" x14ac:dyDescent="0.25">
      <c r="B700" s="62"/>
      <c r="C700" s="62"/>
      <c r="D700" s="120"/>
    </row>
    <row r="701" spans="2:4" x14ac:dyDescent="0.25">
      <c r="B701" s="62"/>
      <c r="C701" s="62"/>
      <c r="D701" s="120"/>
    </row>
    <row r="702" spans="2:4" x14ac:dyDescent="0.25">
      <c r="B702" s="62"/>
      <c r="C702" s="62"/>
      <c r="D702" s="120"/>
    </row>
    <row r="703" spans="2:4" x14ac:dyDescent="0.25">
      <c r="B703" s="62"/>
      <c r="C703" s="62"/>
      <c r="D703" s="120"/>
    </row>
    <row r="704" spans="2:4" x14ac:dyDescent="0.25">
      <c r="B704" s="62"/>
      <c r="C704" s="62"/>
      <c r="D704" s="120"/>
    </row>
    <row r="705" spans="2:4" x14ac:dyDescent="0.25">
      <c r="B705" s="62"/>
      <c r="C705" s="62"/>
      <c r="D705" s="120"/>
    </row>
    <row r="706" spans="2:4" x14ac:dyDescent="0.25">
      <c r="B706" s="62"/>
      <c r="C706" s="62"/>
      <c r="D706" s="120"/>
    </row>
    <row r="707" spans="2:4" x14ac:dyDescent="0.25">
      <c r="B707" s="62"/>
      <c r="C707" s="62"/>
      <c r="D707" s="120"/>
    </row>
    <row r="708" spans="2:4" x14ac:dyDescent="0.25">
      <c r="B708" s="62"/>
      <c r="C708" s="62"/>
      <c r="D708" s="120"/>
    </row>
    <row r="709" spans="2:4" x14ac:dyDescent="0.25">
      <c r="B709" s="62"/>
      <c r="C709" s="62"/>
      <c r="D709" s="120"/>
    </row>
    <row r="710" spans="2:4" x14ac:dyDescent="0.25">
      <c r="B710" s="62"/>
      <c r="C710" s="62"/>
      <c r="D710" s="120"/>
    </row>
    <row r="711" spans="2:4" x14ac:dyDescent="0.25">
      <c r="B711" s="62"/>
      <c r="C711" s="62"/>
      <c r="D711" s="120"/>
    </row>
    <row r="712" spans="2:4" x14ac:dyDescent="0.25">
      <c r="B712" s="62"/>
      <c r="C712" s="62"/>
      <c r="D712" s="120"/>
    </row>
    <row r="713" spans="2:4" x14ac:dyDescent="0.25">
      <c r="B713" s="62"/>
      <c r="C713" s="62"/>
      <c r="D713" s="120"/>
    </row>
    <row r="714" spans="2:4" x14ac:dyDescent="0.25">
      <c r="B714" s="62"/>
      <c r="C714" s="62"/>
      <c r="D714" s="120"/>
    </row>
    <row r="715" spans="2:4" x14ac:dyDescent="0.25">
      <c r="B715" s="62"/>
      <c r="C715" s="62"/>
      <c r="D715" s="120"/>
    </row>
    <row r="716" spans="2:4" x14ac:dyDescent="0.25">
      <c r="B716" s="62"/>
      <c r="C716" s="62"/>
      <c r="D716" s="120"/>
    </row>
    <row r="717" spans="2:4" x14ac:dyDescent="0.25">
      <c r="B717" s="62"/>
      <c r="C717" s="62"/>
      <c r="D717" s="120"/>
    </row>
    <row r="718" spans="2:4" x14ac:dyDescent="0.25">
      <c r="B718" s="62"/>
      <c r="C718" s="62"/>
      <c r="D718" s="120"/>
    </row>
    <row r="719" spans="2:4" x14ac:dyDescent="0.25">
      <c r="B719" s="62"/>
      <c r="C719" s="62"/>
      <c r="D719" s="120"/>
    </row>
    <row r="720" spans="2:4" x14ac:dyDescent="0.25">
      <c r="B720" s="62"/>
      <c r="C720" s="62"/>
      <c r="D720" s="120"/>
    </row>
    <row r="721" spans="2:4" x14ac:dyDescent="0.25">
      <c r="B721" s="62"/>
      <c r="C721" s="62"/>
      <c r="D721" s="120"/>
    </row>
    <row r="722" spans="2:4" x14ac:dyDescent="0.25">
      <c r="B722" s="62"/>
      <c r="C722" s="62"/>
      <c r="D722" s="120"/>
    </row>
    <row r="723" spans="2:4" x14ac:dyDescent="0.25">
      <c r="B723" s="62"/>
      <c r="C723" s="62"/>
      <c r="D723" s="120"/>
    </row>
    <row r="724" spans="2:4" x14ac:dyDescent="0.25">
      <c r="B724" s="62"/>
      <c r="C724" s="62"/>
      <c r="D724" s="120"/>
    </row>
    <row r="725" spans="2:4" x14ac:dyDescent="0.25">
      <c r="B725" s="62"/>
      <c r="C725" s="62"/>
      <c r="D725" s="120"/>
    </row>
    <row r="726" spans="2:4" x14ac:dyDescent="0.25">
      <c r="B726" s="62"/>
      <c r="C726" s="62"/>
      <c r="D726" s="120"/>
    </row>
    <row r="727" spans="2:4" x14ac:dyDescent="0.25">
      <c r="B727" s="62"/>
      <c r="C727" s="62"/>
      <c r="D727" s="120"/>
    </row>
    <row r="728" spans="2:4" x14ac:dyDescent="0.25">
      <c r="B728" s="62"/>
      <c r="C728" s="62"/>
      <c r="D728" s="120"/>
    </row>
    <row r="729" spans="2:4" x14ac:dyDescent="0.25">
      <c r="B729" s="62"/>
      <c r="C729" s="62"/>
      <c r="D729" s="120"/>
    </row>
    <row r="730" spans="2:4" x14ac:dyDescent="0.25">
      <c r="B730" s="62"/>
      <c r="C730" s="62"/>
      <c r="D730" s="120"/>
    </row>
    <row r="731" spans="2:4" x14ac:dyDescent="0.25">
      <c r="B731" s="62"/>
      <c r="C731" s="62"/>
      <c r="D731" s="120"/>
    </row>
    <row r="732" spans="2:4" x14ac:dyDescent="0.25">
      <c r="B732" s="62"/>
      <c r="C732" s="62"/>
      <c r="D732" s="120"/>
    </row>
    <row r="733" spans="2:4" x14ac:dyDescent="0.25">
      <c r="B733" s="62"/>
      <c r="C733" s="62"/>
      <c r="D733" s="120"/>
    </row>
    <row r="734" spans="2:4" x14ac:dyDescent="0.25">
      <c r="B734" s="62"/>
      <c r="C734" s="62"/>
      <c r="D734" s="120"/>
    </row>
    <row r="735" spans="2:4" x14ac:dyDescent="0.25">
      <c r="B735" s="62"/>
      <c r="C735" s="62"/>
      <c r="D735" s="120"/>
    </row>
    <row r="736" spans="2:4" x14ac:dyDescent="0.25">
      <c r="B736" s="62"/>
      <c r="C736" s="62"/>
      <c r="D736" s="120"/>
    </row>
    <row r="737" spans="2:4" x14ac:dyDescent="0.25">
      <c r="B737" s="62"/>
      <c r="C737" s="62"/>
      <c r="D737" s="120"/>
    </row>
    <row r="738" spans="2:4" x14ac:dyDescent="0.25">
      <c r="B738" s="62"/>
      <c r="C738" s="62"/>
      <c r="D738" s="120"/>
    </row>
    <row r="739" spans="2:4" x14ac:dyDescent="0.25">
      <c r="B739" s="62"/>
      <c r="C739" s="62"/>
      <c r="D739" s="120"/>
    </row>
    <row r="740" spans="2:4" x14ac:dyDescent="0.25">
      <c r="B740" s="62"/>
      <c r="C740" s="62"/>
      <c r="D740" s="120"/>
    </row>
    <row r="741" spans="2:4" x14ac:dyDescent="0.25">
      <c r="B741" s="62"/>
      <c r="C741" s="62"/>
      <c r="D741" s="120"/>
    </row>
    <row r="742" spans="2:4" x14ac:dyDescent="0.25">
      <c r="B742" s="62"/>
      <c r="C742" s="62"/>
      <c r="D742" s="120"/>
    </row>
    <row r="743" spans="2:4" x14ac:dyDescent="0.25">
      <c r="B743" s="62"/>
      <c r="C743" s="62"/>
      <c r="D743" s="120"/>
    </row>
    <row r="744" spans="2:4" x14ac:dyDescent="0.25">
      <c r="B744" s="62"/>
      <c r="C744" s="62"/>
      <c r="D744" s="120"/>
    </row>
    <row r="745" spans="2:4" x14ac:dyDescent="0.25">
      <c r="B745" s="62"/>
      <c r="C745" s="62"/>
      <c r="D745" s="120"/>
    </row>
    <row r="746" spans="2:4" x14ac:dyDescent="0.25">
      <c r="B746" s="62"/>
      <c r="C746" s="62"/>
      <c r="D746" s="120"/>
    </row>
    <row r="747" spans="2:4" x14ac:dyDescent="0.25">
      <c r="B747" s="62"/>
      <c r="C747" s="62"/>
      <c r="D747" s="120"/>
    </row>
    <row r="748" spans="2:4" x14ac:dyDescent="0.25">
      <c r="B748" s="62"/>
      <c r="C748" s="62"/>
      <c r="D748" s="120"/>
    </row>
    <row r="749" spans="2:4" x14ac:dyDescent="0.25">
      <c r="B749" s="62"/>
      <c r="C749" s="62"/>
      <c r="D749" s="120"/>
    </row>
    <row r="750" spans="2:4" x14ac:dyDescent="0.25">
      <c r="B750" s="62"/>
      <c r="C750" s="62"/>
      <c r="D750" s="120"/>
    </row>
    <row r="751" spans="2:4" x14ac:dyDescent="0.25">
      <c r="B751" s="62"/>
      <c r="C751" s="62"/>
      <c r="D751" s="120"/>
    </row>
    <row r="752" spans="2:4" x14ac:dyDescent="0.25">
      <c r="B752" s="62"/>
      <c r="C752" s="62"/>
      <c r="D752" s="120"/>
    </row>
    <row r="753" spans="2:4" x14ac:dyDescent="0.25">
      <c r="B753" s="62"/>
      <c r="C753" s="62"/>
      <c r="D753" s="120"/>
    </row>
    <row r="754" spans="2:4" x14ac:dyDescent="0.25">
      <c r="B754" s="62"/>
      <c r="C754" s="62"/>
      <c r="D754" s="120"/>
    </row>
    <row r="755" spans="2:4" x14ac:dyDescent="0.25">
      <c r="B755" s="62"/>
      <c r="C755" s="62"/>
      <c r="D755" s="120"/>
    </row>
    <row r="756" spans="2:4" x14ac:dyDescent="0.25">
      <c r="B756" s="62"/>
      <c r="C756" s="62"/>
      <c r="D756" s="120"/>
    </row>
    <row r="757" spans="2:4" x14ac:dyDescent="0.25">
      <c r="B757" s="62"/>
      <c r="C757" s="62"/>
      <c r="D757" s="120"/>
    </row>
    <row r="758" spans="2:4" x14ac:dyDescent="0.25">
      <c r="B758" s="62"/>
      <c r="C758" s="62"/>
      <c r="D758" s="120"/>
    </row>
    <row r="759" spans="2:4" x14ac:dyDescent="0.25">
      <c r="B759" s="62"/>
      <c r="C759" s="62"/>
      <c r="D759" s="120"/>
    </row>
    <row r="760" spans="2:4" x14ac:dyDescent="0.25">
      <c r="B760" s="62"/>
      <c r="C760" s="62"/>
      <c r="D760" s="120"/>
    </row>
    <row r="761" spans="2:4" x14ac:dyDescent="0.25">
      <c r="B761" s="62"/>
      <c r="C761" s="62"/>
      <c r="D761" s="120"/>
    </row>
    <row r="762" spans="2:4" x14ac:dyDescent="0.25">
      <c r="B762" s="62"/>
      <c r="C762" s="62"/>
      <c r="D762" s="120"/>
    </row>
    <row r="763" spans="2:4" x14ac:dyDescent="0.25">
      <c r="B763" s="62"/>
      <c r="C763" s="62"/>
      <c r="D763" s="120"/>
    </row>
    <row r="764" spans="2:4" x14ac:dyDescent="0.25">
      <c r="B764" s="62"/>
      <c r="C764" s="62"/>
      <c r="D764" s="120"/>
    </row>
    <row r="765" spans="2:4" x14ac:dyDescent="0.25">
      <c r="B765" s="62"/>
      <c r="C765" s="62"/>
      <c r="D765" s="120"/>
    </row>
    <row r="766" spans="2:4" x14ac:dyDescent="0.25">
      <c r="B766" s="62"/>
      <c r="C766" s="62"/>
      <c r="D766" s="120"/>
    </row>
    <row r="767" spans="2:4" x14ac:dyDescent="0.25">
      <c r="B767" s="62"/>
      <c r="C767" s="62"/>
      <c r="D767" s="120"/>
    </row>
    <row r="768" spans="2:4" x14ac:dyDescent="0.25">
      <c r="B768" s="62"/>
      <c r="C768" s="62"/>
      <c r="D768" s="120"/>
    </row>
    <row r="769" spans="2:4" x14ac:dyDescent="0.25">
      <c r="B769" s="62"/>
      <c r="C769" s="62"/>
      <c r="D769" s="120"/>
    </row>
    <row r="770" spans="2:4" x14ac:dyDescent="0.25">
      <c r="B770" s="62"/>
      <c r="C770" s="62"/>
      <c r="D770" s="120"/>
    </row>
    <row r="771" spans="2:4" x14ac:dyDescent="0.25">
      <c r="B771" s="62"/>
      <c r="C771" s="62"/>
      <c r="D771" s="120"/>
    </row>
    <row r="772" spans="2:4" x14ac:dyDescent="0.25">
      <c r="B772" s="62"/>
      <c r="C772" s="62"/>
      <c r="D772" s="120"/>
    </row>
    <row r="773" spans="2:4" x14ac:dyDescent="0.25">
      <c r="B773" s="62"/>
      <c r="C773" s="62"/>
      <c r="D773" s="120"/>
    </row>
    <row r="774" spans="2:4" x14ac:dyDescent="0.25">
      <c r="B774" s="62"/>
      <c r="C774" s="62"/>
      <c r="D774" s="120"/>
    </row>
    <row r="775" spans="2:4" x14ac:dyDescent="0.25">
      <c r="B775" s="62"/>
      <c r="C775" s="62"/>
      <c r="D775" s="120"/>
    </row>
    <row r="776" spans="2:4" x14ac:dyDescent="0.25">
      <c r="B776" s="62"/>
      <c r="C776" s="62"/>
      <c r="D776" s="120"/>
    </row>
    <row r="777" spans="2:4" x14ac:dyDescent="0.25">
      <c r="B777" s="62"/>
      <c r="C777" s="62"/>
      <c r="D777" s="120"/>
    </row>
    <row r="778" spans="2:4" x14ac:dyDescent="0.25">
      <c r="B778" s="62"/>
      <c r="C778" s="62"/>
      <c r="D778" s="120"/>
    </row>
    <row r="779" spans="2:4" x14ac:dyDescent="0.25">
      <c r="B779" s="62"/>
      <c r="C779" s="62"/>
      <c r="D779" s="120"/>
    </row>
    <row r="780" spans="2:4" x14ac:dyDescent="0.25">
      <c r="B780" s="62"/>
      <c r="C780" s="62"/>
      <c r="D780" s="120"/>
    </row>
    <row r="781" spans="2:4" x14ac:dyDescent="0.25">
      <c r="B781" s="62"/>
      <c r="C781" s="62"/>
      <c r="D781" s="120"/>
    </row>
    <row r="782" spans="2:4" x14ac:dyDescent="0.25">
      <c r="B782" s="62"/>
      <c r="C782" s="62"/>
      <c r="D782" s="120"/>
    </row>
    <row r="783" spans="2:4" x14ac:dyDescent="0.25">
      <c r="B783" s="62"/>
      <c r="C783" s="62"/>
      <c r="D783" s="120"/>
    </row>
    <row r="784" spans="2:4" x14ac:dyDescent="0.25">
      <c r="B784" s="62"/>
      <c r="C784" s="62"/>
      <c r="D784" s="120"/>
    </row>
    <row r="785" spans="2:4" x14ac:dyDescent="0.25">
      <c r="B785" s="62"/>
      <c r="C785" s="62"/>
      <c r="D785" s="120"/>
    </row>
    <row r="786" spans="2:4" x14ac:dyDescent="0.25">
      <c r="B786" s="62"/>
      <c r="C786" s="62"/>
      <c r="D786" s="120"/>
    </row>
    <row r="787" spans="2:4" x14ac:dyDescent="0.25">
      <c r="B787" s="62"/>
      <c r="C787" s="62"/>
      <c r="D787" s="120"/>
    </row>
    <row r="788" spans="2:4" x14ac:dyDescent="0.25">
      <c r="B788" s="62"/>
      <c r="C788" s="62"/>
      <c r="D788" s="120"/>
    </row>
    <row r="789" spans="2:4" x14ac:dyDescent="0.25">
      <c r="B789" s="62"/>
      <c r="C789" s="62"/>
      <c r="D789" s="120"/>
    </row>
    <row r="790" spans="2:4" x14ac:dyDescent="0.25">
      <c r="B790" s="62"/>
      <c r="C790" s="62"/>
      <c r="D790" s="120"/>
    </row>
    <row r="791" spans="2:4" x14ac:dyDescent="0.25">
      <c r="B791" s="62"/>
      <c r="C791" s="62"/>
      <c r="D791" s="120"/>
    </row>
    <row r="792" spans="2:4" x14ac:dyDescent="0.25">
      <c r="B792" s="62"/>
      <c r="C792" s="62"/>
      <c r="D792" s="120"/>
    </row>
    <row r="793" spans="2:4" x14ac:dyDescent="0.25">
      <c r="B793" s="62"/>
      <c r="C793" s="62"/>
      <c r="D793" s="120"/>
    </row>
    <row r="794" spans="2:4" x14ac:dyDescent="0.25">
      <c r="B794" s="62"/>
      <c r="C794" s="62"/>
      <c r="D794" s="120"/>
    </row>
    <row r="795" spans="2:4" x14ac:dyDescent="0.25">
      <c r="B795" s="62"/>
      <c r="C795" s="62"/>
      <c r="D795" s="120"/>
    </row>
    <row r="796" spans="2:4" x14ac:dyDescent="0.25">
      <c r="B796" s="62"/>
      <c r="C796" s="62"/>
      <c r="D796" s="120"/>
    </row>
    <row r="797" spans="2:4" x14ac:dyDescent="0.25">
      <c r="B797" s="62"/>
      <c r="C797" s="62"/>
      <c r="D797" s="120"/>
    </row>
    <row r="798" spans="2:4" x14ac:dyDescent="0.25">
      <c r="B798" s="62"/>
      <c r="C798" s="62"/>
      <c r="D798" s="120"/>
    </row>
    <row r="799" spans="2:4" x14ac:dyDescent="0.25">
      <c r="B799" s="62"/>
      <c r="C799" s="62"/>
      <c r="D799" s="120"/>
    </row>
    <row r="800" spans="2:4" x14ac:dyDescent="0.25">
      <c r="B800" s="62"/>
      <c r="C800" s="62"/>
      <c r="D800" s="120"/>
    </row>
    <row r="801" spans="2:4" x14ac:dyDescent="0.25">
      <c r="B801" s="62"/>
      <c r="C801" s="62"/>
      <c r="D801" s="120"/>
    </row>
    <row r="802" spans="2:4" x14ac:dyDescent="0.25">
      <c r="B802" s="62"/>
      <c r="C802" s="62"/>
      <c r="D802" s="120"/>
    </row>
    <row r="803" spans="2:4" x14ac:dyDescent="0.25">
      <c r="B803" s="62"/>
      <c r="C803" s="62"/>
      <c r="D803" s="120"/>
    </row>
    <row r="804" spans="2:4" x14ac:dyDescent="0.25">
      <c r="B804" s="62"/>
      <c r="C804" s="62"/>
      <c r="D804" s="120"/>
    </row>
    <row r="805" spans="2:4" x14ac:dyDescent="0.25">
      <c r="B805" s="62"/>
      <c r="C805" s="62"/>
      <c r="D805" s="120"/>
    </row>
    <row r="806" spans="2:4" x14ac:dyDescent="0.25">
      <c r="B806" s="62"/>
      <c r="C806" s="62"/>
      <c r="D806" s="120"/>
    </row>
    <row r="807" spans="2:4" x14ac:dyDescent="0.25">
      <c r="B807" s="62"/>
      <c r="C807" s="62"/>
      <c r="D807" s="120"/>
    </row>
    <row r="808" spans="2:4" x14ac:dyDescent="0.25">
      <c r="B808" s="62"/>
      <c r="C808" s="62"/>
      <c r="D808" s="120"/>
    </row>
    <row r="809" spans="2:4" x14ac:dyDescent="0.25">
      <c r="B809" s="62"/>
      <c r="C809" s="62"/>
      <c r="D809" s="120"/>
    </row>
    <row r="810" spans="2:4" x14ac:dyDescent="0.25">
      <c r="B810" s="62"/>
      <c r="C810" s="62"/>
      <c r="D810" s="120"/>
    </row>
    <row r="811" spans="2:4" x14ac:dyDescent="0.25">
      <c r="B811" s="62"/>
      <c r="C811" s="62"/>
      <c r="D811" s="120"/>
    </row>
    <row r="812" spans="2:4" x14ac:dyDescent="0.25">
      <c r="B812" s="62"/>
      <c r="C812" s="62"/>
      <c r="D812" s="120"/>
    </row>
    <row r="813" spans="2:4" x14ac:dyDescent="0.25">
      <c r="B813" s="62"/>
      <c r="C813" s="62"/>
      <c r="D813" s="120"/>
    </row>
    <row r="814" spans="2:4" x14ac:dyDescent="0.25">
      <c r="B814" s="62"/>
      <c r="C814" s="62"/>
      <c r="D814" s="120"/>
    </row>
    <row r="815" spans="2:4" x14ac:dyDescent="0.25">
      <c r="B815" s="62"/>
      <c r="C815" s="62"/>
      <c r="D815" s="120"/>
    </row>
    <row r="816" spans="2:4" x14ac:dyDescent="0.25">
      <c r="B816" s="62"/>
      <c r="C816" s="62"/>
      <c r="D816" s="120"/>
    </row>
    <row r="817" spans="2:4" x14ac:dyDescent="0.25">
      <c r="B817" s="62"/>
      <c r="C817" s="62"/>
      <c r="D817" s="120"/>
    </row>
    <row r="818" spans="2:4" x14ac:dyDescent="0.25">
      <c r="B818" s="62"/>
      <c r="C818" s="62"/>
      <c r="D818" s="120"/>
    </row>
    <row r="819" spans="2:4" x14ac:dyDescent="0.25">
      <c r="B819" s="62"/>
      <c r="C819" s="62"/>
      <c r="D819" s="120"/>
    </row>
    <row r="820" spans="2:4" x14ac:dyDescent="0.25">
      <c r="B820" s="62"/>
      <c r="C820" s="62"/>
      <c r="D820" s="120"/>
    </row>
    <row r="821" spans="2:4" x14ac:dyDescent="0.25">
      <c r="B821" s="62"/>
      <c r="C821" s="62"/>
      <c r="D821" s="120"/>
    </row>
    <row r="822" spans="2:4" x14ac:dyDescent="0.25">
      <c r="B822" s="62"/>
      <c r="C822" s="62"/>
      <c r="D822" s="120"/>
    </row>
    <row r="823" spans="2:4" x14ac:dyDescent="0.25">
      <c r="B823" s="62"/>
      <c r="C823" s="62"/>
      <c r="D823" s="120"/>
    </row>
    <row r="824" spans="2:4" x14ac:dyDescent="0.25">
      <c r="B824" s="62"/>
      <c r="C824" s="62"/>
      <c r="D824" s="120"/>
    </row>
    <row r="825" spans="2:4" x14ac:dyDescent="0.25">
      <c r="B825" s="62"/>
      <c r="C825" s="62"/>
      <c r="D825" s="120"/>
    </row>
    <row r="826" spans="2:4" x14ac:dyDescent="0.25">
      <c r="B826" s="62"/>
      <c r="C826" s="62"/>
      <c r="D826" s="120"/>
    </row>
    <row r="827" spans="2:4" x14ac:dyDescent="0.25">
      <c r="B827" s="62"/>
      <c r="C827" s="62"/>
      <c r="D827" s="120"/>
    </row>
    <row r="828" spans="2:4" x14ac:dyDescent="0.25">
      <c r="B828" s="62"/>
      <c r="C828" s="62"/>
      <c r="D828" s="120"/>
    </row>
    <row r="829" spans="2:4" x14ac:dyDescent="0.25">
      <c r="B829" s="62"/>
      <c r="C829" s="62"/>
      <c r="D829" s="120"/>
    </row>
    <row r="830" spans="2:4" x14ac:dyDescent="0.25">
      <c r="B830" s="62"/>
      <c r="C830" s="62"/>
      <c r="D830" s="120"/>
    </row>
    <row r="831" spans="2:4" x14ac:dyDescent="0.25">
      <c r="B831" s="62"/>
      <c r="C831" s="62"/>
      <c r="D831" s="120"/>
    </row>
    <row r="832" spans="2:4" x14ac:dyDescent="0.25">
      <c r="B832" s="62"/>
      <c r="C832" s="62"/>
      <c r="D832" s="120"/>
    </row>
    <row r="833" spans="2:4" x14ac:dyDescent="0.25">
      <c r="B833" s="62"/>
      <c r="C833" s="62"/>
      <c r="D833" s="120"/>
    </row>
    <row r="834" spans="2:4" x14ac:dyDescent="0.25">
      <c r="B834" s="62"/>
      <c r="C834" s="62"/>
      <c r="D834" s="120"/>
    </row>
    <row r="835" spans="2:4" x14ac:dyDescent="0.25">
      <c r="B835" s="62"/>
      <c r="C835" s="62"/>
      <c r="D835" s="120"/>
    </row>
    <row r="836" spans="2:4" x14ac:dyDescent="0.25">
      <c r="B836" s="62"/>
      <c r="C836" s="62"/>
      <c r="D836" s="120"/>
    </row>
    <row r="837" spans="2:4" x14ac:dyDescent="0.25">
      <c r="B837" s="62"/>
      <c r="C837" s="62"/>
      <c r="D837" s="120"/>
    </row>
    <row r="838" spans="2:4" x14ac:dyDescent="0.25">
      <c r="B838" s="62"/>
      <c r="C838" s="62"/>
      <c r="D838" s="120"/>
    </row>
    <row r="839" spans="2:4" x14ac:dyDescent="0.25">
      <c r="B839" s="62"/>
      <c r="C839" s="62"/>
      <c r="D839" s="120"/>
    </row>
    <row r="840" spans="2:4" x14ac:dyDescent="0.25">
      <c r="B840" s="62"/>
      <c r="C840" s="62"/>
      <c r="D840" s="120"/>
    </row>
    <row r="841" spans="2:4" x14ac:dyDescent="0.25">
      <c r="B841" s="62"/>
      <c r="C841" s="62"/>
      <c r="D841" s="120"/>
    </row>
    <row r="842" spans="2:4" x14ac:dyDescent="0.25">
      <c r="B842" s="62"/>
      <c r="C842" s="62"/>
      <c r="D842" s="120"/>
    </row>
    <row r="843" spans="2:4" x14ac:dyDescent="0.25">
      <c r="B843" s="62"/>
      <c r="C843" s="62"/>
      <c r="D843" s="120"/>
    </row>
    <row r="844" spans="2:4" x14ac:dyDescent="0.25">
      <c r="B844" s="62"/>
      <c r="C844" s="62"/>
      <c r="D844" s="120"/>
    </row>
    <row r="845" spans="2:4" x14ac:dyDescent="0.25">
      <c r="B845" s="62"/>
      <c r="C845" s="62"/>
      <c r="D845" s="120"/>
    </row>
    <row r="846" spans="2:4" x14ac:dyDescent="0.25">
      <c r="B846" s="62"/>
      <c r="C846" s="62"/>
      <c r="D846" s="120"/>
    </row>
    <row r="847" spans="2:4" x14ac:dyDescent="0.25">
      <c r="B847" s="62"/>
      <c r="C847" s="62"/>
      <c r="D847" s="120"/>
    </row>
    <row r="848" spans="2:4" x14ac:dyDescent="0.25">
      <c r="B848" s="62"/>
      <c r="C848" s="62"/>
      <c r="D848" s="120"/>
    </row>
    <row r="849" spans="2:4" x14ac:dyDescent="0.25">
      <c r="B849" s="62"/>
      <c r="C849" s="62"/>
      <c r="D849" s="120"/>
    </row>
    <row r="850" spans="2:4" x14ac:dyDescent="0.25">
      <c r="B850" s="62"/>
      <c r="C850" s="62"/>
      <c r="D850" s="120"/>
    </row>
    <row r="851" spans="2:4" x14ac:dyDescent="0.25">
      <c r="B851" s="62"/>
      <c r="C851" s="62"/>
      <c r="D851" s="120"/>
    </row>
    <row r="852" spans="2:4" x14ac:dyDescent="0.25">
      <c r="B852" s="62"/>
      <c r="C852" s="62"/>
      <c r="D852" s="120"/>
    </row>
    <row r="853" spans="2:4" x14ac:dyDescent="0.25">
      <c r="B853" s="62"/>
      <c r="C853" s="62"/>
      <c r="D853" s="120"/>
    </row>
    <row r="854" spans="2:4" x14ac:dyDescent="0.25">
      <c r="B854" s="62"/>
      <c r="C854" s="62"/>
      <c r="D854" s="120"/>
    </row>
    <row r="855" spans="2:4" x14ac:dyDescent="0.25">
      <c r="B855" s="62"/>
      <c r="C855" s="62"/>
      <c r="D855" s="120"/>
    </row>
    <row r="856" spans="2:4" x14ac:dyDescent="0.25">
      <c r="B856" s="62"/>
      <c r="C856" s="62"/>
      <c r="D856" s="120"/>
    </row>
    <row r="857" spans="2:4" x14ac:dyDescent="0.25">
      <c r="B857" s="62"/>
      <c r="C857" s="62"/>
      <c r="D857" s="120"/>
    </row>
    <row r="858" spans="2:4" x14ac:dyDescent="0.25">
      <c r="B858" s="62"/>
      <c r="C858" s="62"/>
      <c r="D858" s="120"/>
    </row>
    <row r="859" spans="2:4" x14ac:dyDescent="0.25">
      <c r="B859" s="62"/>
      <c r="C859" s="62"/>
      <c r="D859" s="120"/>
    </row>
    <row r="860" spans="2:4" x14ac:dyDescent="0.25">
      <c r="B860" s="62"/>
      <c r="C860" s="62"/>
      <c r="D860" s="120"/>
    </row>
    <row r="861" spans="2:4" x14ac:dyDescent="0.25">
      <c r="B861" s="62"/>
      <c r="C861" s="62"/>
      <c r="D861" s="120"/>
    </row>
    <row r="862" spans="2:4" x14ac:dyDescent="0.25">
      <c r="B862" s="62"/>
      <c r="C862" s="62"/>
      <c r="D862" s="120"/>
    </row>
    <row r="863" spans="2:4" x14ac:dyDescent="0.25">
      <c r="B863" s="62"/>
      <c r="C863" s="62"/>
      <c r="D863" s="120"/>
    </row>
    <row r="864" spans="2:4" x14ac:dyDescent="0.25">
      <c r="B864" s="62"/>
      <c r="C864" s="62"/>
      <c r="D864" s="120"/>
    </row>
    <row r="865" spans="2:4" x14ac:dyDescent="0.25">
      <c r="B865" s="62"/>
      <c r="C865" s="62"/>
      <c r="D865" s="120"/>
    </row>
    <row r="866" spans="2:4" x14ac:dyDescent="0.25">
      <c r="B866" s="62"/>
      <c r="C866" s="62"/>
      <c r="D866" s="120"/>
    </row>
    <row r="867" spans="2:4" x14ac:dyDescent="0.25">
      <c r="B867" s="62"/>
      <c r="C867" s="62"/>
      <c r="D867" s="120"/>
    </row>
    <row r="868" spans="2:4" x14ac:dyDescent="0.25">
      <c r="B868" s="62"/>
      <c r="C868" s="62"/>
      <c r="D868" s="120"/>
    </row>
    <row r="869" spans="2:4" x14ac:dyDescent="0.25">
      <c r="B869" s="62"/>
      <c r="C869" s="62"/>
      <c r="D869" s="120"/>
    </row>
    <row r="870" spans="2:4" x14ac:dyDescent="0.25">
      <c r="B870" s="62"/>
      <c r="C870" s="62"/>
      <c r="D870" s="120"/>
    </row>
    <row r="871" spans="2:4" x14ac:dyDescent="0.25">
      <c r="B871" s="62"/>
      <c r="C871" s="62"/>
      <c r="D871" s="120"/>
    </row>
    <row r="872" spans="2:4" x14ac:dyDescent="0.25">
      <c r="B872" s="62"/>
      <c r="C872" s="62"/>
      <c r="D872" s="120"/>
    </row>
    <row r="873" spans="2:4" x14ac:dyDescent="0.25">
      <c r="B873" s="62"/>
      <c r="C873" s="62"/>
      <c r="D873" s="120"/>
    </row>
    <row r="874" spans="2:4" x14ac:dyDescent="0.25">
      <c r="B874" s="62"/>
      <c r="C874" s="62"/>
      <c r="D874" s="120"/>
    </row>
    <row r="875" spans="2:4" x14ac:dyDescent="0.25">
      <c r="B875" s="62"/>
      <c r="C875" s="62"/>
      <c r="D875" s="120"/>
    </row>
    <row r="876" spans="2:4" x14ac:dyDescent="0.25">
      <c r="B876" s="62"/>
      <c r="C876" s="62"/>
      <c r="D876" s="120"/>
    </row>
    <row r="877" spans="2:4" x14ac:dyDescent="0.25">
      <c r="B877" s="62"/>
      <c r="C877" s="62"/>
      <c r="D877" s="120"/>
    </row>
    <row r="878" spans="2:4" x14ac:dyDescent="0.25">
      <c r="B878" s="62"/>
      <c r="C878" s="62"/>
      <c r="D878" s="120"/>
    </row>
    <row r="879" spans="2:4" x14ac:dyDescent="0.25">
      <c r="B879" s="62"/>
      <c r="C879" s="62"/>
      <c r="D879" s="120"/>
    </row>
    <row r="880" spans="2:4" x14ac:dyDescent="0.25">
      <c r="B880" s="62"/>
      <c r="C880" s="62"/>
      <c r="D880" s="120"/>
    </row>
    <row r="881" spans="2:4" x14ac:dyDescent="0.25">
      <c r="B881" s="62"/>
      <c r="C881" s="62"/>
      <c r="D881" s="120"/>
    </row>
    <row r="882" spans="2:4" x14ac:dyDescent="0.25">
      <c r="B882" s="62"/>
      <c r="C882" s="62"/>
      <c r="D882" s="120"/>
    </row>
    <row r="883" spans="2:4" x14ac:dyDescent="0.25">
      <c r="B883" s="62"/>
      <c r="C883" s="62"/>
      <c r="D883" s="120"/>
    </row>
    <row r="884" spans="2:4" x14ac:dyDescent="0.25">
      <c r="B884" s="62"/>
      <c r="C884" s="62"/>
      <c r="D884" s="120"/>
    </row>
    <row r="885" spans="2:4" x14ac:dyDescent="0.25">
      <c r="B885" s="62"/>
      <c r="C885" s="62"/>
      <c r="D885" s="120"/>
    </row>
    <row r="886" spans="2:4" x14ac:dyDescent="0.25">
      <c r="B886" s="62"/>
      <c r="C886" s="62"/>
      <c r="D886" s="120"/>
    </row>
    <row r="887" spans="2:4" x14ac:dyDescent="0.25">
      <c r="B887" s="62"/>
      <c r="C887" s="62"/>
      <c r="D887" s="120"/>
    </row>
    <row r="888" spans="2:4" x14ac:dyDescent="0.25">
      <c r="B888" s="62"/>
      <c r="C888" s="62"/>
      <c r="D888" s="120"/>
    </row>
    <row r="889" spans="2:4" x14ac:dyDescent="0.25">
      <c r="B889" s="62"/>
      <c r="C889" s="62"/>
      <c r="D889" s="120"/>
    </row>
    <row r="890" spans="2:4" x14ac:dyDescent="0.25">
      <c r="B890" s="62"/>
      <c r="C890" s="62"/>
      <c r="D890" s="120"/>
    </row>
    <row r="891" spans="2:4" x14ac:dyDescent="0.25">
      <c r="B891" s="62"/>
      <c r="C891" s="62"/>
      <c r="D891" s="120"/>
    </row>
    <row r="892" spans="2:4" x14ac:dyDescent="0.25">
      <c r="B892" s="62"/>
      <c r="C892" s="62"/>
      <c r="D892" s="120"/>
    </row>
    <row r="893" spans="2:4" x14ac:dyDescent="0.25">
      <c r="B893" s="62"/>
      <c r="C893" s="62"/>
      <c r="D893" s="120"/>
    </row>
    <row r="894" spans="2:4" x14ac:dyDescent="0.25">
      <c r="B894" s="62"/>
      <c r="C894" s="62"/>
      <c r="D894" s="120"/>
    </row>
    <row r="895" spans="2:4" x14ac:dyDescent="0.25">
      <c r="B895" s="62"/>
      <c r="C895" s="62"/>
      <c r="D895" s="120"/>
    </row>
    <row r="896" spans="2:4" x14ac:dyDescent="0.25">
      <c r="B896" s="62"/>
      <c r="C896" s="62"/>
      <c r="D896" s="120"/>
    </row>
    <row r="897" spans="2:4" x14ac:dyDescent="0.25">
      <c r="B897" s="62"/>
      <c r="C897" s="62"/>
      <c r="D897" s="120"/>
    </row>
    <row r="898" spans="2:4" x14ac:dyDescent="0.25">
      <c r="B898" s="62"/>
      <c r="C898" s="62"/>
      <c r="D898" s="120"/>
    </row>
    <row r="899" spans="2:4" x14ac:dyDescent="0.25">
      <c r="B899" s="62"/>
      <c r="C899" s="62"/>
      <c r="D899" s="120"/>
    </row>
    <row r="900" spans="2:4" x14ac:dyDescent="0.25">
      <c r="B900" s="62"/>
      <c r="C900" s="62"/>
      <c r="D900" s="120"/>
    </row>
    <row r="901" spans="2:4" x14ac:dyDescent="0.25">
      <c r="B901" s="62"/>
      <c r="C901" s="62"/>
      <c r="D901" s="120"/>
    </row>
    <row r="902" spans="2:4" x14ac:dyDescent="0.25">
      <c r="B902" s="62"/>
      <c r="C902" s="62"/>
      <c r="D902" s="120"/>
    </row>
    <row r="903" spans="2:4" x14ac:dyDescent="0.25">
      <c r="B903" s="62"/>
      <c r="C903" s="62"/>
      <c r="D903" s="62"/>
    </row>
    <row r="904" spans="2:4" x14ac:dyDescent="0.25">
      <c r="B904" s="62"/>
      <c r="C904" s="62"/>
      <c r="D904" s="62"/>
    </row>
    <row r="905" spans="2:4" x14ac:dyDescent="0.25">
      <c r="B905" s="62"/>
      <c r="C905" s="62"/>
      <c r="D905" s="62"/>
    </row>
    <row r="906" spans="2:4" x14ac:dyDescent="0.25">
      <c r="B906" s="62"/>
      <c r="C906" s="62"/>
      <c r="D906" s="62"/>
    </row>
    <row r="907" spans="2:4" x14ac:dyDescent="0.25">
      <c r="B907" s="62"/>
      <c r="C907" s="62"/>
      <c r="D907" s="62"/>
    </row>
    <row r="908" spans="2:4" x14ac:dyDescent="0.25">
      <c r="B908" s="62"/>
      <c r="C908" s="62"/>
      <c r="D908" s="62"/>
    </row>
    <row r="909" spans="2:4" x14ac:dyDescent="0.25">
      <c r="B909" s="62"/>
      <c r="C909" s="62"/>
      <c r="D909" s="62"/>
    </row>
    <row r="910" spans="2:4" x14ac:dyDescent="0.25">
      <c r="B910" s="62"/>
      <c r="C910" s="62"/>
      <c r="D910" s="62"/>
    </row>
    <row r="911" spans="2:4" x14ac:dyDescent="0.25">
      <c r="B911" s="62"/>
      <c r="C911" s="62"/>
      <c r="D911" s="62"/>
    </row>
    <row r="912" spans="2:4" x14ac:dyDescent="0.25">
      <c r="B912" s="62"/>
      <c r="C912" s="62"/>
      <c r="D912" s="62"/>
    </row>
    <row r="913" spans="2:4" x14ac:dyDescent="0.25">
      <c r="B913" s="62"/>
      <c r="C913" s="62"/>
      <c r="D913" s="62"/>
    </row>
    <row r="914" spans="2:4" x14ac:dyDescent="0.25">
      <c r="B914" s="62"/>
      <c r="C914" s="62"/>
      <c r="D914" s="62"/>
    </row>
    <row r="915" spans="2:4" x14ac:dyDescent="0.25">
      <c r="B915" s="62"/>
      <c r="C915" s="62"/>
      <c r="D915" s="62"/>
    </row>
    <row r="916" spans="2:4" x14ac:dyDescent="0.25">
      <c r="B916" s="62"/>
      <c r="C916" s="62"/>
      <c r="D916" s="62"/>
    </row>
    <row r="917" spans="2:4" x14ac:dyDescent="0.25">
      <c r="B917" s="62"/>
      <c r="C917" s="62"/>
      <c r="D917" s="62"/>
    </row>
    <row r="918" spans="2:4" x14ac:dyDescent="0.25">
      <c r="B918" s="62"/>
      <c r="C918" s="62"/>
      <c r="D918" s="62"/>
    </row>
    <row r="919" spans="2:4" x14ac:dyDescent="0.25">
      <c r="B919" s="62"/>
      <c r="C919" s="62"/>
      <c r="D919" s="62"/>
    </row>
    <row r="920" spans="2:4" x14ac:dyDescent="0.25">
      <c r="B920" s="62"/>
      <c r="C920" s="62"/>
      <c r="D920" s="62"/>
    </row>
    <row r="921" spans="2:4" x14ac:dyDescent="0.25">
      <c r="B921" s="62"/>
      <c r="C921" s="62"/>
      <c r="D921" s="62"/>
    </row>
    <row r="922" spans="2:4" x14ac:dyDescent="0.25">
      <c r="B922" s="62"/>
      <c r="C922" s="62"/>
      <c r="D922" s="62"/>
    </row>
    <row r="923" spans="2:4" x14ac:dyDescent="0.25">
      <c r="B923" s="62"/>
      <c r="C923" s="62"/>
      <c r="D923" s="62"/>
    </row>
    <row r="924" spans="2:4" x14ac:dyDescent="0.25">
      <c r="B924" s="62"/>
      <c r="C924" s="62"/>
      <c r="D924" s="62"/>
    </row>
    <row r="925" spans="2:4" x14ac:dyDescent="0.25">
      <c r="B925" s="62"/>
      <c r="C925" s="62"/>
      <c r="D925" s="62"/>
    </row>
    <row r="926" spans="2:4" x14ac:dyDescent="0.25">
      <c r="B926" s="62"/>
      <c r="C926" s="62"/>
      <c r="D926" s="62"/>
    </row>
    <row r="927" spans="2:4" x14ac:dyDescent="0.25">
      <c r="B927" s="62"/>
      <c r="C927" s="62"/>
      <c r="D927" s="62"/>
    </row>
    <row r="928" spans="2:4" x14ac:dyDescent="0.25">
      <c r="B928" s="62"/>
      <c r="C928" s="62"/>
      <c r="D928" s="62"/>
    </row>
    <row r="929" spans="2:4" x14ac:dyDescent="0.25">
      <c r="B929" s="62"/>
      <c r="C929" s="62"/>
      <c r="D929" s="62"/>
    </row>
    <row r="930" spans="2:4" x14ac:dyDescent="0.25">
      <c r="B930" s="62"/>
      <c r="C930" s="62"/>
      <c r="D930" s="62"/>
    </row>
    <row r="931" spans="2:4" x14ac:dyDescent="0.25">
      <c r="B931" s="62"/>
      <c r="C931" s="62"/>
      <c r="D931" s="62"/>
    </row>
    <row r="932" spans="2:4" x14ac:dyDescent="0.25">
      <c r="B932" s="62"/>
      <c r="C932" s="62"/>
      <c r="D932" s="62"/>
    </row>
    <row r="933" spans="2:4" x14ac:dyDescent="0.25">
      <c r="B933" s="62"/>
      <c r="C933" s="62"/>
      <c r="D933" s="62"/>
    </row>
    <row r="934" spans="2:4" x14ac:dyDescent="0.25">
      <c r="B934" s="62"/>
      <c r="C934" s="62"/>
      <c r="D934" s="62"/>
    </row>
    <row r="935" spans="2:4" x14ac:dyDescent="0.25">
      <c r="B935" s="62"/>
      <c r="C935" s="62"/>
      <c r="D935" s="62"/>
    </row>
    <row r="936" spans="2:4" x14ac:dyDescent="0.25">
      <c r="B936" s="62"/>
      <c r="C936" s="62"/>
      <c r="D936" s="62"/>
    </row>
    <row r="937" spans="2:4" x14ac:dyDescent="0.25">
      <c r="B937" s="62"/>
      <c r="C937" s="62"/>
      <c r="D937" s="62"/>
    </row>
    <row r="938" spans="2:4" x14ac:dyDescent="0.25">
      <c r="B938" s="62"/>
      <c r="C938" s="62"/>
      <c r="D938" s="62"/>
    </row>
    <row r="939" spans="2:4" x14ac:dyDescent="0.25">
      <c r="B939" s="62"/>
      <c r="C939" s="62"/>
      <c r="D939" s="62"/>
    </row>
    <row r="940" spans="2:4" x14ac:dyDescent="0.25">
      <c r="B940" s="62"/>
      <c r="C940" s="62"/>
      <c r="D940" s="62"/>
    </row>
    <row r="941" spans="2:4" x14ac:dyDescent="0.25">
      <c r="B941" s="62"/>
      <c r="C941" s="62"/>
      <c r="D941" s="62"/>
    </row>
    <row r="942" spans="2:4" x14ac:dyDescent="0.25">
      <c r="B942" s="62"/>
      <c r="C942" s="62"/>
      <c r="D942" s="62"/>
    </row>
    <row r="943" spans="2:4" x14ac:dyDescent="0.25">
      <c r="B943" s="62"/>
      <c r="C943" s="62"/>
      <c r="D943" s="62"/>
    </row>
    <row r="944" spans="2:4" x14ac:dyDescent="0.25">
      <c r="B944" s="62"/>
      <c r="C944" s="62"/>
      <c r="D944" s="62"/>
    </row>
    <row r="945" spans="2:4" x14ac:dyDescent="0.25">
      <c r="B945" s="62"/>
      <c r="C945" s="62"/>
      <c r="D945" s="62"/>
    </row>
    <row r="946" spans="2:4" x14ac:dyDescent="0.25">
      <c r="B946" s="62"/>
      <c r="C946" s="62"/>
      <c r="D946" s="62"/>
    </row>
    <row r="947" spans="2:4" x14ac:dyDescent="0.25">
      <c r="B947" s="62"/>
      <c r="C947" s="62"/>
      <c r="D947" s="62"/>
    </row>
    <row r="948" spans="2:4" x14ac:dyDescent="0.25">
      <c r="B948" s="62"/>
      <c r="C948" s="62"/>
      <c r="D948" s="62"/>
    </row>
    <row r="949" spans="2:4" x14ac:dyDescent="0.25">
      <c r="B949" s="62"/>
      <c r="C949" s="62"/>
      <c r="D949" s="62"/>
    </row>
    <row r="950" spans="2:4" x14ac:dyDescent="0.25">
      <c r="B950" s="62"/>
      <c r="C950" s="62"/>
      <c r="D950" s="62"/>
    </row>
    <row r="951" spans="2:4" x14ac:dyDescent="0.25">
      <c r="B951" s="62"/>
      <c r="C951" s="62"/>
      <c r="D951" s="62"/>
    </row>
    <row r="952" spans="2:4" x14ac:dyDescent="0.25">
      <c r="B952" s="62"/>
      <c r="C952" s="62"/>
      <c r="D952" s="62"/>
    </row>
    <row r="953" spans="2:4" x14ac:dyDescent="0.25">
      <c r="B953" s="62"/>
      <c r="C953" s="62"/>
      <c r="D953" s="62"/>
    </row>
    <row r="954" spans="2:4" x14ac:dyDescent="0.25">
      <c r="B954" s="62"/>
      <c r="C954" s="62"/>
      <c r="D954" s="62"/>
    </row>
    <row r="955" spans="2:4" x14ac:dyDescent="0.25">
      <c r="B955" s="62"/>
      <c r="C955" s="62"/>
      <c r="D955" s="62"/>
    </row>
    <row r="956" spans="2:4" x14ac:dyDescent="0.25">
      <c r="B956" s="62"/>
      <c r="C956" s="62"/>
      <c r="D956" s="62"/>
    </row>
    <row r="957" spans="2:4" x14ac:dyDescent="0.25">
      <c r="B957" s="62"/>
      <c r="C957" s="62"/>
      <c r="D957" s="62"/>
    </row>
    <row r="958" spans="2:4" x14ac:dyDescent="0.25">
      <c r="B958" s="62"/>
      <c r="C958" s="62"/>
      <c r="D958" s="62"/>
    </row>
    <row r="959" spans="2:4" x14ac:dyDescent="0.25">
      <c r="B959" s="62"/>
      <c r="C959" s="62"/>
      <c r="D959" s="62"/>
    </row>
    <row r="960" spans="2:4" x14ac:dyDescent="0.25">
      <c r="B960" s="62"/>
      <c r="C960" s="62"/>
      <c r="D960" s="62"/>
    </row>
    <row r="961" spans="2:4" x14ac:dyDescent="0.25">
      <c r="B961" s="62"/>
      <c r="C961" s="62"/>
      <c r="D961" s="62"/>
    </row>
    <row r="962" spans="2:4" x14ac:dyDescent="0.25">
      <c r="B962" s="62"/>
      <c r="C962" s="62"/>
      <c r="D962" s="62"/>
    </row>
    <row r="963" spans="2:4" x14ac:dyDescent="0.25">
      <c r="B963" s="62"/>
      <c r="C963" s="62"/>
      <c r="D963" s="62"/>
    </row>
    <row r="964" spans="2:4" x14ac:dyDescent="0.25">
      <c r="B964" s="62"/>
      <c r="C964" s="62"/>
      <c r="D964" s="62"/>
    </row>
    <row r="965" spans="2:4" x14ac:dyDescent="0.25">
      <c r="B965" s="62"/>
      <c r="C965" s="62"/>
      <c r="D965" s="62"/>
    </row>
    <row r="966" spans="2:4" x14ac:dyDescent="0.25">
      <c r="B966" s="62"/>
      <c r="C966" s="62"/>
      <c r="D966" s="62"/>
    </row>
    <row r="967" spans="2:4" x14ac:dyDescent="0.25">
      <c r="B967" s="62"/>
      <c r="C967" s="62"/>
      <c r="D967" s="62"/>
    </row>
    <row r="968" spans="2:4" x14ac:dyDescent="0.25">
      <c r="B968" s="62"/>
      <c r="C968" s="62"/>
      <c r="D968" s="62"/>
    </row>
    <row r="969" spans="2:4" x14ac:dyDescent="0.25">
      <c r="B969" s="62"/>
      <c r="C969" s="62"/>
      <c r="D969" s="62"/>
    </row>
    <row r="970" spans="2:4" x14ac:dyDescent="0.25">
      <c r="B970" s="62"/>
      <c r="C970" s="62"/>
      <c r="D970" s="62"/>
    </row>
    <row r="971" spans="2:4" x14ac:dyDescent="0.25">
      <c r="B971" s="62"/>
      <c r="C971" s="62"/>
      <c r="D971" s="62"/>
    </row>
    <row r="972" spans="2:4" x14ac:dyDescent="0.25">
      <c r="B972" s="62"/>
      <c r="C972" s="62"/>
      <c r="D972" s="62"/>
    </row>
    <row r="973" spans="2:4" x14ac:dyDescent="0.25">
      <c r="B973" s="62"/>
      <c r="C973" s="62"/>
      <c r="D973" s="62"/>
    </row>
    <row r="974" spans="2:4" x14ac:dyDescent="0.25">
      <c r="B974" s="62"/>
      <c r="C974" s="62"/>
      <c r="D974" s="62"/>
    </row>
    <row r="975" spans="2:4" x14ac:dyDescent="0.25">
      <c r="B975" s="62"/>
      <c r="C975" s="62"/>
      <c r="D975" s="62"/>
    </row>
    <row r="976" spans="2:4" x14ac:dyDescent="0.25">
      <c r="B976" s="62"/>
      <c r="C976" s="62"/>
      <c r="D976" s="62"/>
    </row>
    <row r="977" spans="2:4" x14ac:dyDescent="0.25">
      <c r="B977" s="62"/>
      <c r="C977" s="62"/>
      <c r="D977" s="62"/>
    </row>
    <row r="978" spans="2:4" x14ac:dyDescent="0.25">
      <c r="B978" s="62"/>
      <c r="C978" s="62"/>
      <c r="D978" s="62"/>
    </row>
    <row r="979" spans="2:4" x14ac:dyDescent="0.25">
      <c r="B979" s="62"/>
      <c r="C979" s="62"/>
      <c r="D979" s="62"/>
    </row>
    <row r="980" spans="2:4" x14ac:dyDescent="0.25">
      <c r="B980" s="62"/>
      <c r="C980" s="62"/>
      <c r="D980" s="62"/>
    </row>
    <row r="981" spans="2:4" x14ac:dyDescent="0.25">
      <c r="B981" s="62"/>
      <c r="C981" s="62"/>
      <c r="D981" s="62"/>
    </row>
    <row r="982" spans="2:4" x14ac:dyDescent="0.25">
      <c r="B982" s="62"/>
      <c r="C982" s="62"/>
      <c r="D982" s="62"/>
    </row>
    <row r="983" spans="2:4" x14ac:dyDescent="0.25">
      <c r="B983" s="62"/>
      <c r="C983" s="62"/>
      <c r="D983" s="62"/>
    </row>
    <row r="984" spans="2:4" x14ac:dyDescent="0.25">
      <c r="B984" s="62"/>
      <c r="C984" s="62"/>
      <c r="D984" s="62"/>
    </row>
    <row r="985" spans="2:4" x14ac:dyDescent="0.25">
      <c r="B985" s="62"/>
      <c r="C985" s="62"/>
      <c r="D985" s="62"/>
    </row>
    <row r="986" spans="2:4" x14ac:dyDescent="0.25">
      <c r="B986" s="62"/>
      <c r="C986" s="62"/>
      <c r="D986" s="62"/>
    </row>
    <row r="987" spans="2:4" x14ac:dyDescent="0.25">
      <c r="B987" s="62"/>
      <c r="C987" s="62"/>
      <c r="D987" s="62"/>
    </row>
    <row r="988" spans="2:4" x14ac:dyDescent="0.25">
      <c r="B988" s="62"/>
      <c r="C988" s="62"/>
      <c r="D988" s="62"/>
    </row>
    <row r="989" spans="2:4" x14ac:dyDescent="0.25">
      <c r="B989" s="62"/>
      <c r="C989" s="62"/>
      <c r="D989" s="62"/>
    </row>
    <row r="990" spans="2:4" x14ac:dyDescent="0.25">
      <c r="B990" s="62"/>
      <c r="C990" s="62"/>
      <c r="D990" s="62"/>
    </row>
    <row r="991" spans="2:4" x14ac:dyDescent="0.25">
      <c r="B991" s="62"/>
      <c r="C991" s="62"/>
      <c r="D991" s="62"/>
    </row>
    <row r="992" spans="2:4" x14ac:dyDescent="0.25">
      <c r="B992" s="62"/>
      <c r="C992" s="62"/>
      <c r="D992" s="62"/>
    </row>
    <row r="993" spans="2:4" x14ac:dyDescent="0.25">
      <c r="B993" s="62"/>
      <c r="C993" s="62"/>
      <c r="D993" s="62"/>
    </row>
    <row r="994" spans="2:4" x14ac:dyDescent="0.25">
      <c r="B994" s="62"/>
      <c r="C994" s="62"/>
      <c r="D994" s="62"/>
    </row>
    <row r="995" spans="2:4" x14ac:dyDescent="0.25">
      <c r="B995" s="62"/>
      <c r="C995" s="62"/>
      <c r="D995" s="62"/>
    </row>
    <row r="996" spans="2:4" x14ac:dyDescent="0.25">
      <c r="B996" s="62"/>
      <c r="C996" s="62"/>
      <c r="D996" s="62"/>
    </row>
    <row r="997" spans="2:4" x14ac:dyDescent="0.25">
      <c r="B997" s="62"/>
      <c r="C997" s="62"/>
      <c r="D997" s="62"/>
    </row>
    <row r="998" spans="2:4" x14ac:dyDescent="0.25">
      <c r="B998" s="62"/>
      <c r="C998" s="62"/>
      <c r="D998" s="62"/>
    </row>
    <row r="999" spans="2:4" x14ac:dyDescent="0.25">
      <c r="B999" s="62"/>
      <c r="C999" s="62"/>
      <c r="D999" s="62"/>
    </row>
    <row r="1000" spans="2:4" x14ac:dyDescent="0.25">
      <c r="B1000" s="62"/>
      <c r="C1000" s="62"/>
      <c r="D1000" s="62"/>
    </row>
    <row r="1001" spans="2:4" x14ac:dyDescent="0.25">
      <c r="B1001" s="62"/>
      <c r="C1001" s="62"/>
      <c r="D1001" s="62"/>
    </row>
    <row r="1002" spans="2:4" x14ac:dyDescent="0.25">
      <c r="B1002" s="62"/>
      <c r="C1002" s="62"/>
      <c r="D1002" s="62"/>
    </row>
    <row r="1003" spans="2:4" x14ac:dyDescent="0.25">
      <c r="B1003" s="62"/>
      <c r="C1003" s="62"/>
      <c r="D1003" s="62"/>
    </row>
    <row r="1004" spans="2:4" x14ac:dyDescent="0.25">
      <c r="B1004" s="62"/>
      <c r="C1004" s="62"/>
      <c r="D1004" s="62"/>
    </row>
    <row r="1005" spans="2:4" x14ac:dyDescent="0.25">
      <c r="B1005" s="62"/>
      <c r="C1005" s="62"/>
      <c r="D1005" s="62"/>
    </row>
    <row r="1006" spans="2:4" x14ac:dyDescent="0.25">
      <c r="B1006" s="62"/>
      <c r="C1006" s="62"/>
      <c r="D1006" s="62"/>
    </row>
    <row r="1007" spans="2:4" x14ac:dyDescent="0.25">
      <c r="B1007" s="62"/>
      <c r="C1007" s="62"/>
      <c r="D1007" s="62"/>
    </row>
    <row r="1008" spans="2:4" x14ac:dyDescent="0.25">
      <c r="B1008" s="62"/>
      <c r="C1008" s="62"/>
      <c r="D1008" s="62"/>
    </row>
    <row r="1009" spans="2:4" x14ac:dyDescent="0.25">
      <c r="B1009" s="62"/>
      <c r="C1009" s="62"/>
      <c r="D1009" s="62"/>
    </row>
    <row r="1010" spans="2:4" x14ac:dyDescent="0.25">
      <c r="B1010" s="62"/>
      <c r="C1010" s="62"/>
      <c r="D1010" s="62"/>
    </row>
    <row r="1011" spans="2:4" x14ac:dyDescent="0.25">
      <c r="B1011" s="62"/>
      <c r="C1011" s="62"/>
      <c r="D1011" s="62"/>
    </row>
    <row r="1012" spans="2:4" x14ac:dyDescent="0.25">
      <c r="B1012" s="62"/>
      <c r="C1012" s="62"/>
      <c r="D1012" s="62"/>
    </row>
    <row r="1013" spans="2:4" x14ac:dyDescent="0.25">
      <c r="B1013" s="62"/>
      <c r="C1013" s="62"/>
      <c r="D1013" s="62"/>
    </row>
    <row r="1014" spans="2:4" x14ac:dyDescent="0.25">
      <c r="B1014" s="62"/>
      <c r="C1014" s="62"/>
      <c r="D1014" s="62"/>
    </row>
    <row r="1015" spans="2:4" x14ac:dyDescent="0.25">
      <c r="B1015" s="62"/>
      <c r="C1015" s="62"/>
      <c r="D1015" s="62"/>
    </row>
    <row r="1016" spans="2:4" x14ac:dyDescent="0.25">
      <c r="B1016" s="62"/>
      <c r="C1016" s="62"/>
      <c r="D1016" s="62"/>
    </row>
    <row r="1017" spans="2:4" x14ac:dyDescent="0.25">
      <c r="B1017" s="62"/>
      <c r="C1017" s="62"/>
      <c r="D1017" s="62"/>
    </row>
    <row r="1018" spans="2:4" x14ac:dyDescent="0.25">
      <c r="B1018" s="62"/>
      <c r="C1018" s="62"/>
      <c r="D1018" s="62"/>
    </row>
    <row r="1019" spans="2:4" x14ac:dyDescent="0.25">
      <c r="B1019" s="62"/>
      <c r="C1019" s="62"/>
      <c r="D1019" s="62"/>
    </row>
    <row r="1020" spans="2:4" x14ac:dyDescent="0.25">
      <c r="B1020" s="62"/>
      <c r="C1020" s="62"/>
      <c r="D1020" s="62"/>
    </row>
    <row r="1021" spans="2:4" x14ac:dyDescent="0.25">
      <c r="B1021" s="62"/>
      <c r="C1021" s="62"/>
      <c r="D1021" s="62"/>
    </row>
    <row r="1022" spans="2:4" x14ac:dyDescent="0.25">
      <c r="B1022" s="62"/>
      <c r="C1022" s="62"/>
      <c r="D1022" s="62"/>
    </row>
    <row r="1023" spans="2:4" x14ac:dyDescent="0.25">
      <c r="B1023" s="62"/>
      <c r="C1023" s="62"/>
      <c r="D1023" s="62"/>
    </row>
    <row r="1024" spans="2:4" x14ac:dyDescent="0.25">
      <c r="B1024" s="62"/>
      <c r="C1024" s="62"/>
      <c r="D1024" s="62"/>
    </row>
    <row r="1025" spans="2:4" x14ac:dyDescent="0.25">
      <c r="B1025" s="62"/>
      <c r="C1025" s="62"/>
      <c r="D1025" s="62"/>
    </row>
    <row r="1026" spans="2:4" x14ac:dyDescent="0.25">
      <c r="B1026" s="62"/>
      <c r="C1026" s="62"/>
      <c r="D1026" s="62"/>
    </row>
    <row r="1027" spans="2:4" x14ac:dyDescent="0.25">
      <c r="B1027" s="62"/>
      <c r="C1027" s="62"/>
      <c r="D1027" s="62"/>
    </row>
    <row r="1028" spans="2:4" x14ac:dyDescent="0.25">
      <c r="B1028" s="62"/>
      <c r="C1028" s="62"/>
      <c r="D1028" s="62"/>
    </row>
    <row r="1029" spans="2:4" x14ac:dyDescent="0.25">
      <c r="B1029" s="62"/>
      <c r="C1029" s="62"/>
      <c r="D1029" s="62"/>
    </row>
    <row r="1030" spans="2:4" x14ac:dyDescent="0.25">
      <c r="B1030" s="62"/>
      <c r="C1030" s="62"/>
      <c r="D1030" s="62"/>
    </row>
    <row r="1031" spans="2:4" x14ac:dyDescent="0.25">
      <c r="B1031" s="62"/>
      <c r="C1031" s="62"/>
      <c r="D1031" s="62"/>
    </row>
    <row r="1032" spans="2:4" x14ac:dyDescent="0.25">
      <c r="B1032" s="62"/>
      <c r="C1032" s="62"/>
      <c r="D1032" s="62"/>
    </row>
    <row r="1033" spans="2:4" x14ac:dyDescent="0.25">
      <c r="B1033" s="62"/>
      <c r="C1033" s="62"/>
      <c r="D1033" s="62"/>
    </row>
    <row r="1034" spans="2:4" x14ac:dyDescent="0.25">
      <c r="B1034" s="62"/>
      <c r="C1034" s="62"/>
      <c r="D1034" s="62"/>
    </row>
    <row r="1035" spans="2:4" x14ac:dyDescent="0.25">
      <c r="B1035" s="62"/>
      <c r="C1035" s="62"/>
      <c r="D1035" s="62"/>
    </row>
    <row r="1036" spans="2:4" x14ac:dyDescent="0.25">
      <c r="B1036" s="62"/>
      <c r="C1036" s="62"/>
      <c r="D1036" s="62"/>
    </row>
    <row r="1037" spans="2:4" x14ac:dyDescent="0.25">
      <c r="B1037" s="62"/>
      <c r="C1037" s="62"/>
      <c r="D1037" s="62"/>
    </row>
    <row r="1038" spans="2:4" x14ac:dyDescent="0.25">
      <c r="B1038" s="62"/>
      <c r="C1038" s="62"/>
      <c r="D1038" s="62"/>
    </row>
    <row r="1039" spans="2:4" x14ac:dyDescent="0.25">
      <c r="B1039" s="62"/>
      <c r="C1039" s="62"/>
      <c r="D1039" s="62"/>
    </row>
    <row r="1040" spans="2:4" x14ac:dyDescent="0.25">
      <c r="B1040" s="62"/>
      <c r="C1040" s="62"/>
      <c r="D1040" s="62"/>
    </row>
    <row r="1041" spans="2:4" x14ac:dyDescent="0.25">
      <c r="B1041" s="62"/>
      <c r="C1041" s="62"/>
      <c r="D1041" s="62"/>
    </row>
    <row r="1042" spans="2:4" x14ac:dyDescent="0.25">
      <c r="B1042" s="62"/>
      <c r="C1042" s="62"/>
      <c r="D1042" s="62"/>
    </row>
    <row r="1043" spans="2:4" x14ac:dyDescent="0.25">
      <c r="B1043" s="62"/>
      <c r="C1043" s="62"/>
      <c r="D1043" s="62"/>
    </row>
    <row r="1044" spans="2:4" x14ac:dyDescent="0.25">
      <c r="B1044" s="62"/>
      <c r="C1044" s="62"/>
      <c r="D1044" s="62"/>
    </row>
    <row r="1045" spans="2:4" x14ac:dyDescent="0.25">
      <c r="B1045" s="62"/>
      <c r="C1045" s="62"/>
      <c r="D1045" s="62"/>
    </row>
    <row r="1046" spans="2:4" x14ac:dyDescent="0.25">
      <c r="B1046" s="62"/>
      <c r="C1046" s="62"/>
      <c r="D1046" s="62"/>
    </row>
    <row r="1047" spans="2:4" x14ac:dyDescent="0.25">
      <c r="B1047" s="62"/>
      <c r="C1047" s="62"/>
      <c r="D1047" s="62"/>
    </row>
    <row r="1048" spans="2:4" x14ac:dyDescent="0.25">
      <c r="B1048" s="62"/>
      <c r="C1048" s="62"/>
      <c r="D1048" s="62"/>
    </row>
    <row r="1049" spans="2:4" x14ac:dyDescent="0.25">
      <c r="B1049" s="62"/>
      <c r="C1049" s="62"/>
      <c r="D1049" s="62"/>
    </row>
    <row r="1050" spans="2:4" x14ac:dyDescent="0.25">
      <c r="B1050" s="62"/>
      <c r="C1050" s="62"/>
      <c r="D1050" s="62"/>
    </row>
    <row r="1051" spans="2:4" x14ac:dyDescent="0.25">
      <c r="B1051" s="62"/>
      <c r="C1051" s="62"/>
      <c r="D1051" s="62"/>
    </row>
    <row r="1052" spans="2:4" x14ac:dyDescent="0.25">
      <c r="B1052" s="62"/>
      <c r="C1052" s="62"/>
      <c r="D1052" s="62"/>
    </row>
    <row r="1053" spans="2:4" x14ac:dyDescent="0.25">
      <c r="B1053" s="62"/>
      <c r="C1053" s="62"/>
      <c r="D1053" s="62"/>
    </row>
    <row r="1054" spans="2:4" x14ac:dyDescent="0.25">
      <c r="B1054" s="62"/>
      <c r="C1054" s="62"/>
      <c r="D1054" s="62"/>
    </row>
    <row r="1055" spans="2:4" x14ac:dyDescent="0.25">
      <c r="B1055" s="62"/>
      <c r="C1055" s="62"/>
      <c r="D1055" s="62"/>
    </row>
    <row r="1056" spans="2:4" x14ac:dyDescent="0.25">
      <c r="B1056" s="62"/>
      <c r="C1056" s="62"/>
      <c r="D1056" s="62"/>
    </row>
    <row r="1057" spans="2:4" x14ac:dyDescent="0.25">
      <c r="B1057" s="62"/>
      <c r="C1057" s="62"/>
      <c r="D1057" s="62"/>
    </row>
    <row r="1058" spans="2:4" x14ac:dyDescent="0.25">
      <c r="B1058" s="62"/>
      <c r="C1058" s="62"/>
      <c r="D1058" s="62"/>
    </row>
    <row r="1059" spans="2:4" x14ac:dyDescent="0.25">
      <c r="B1059" s="62"/>
      <c r="C1059" s="62"/>
      <c r="D1059" s="62"/>
    </row>
    <row r="1060" spans="2:4" x14ac:dyDescent="0.25">
      <c r="B1060" s="62"/>
      <c r="C1060" s="62"/>
      <c r="D1060" s="62"/>
    </row>
    <row r="1061" spans="2:4" x14ac:dyDescent="0.25">
      <c r="B1061" s="62"/>
      <c r="C1061" s="62"/>
      <c r="D1061" s="62"/>
    </row>
    <row r="1062" spans="2:4" x14ac:dyDescent="0.25">
      <c r="B1062" s="62"/>
      <c r="C1062" s="62"/>
      <c r="D1062" s="62"/>
    </row>
    <row r="1063" spans="2:4" x14ac:dyDescent="0.25">
      <c r="B1063" s="62"/>
      <c r="C1063" s="62"/>
      <c r="D1063" s="62"/>
    </row>
    <row r="1064" spans="2:4" x14ac:dyDescent="0.25">
      <c r="B1064" s="62"/>
      <c r="C1064" s="62"/>
      <c r="D1064" s="62"/>
    </row>
    <row r="1065" spans="2:4" x14ac:dyDescent="0.25">
      <c r="B1065" s="62"/>
      <c r="C1065" s="62"/>
      <c r="D1065" s="62"/>
    </row>
    <row r="1066" spans="2:4" x14ac:dyDescent="0.25">
      <c r="B1066" s="62"/>
      <c r="C1066" s="62"/>
      <c r="D1066" s="62"/>
    </row>
    <row r="1067" spans="2:4" x14ac:dyDescent="0.25">
      <c r="B1067" s="62"/>
      <c r="C1067" s="62"/>
      <c r="D1067" s="62"/>
    </row>
    <row r="1068" spans="2:4" x14ac:dyDescent="0.25">
      <c r="B1068" s="62"/>
      <c r="C1068" s="62"/>
      <c r="D1068" s="62"/>
    </row>
    <row r="1069" spans="2:4" x14ac:dyDescent="0.25">
      <c r="B1069" s="62"/>
      <c r="C1069" s="62"/>
      <c r="D1069" s="62"/>
    </row>
    <row r="1070" spans="2:4" x14ac:dyDescent="0.25">
      <c r="B1070" s="62"/>
      <c r="C1070" s="62"/>
      <c r="D1070" s="62"/>
    </row>
    <row r="1071" spans="2:4" x14ac:dyDescent="0.25">
      <c r="B1071" s="62"/>
      <c r="C1071" s="62"/>
      <c r="D1071" s="62"/>
    </row>
    <row r="1072" spans="2:4" x14ac:dyDescent="0.25">
      <c r="B1072" s="62"/>
      <c r="C1072" s="62"/>
      <c r="D1072" s="62"/>
    </row>
    <row r="1073" spans="2:4" x14ac:dyDescent="0.25">
      <c r="B1073" s="62"/>
      <c r="C1073" s="62"/>
      <c r="D1073" s="62"/>
    </row>
    <row r="1074" spans="2:4" x14ac:dyDescent="0.25">
      <c r="B1074" s="62"/>
      <c r="C1074" s="62"/>
      <c r="D1074" s="62"/>
    </row>
    <row r="1075" spans="2:4" x14ac:dyDescent="0.25">
      <c r="B1075" s="62"/>
      <c r="C1075" s="62"/>
      <c r="D1075" s="62"/>
    </row>
    <row r="1076" spans="2:4" x14ac:dyDescent="0.25">
      <c r="B1076" s="62"/>
      <c r="C1076" s="62"/>
      <c r="D1076" s="62"/>
    </row>
    <row r="1077" spans="2:4" x14ac:dyDescent="0.25">
      <c r="B1077" s="62"/>
      <c r="C1077" s="62"/>
      <c r="D1077" s="62"/>
    </row>
    <row r="1078" spans="2:4" x14ac:dyDescent="0.25">
      <c r="B1078" s="62"/>
      <c r="C1078" s="62"/>
      <c r="D1078" s="62"/>
    </row>
    <row r="1079" spans="2:4" x14ac:dyDescent="0.25">
      <c r="B1079" s="62"/>
      <c r="C1079" s="62"/>
      <c r="D1079" s="62"/>
    </row>
    <row r="1080" spans="2:4" x14ac:dyDescent="0.25">
      <c r="B1080" s="62"/>
      <c r="C1080" s="62"/>
      <c r="D1080" s="62"/>
    </row>
    <row r="1081" spans="2:4" x14ac:dyDescent="0.25">
      <c r="B1081" s="62"/>
      <c r="C1081" s="62"/>
      <c r="D1081" s="62"/>
    </row>
    <row r="1082" spans="2:4" x14ac:dyDescent="0.25">
      <c r="B1082" s="62"/>
      <c r="C1082" s="62"/>
      <c r="D1082" s="62"/>
    </row>
    <row r="1083" spans="2:4" x14ac:dyDescent="0.25">
      <c r="B1083" s="62"/>
      <c r="C1083" s="62"/>
      <c r="D1083" s="62"/>
    </row>
    <row r="1084" spans="2:4" x14ac:dyDescent="0.25">
      <c r="B1084" s="62"/>
      <c r="C1084" s="62"/>
      <c r="D1084" s="62"/>
    </row>
    <row r="1085" spans="2:4" x14ac:dyDescent="0.25">
      <c r="B1085" s="62"/>
      <c r="C1085" s="62"/>
      <c r="D1085" s="62"/>
    </row>
    <row r="1086" spans="2:4" x14ac:dyDescent="0.25">
      <c r="B1086" s="62"/>
      <c r="C1086" s="62"/>
      <c r="D1086" s="62"/>
    </row>
    <row r="1087" spans="2:4" x14ac:dyDescent="0.25">
      <c r="B1087" s="62"/>
      <c r="C1087" s="62"/>
      <c r="D1087" s="62"/>
    </row>
    <row r="1088" spans="2:4" x14ac:dyDescent="0.25">
      <c r="B1088" s="62"/>
      <c r="C1088" s="62"/>
      <c r="D1088" s="62"/>
    </row>
    <row r="1089" spans="2:4" x14ac:dyDescent="0.25">
      <c r="B1089" s="62"/>
      <c r="C1089" s="62"/>
      <c r="D1089" s="62"/>
    </row>
    <row r="1090" spans="2:4" x14ac:dyDescent="0.25">
      <c r="B1090" s="62"/>
      <c r="C1090" s="62"/>
      <c r="D1090" s="62"/>
    </row>
    <row r="1091" spans="2:4" x14ac:dyDescent="0.25">
      <c r="B1091" s="62"/>
      <c r="C1091" s="62"/>
      <c r="D1091" s="62"/>
    </row>
    <row r="1092" spans="2:4" x14ac:dyDescent="0.25">
      <c r="B1092" s="62"/>
      <c r="C1092" s="62"/>
      <c r="D1092" s="62"/>
    </row>
    <row r="1093" spans="2:4" x14ac:dyDescent="0.25">
      <c r="B1093" s="62"/>
      <c r="C1093" s="62"/>
      <c r="D1093" s="62"/>
    </row>
    <row r="1094" spans="2:4" x14ac:dyDescent="0.25">
      <c r="B1094" s="62"/>
      <c r="C1094" s="62"/>
      <c r="D1094" s="62"/>
    </row>
    <row r="1095" spans="2:4" x14ac:dyDescent="0.25">
      <c r="B1095" s="62"/>
      <c r="C1095" s="62"/>
      <c r="D1095" s="62"/>
    </row>
    <row r="1096" spans="2:4" x14ac:dyDescent="0.25">
      <c r="B1096" s="62"/>
      <c r="C1096" s="62"/>
      <c r="D1096" s="62"/>
    </row>
    <row r="1097" spans="2:4" x14ac:dyDescent="0.25">
      <c r="B1097" s="62"/>
      <c r="C1097" s="62"/>
      <c r="D1097" s="62"/>
    </row>
    <row r="1098" spans="2:4" x14ac:dyDescent="0.25">
      <c r="B1098" s="62"/>
      <c r="C1098" s="62"/>
      <c r="D1098" s="62"/>
    </row>
    <row r="1099" spans="2:4" x14ac:dyDescent="0.25">
      <c r="B1099" s="62"/>
      <c r="C1099" s="62"/>
      <c r="D1099" s="62"/>
    </row>
    <row r="1100" spans="2:4" x14ac:dyDescent="0.25">
      <c r="B1100" s="62"/>
      <c r="C1100" s="62"/>
      <c r="D1100" s="62"/>
    </row>
    <row r="1101" spans="2:4" x14ac:dyDescent="0.25">
      <c r="B1101" s="62"/>
      <c r="C1101" s="62"/>
      <c r="D1101" s="62"/>
    </row>
    <row r="1102" spans="2:4" x14ac:dyDescent="0.25">
      <c r="B1102" s="62"/>
      <c r="C1102" s="62"/>
      <c r="D1102" s="62"/>
    </row>
    <row r="1103" spans="2:4" x14ac:dyDescent="0.25">
      <c r="B1103" s="62"/>
      <c r="C1103" s="62"/>
      <c r="D1103" s="62"/>
    </row>
    <row r="1104" spans="2:4" x14ac:dyDescent="0.25">
      <c r="B1104" s="62"/>
      <c r="C1104" s="62"/>
      <c r="D1104" s="62"/>
    </row>
    <row r="1105" spans="2:4" x14ac:dyDescent="0.25">
      <c r="B1105" s="62"/>
      <c r="C1105" s="62"/>
      <c r="D1105" s="62"/>
    </row>
    <row r="1106" spans="2:4" x14ac:dyDescent="0.25">
      <c r="B1106" s="62"/>
      <c r="C1106" s="62"/>
      <c r="D1106" s="62"/>
    </row>
    <row r="1107" spans="2:4" x14ac:dyDescent="0.25">
      <c r="B1107" s="62"/>
      <c r="C1107" s="62"/>
      <c r="D1107" s="62"/>
    </row>
    <row r="1108" spans="2:4" x14ac:dyDescent="0.25">
      <c r="B1108" s="62"/>
      <c r="C1108" s="62"/>
      <c r="D1108" s="62"/>
    </row>
    <row r="1109" spans="2:4" x14ac:dyDescent="0.25">
      <c r="B1109" s="62"/>
      <c r="C1109" s="62"/>
      <c r="D1109" s="62"/>
    </row>
    <row r="1110" spans="2:4" x14ac:dyDescent="0.25">
      <c r="B1110" s="62"/>
      <c r="C1110" s="62"/>
      <c r="D1110" s="62"/>
    </row>
    <row r="1111" spans="2:4" x14ac:dyDescent="0.25">
      <c r="B1111" s="62"/>
      <c r="C1111" s="62"/>
      <c r="D1111" s="62"/>
    </row>
    <row r="1112" spans="2:4" x14ac:dyDescent="0.25">
      <c r="B1112" s="62"/>
      <c r="C1112" s="62"/>
      <c r="D1112" s="62"/>
    </row>
    <row r="1113" spans="2:4" x14ac:dyDescent="0.25">
      <c r="B1113" s="62"/>
      <c r="C1113" s="62"/>
      <c r="D1113" s="62"/>
    </row>
    <row r="1114" spans="2:4" x14ac:dyDescent="0.25">
      <c r="B1114" s="62"/>
      <c r="C1114" s="62"/>
      <c r="D1114" s="62"/>
    </row>
    <row r="1115" spans="2:4" x14ac:dyDescent="0.25">
      <c r="B1115" s="62"/>
      <c r="C1115" s="62"/>
      <c r="D1115" s="62"/>
    </row>
    <row r="1116" spans="2:4" x14ac:dyDescent="0.25">
      <c r="B1116" s="62"/>
      <c r="C1116" s="62"/>
      <c r="D1116" s="62"/>
    </row>
    <row r="1117" spans="2:4" x14ac:dyDescent="0.25">
      <c r="B1117" s="62"/>
      <c r="C1117" s="62"/>
      <c r="D1117" s="62"/>
    </row>
    <row r="1118" spans="2:4" x14ac:dyDescent="0.25">
      <c r="B1118" s="62"/>
      <c r="C1118" s="62"/>
      <c r="D1118" s="62"/>
    </row>
    <row r="1119" spans="2:4" x14ac:dyDescent="0.25">
      <c r="B1119" s="62"/>
      <c r="C1119" s="62"/>
      <c r="D1119" s="62"/>
    </row>
    <row r="1120" spans="2:4" x14ac:dyDescent="0.25">
      <c r="B1120" s="62"/>
      <c r="C1120" s="62"/>
      <c r="D1120" s="62"/>
    </row>
    <row r="1121" spans="2:4" x14ac:dyDescent="0.25">
      <c r="B1121" s="62"/>
      <c r="C1121" s="62"/>
      <c r="D1121" s="62"/>
    </row>
    <row r="1122" spans="2:4" x14ac:dyDescent="0.25">
      <c r="B1122" s="62"/>
      <c r="C1122" s="62"/>
      <c r="D1122" s="62"/>
    </row>
    <row r="1123" spans="2:4" x14ac:dyDescent="0.25">
      <c r="B1123" s="62"/>
      <c r="C1123" s="62"/>
      <c r="D1123" s="62"/>
    </row>
    <row r="1124" spans="2:4" x14ac:dyDescent="0.25">
      <c r="B1124" s="62"/>
      <c r="C1124" s="62"/>
      <c r="D1124" s="62"/>
    </row>
    <row r="1125" spans="2:4" x14ac:dyDescent="0.25">
      <c r="B1125" s="62"/>
      <c r="C1125" s="62"/>
      <c r="D1125" s="62"/>
    </row>
    <row r="1126" spans="2:4" x14ac:dyDescent="0.25">
      <c r="B1126" s="62"/>
      <c r="C1126" s="62"/>
      <c r="D1126" s="62"/>
    </row>
    <row r="1127" spans="2:4" x14ac:dyDescent="0.25">
      <c r="B1127" s="62"/>
      <c r="C1127" s="62"/>
      <c r="D1127" s="62"/>
    </row>
    <row r="1128" spans="2:4" x14ac:dyDescent="0.25">
      <c r="B1128" s="62"/>
      <c r="C1128" s="62"/>
      <c r="D1128" s="62"/>
    </row>
    <row r="1129" spans="2:4" x14ac:dyDescent="0.25">
      <c r="B1129" s="62"/>
      <c r="C1129" s="62"/>
      <c r="D1129" s="62"/>
    </row>
    <row r="1130" spans="2:4" x14ac:dyDescent="0.25">
      <c r="B1130" s="62"/>
      <c r="C1130" s="62"/>
      <c r="D1130" s="62"/>
    </row>
    <row r="1131" spans="2:4" x14ac:dyDescent="0.25">
      <c r="B1131" s="62"/>
      <c r="C1131" s="62"/>
      <c r="D1131" s="62"/>
    </row>
    <row r="1132" spans="2:4" x14ac:dyDescent="0.25">
      <c r="B1132" s="62"/>
      <c r="C1132" s="62"/>
      <c r="D1132" s="62"/>
    </row>
    <row r="1133" spans="2:4" x14ac:dyDescent="0.25">
      <c r="B1133" s="62"/>
      <c r="C1133" s="62"/>
      <c r="D1133" s="62"/>
    </row>
    <row r="1134" spans="2:4" x14ac:dyDescent="0.25">
      <c r="B1134" s="62"/>
      <c r="C1134" s="62"/>
      <c r="D1134" s="62"/>
    </row>
    <row r="1135" spans="2:4" x14ac:dyDescent="0.25">
      <c r="B1135" s="62"/>
      <c r="C1135" s="62"/>
      <c r="D1135" s="62"/>
    </row>
    <row r="1136" spans="2:4" x14ac:dyDescent="0.25">
      <c r="B1136" s="62"/>
      <c r="C1136" s="62"/>
      <c r="D1136" s="62"/>
    </row>
    <row r="1137" spans="2:4" x14ac:dyDescent="0.25">
      <c r="B1137" s="62"/>
      <c r="C1137" s="62"/>
      <c r="D1137" s="62"/>
    </row>
    <row r="1138" spans="2:4" x14ac:dyDescent="0.25">
      <c r="B1138" s="62"/>
      <c r="C1138" s="62"/>
      <c r="D1138" s="62"/>
    </row>
    <row r="1139" spans="2:4" x14ac:dyDescent="0.25">
      <c r="B1139" s="62"/>
      <c r="C1139" s="62"/>
      <c r="D1139" s="62"/>
    </row>
    <row r="1140" spans="2:4" x14ac:dyDescent="0.25">
      <c r="B1140" s="62"/>
      <c r="C1140" s="62"/>
      <c r="D1140" s="62"/>
    </row>
    <row r="1141" spans="2:4" x14ac:dyDescent="0.25">
      <c r="B1141" s="62"/>
      <c r="C1141" s="62"/>
      <c r="D1141" s="62"/>
    </row>
    <row r="1142" spans="2:4" x14ac:dyDescent="0.25">
      <c r="B1142" s="62"/>
      <c r="C1142" s="62"/>
      <c r="D1142" s="62"/>
    </row>
    <row r="1143" spans="2:4" x14ac:dyDescent="0.25">
      <c r="B1143" s="62"/>
      <c r="C1143" s="62"/>
      <c r="D1143" s="62"/>
    </row>
    <row r="1144" spans="2:4" x14ac:dyDescent="0.25">
      <c r="B1144" s="62"/>
      <c r="C1144" s="62"/>
      <c r="D1144" s="62"/>
    </row>
    <row r="1145" spans="2:4" x14ac:dyDescent="0.25">
      <c r="B1145" s="62"/>
      <c r="C1145" s="62"/>
      <c r="D1145" s="62"/>
    </row>
    <row r="1146" spans="2:4" x14ac:dyDescent="0.25">
      <c r="B1146" s="62"/>
      <c r="C1146" s="62"/>
      <c r="D1146" s="62"/>
    </row>
    <row r="1147" spans="2:4" x14ac:dyDescent="0.25">
      <c r="B1147" s="62"/>
      <c r="C1147" s="62"/>
      <c r="D1147" s="62"/>
    </row>
    <row r="1148" spans="2:4" x14ac:dyDescent="0.25">
      <c r="B1148" s="62"/>
      <c r="C1148" s="62"/>
      <c r="D1148" s="62"/>
    </row>
    <row r="1149" spans="2:4" x14ac:dyDescent="0.25">
      <c r="B1149" s="62"/>
      <c r="C1149" s="62"/>
      <c r="D1149" s="62"/>
    </row>
    <row r="1150" spans="2:4" x14ac:dyDescent="0.25">
      <c r="B1150" s="62"/>
      <c r="C1150" s="62"/>
      <c r="D1150" s="62"/>
    </row>
    <row r="1151" spans="2:4" x14ac:dyDescent="0.25">
      <c r="B1151" s="62"/>
      <c r="C1151" s="62"/>
      <c r="D1151" s="62"/>
    </row>
    <row r="1152" spans="2:4" x14ac:dyDescent="0.25">
      <c r="B1152" s="62"/>
      <c r="C1152" s="62"/>
      <c r="D1152" s="62"/>
    </row>
    <row r="1153" spans="2:4" x14ac:dyDescent="0.25">
      <c r="B1153" s="62"/>
      <c r="C1153" s="62"/>
      <c r="D1153" s="62"/>
    </row>
    <row r="1154" spans="2:4" x14ac:dyDescent="0.25">
      <c r="B1154" s="62"/>
      <c r="C1154" s="62"/>
      <c r="D1154" s="62"/>
    </row>
    <row r="1155" spans="2:4" x14ac:dyDescent="0.25">
      <c r="B1155" s="62"/>
      <c r="C1155" s="62"/>
      <c r="D1155" s="62"/>
    </row>
    <row r="1156" spans="2:4" x14ac:dyDescent="0.25">
      <c r="B1156" s="62"/>
      <c r="C1156" s="62"/>
      <c r="D1156" s="62"/>
    </row>
    <row r="1157" spans="2:4" x14ac:dyDescent="0.25">
      <c r="B1157" s="62"/>
      <c r="C1157" s="62"/>
      <c r="D1157" s="62"/>
    </row>
    <row r="1158" spans="2:4" x14ac:dyDescent="0.25">
      <c r="B1158" s="62"/>
      <c r="C1158" s="62"/>
      <c r="D1158" s="62"/>
    </row>
    <row r="1159" spans="2:4" x14ac:dyDescent="0.25">
      <c r="B1159" s="62"/>
      <c r="C1159" s="62"/>
      <c r="D1159" s="62"/>
    </row>
    <row r="1160" spans="2:4" x14ac:dyDescent="0.25">
      <c r="B1160" s="62"/>
      <c r="C1160" s="62"/>
      <c r="D1160" s="62"/>
    </row>
    <row r="1161" spans="2:4" x14ac:dyDescent="0.25">
      <c r="B1161" s="62"/>
      <c r="C1161" s="62"/>
      <c r="D1161" s="62"/>
    </row>
    <row r="1162" spans="2:4" x14ac:dyDescent="0.25">
      <c r="B1162" s="62"/>
      <c r="C1162" s="62"/>
      <c r="D1162" s="62"/>
    </row>
    <row r="1163" spans="2:4" x14ac:dyDescent="0.25">
      <c r="B1163" s="62"/>
      <c r="C1163" s="62"/>
      <c r="D1163" s="62"/>
    </row>
    <row r="1164" spans="2:4" x14ac:dyDescent="0.25">
      <c r="B1164" s="62"/>
      <c r="C1164" s="62"/>
      <c r="D1164" s="62"/>
    </row>
    <row r="1165" spans="2:4" x14ac:dyDescent="0.25">
      <c r="B1165" s="62"/>
      <c r="C1165" s="62"/>
      <c r="D1165" s="62"/>
    </row>
    <row r="1166" spans="2:4" x14ac:dyDescent="0.25">
      <c r="B1166" s="62"/>
      <c r="C1166" s="62"/>
      <c r="D1166" s="62"/>
    </row>
    <row r="1167" spans="2:4" x14ac:dyDescent="0.25">
      <c r="B1167" s="62"/>
      <c r="C1167" s="62"/>
      <c r="D1167" s="62"/>
    </row>
    <row r="1168" spans="2:4" x14ac:dyDescent="0.25">
      <c r="B1168" s="62"/>
      <c r="C1168" s="62"/>
      <c r="D1168" s="62"/>
    </row>
    <row r="1169" spans="2:4" x14ac:dyDescent="0.25">
      <c r="B1169" s="62"/>
      <c r="C1169" s="62"/>
      <c r="D1169" s="62"/>
    </row>
    <row r="1170" spans="2:4" x14ac:dyDescent="0.25">
      <c r="B1170" s="62"/>
      <c r="C1170" s="62"/>
      <c r="D1170" s="62"/>
    </row>
    <row r="1171" spans="2:4" x14ac:dyDescent="0.25">
      <c r="B1171" s="62"/>
      <c r="C1171" s="62"/>
      <c r="D1171" s="62"/>
    </row>
    <row r="1172" spans="2:4" x14ac:dyDescent="0.25">
      <c r="B1172" s="62"/>
      <c r="C1172" s="62"/>
      <c r="D1172" s="62"/>
    </row>
    <row r="1173" spans="2:4" x14ac:dyDescent="0.25">
      <c r="B1173" s="62"/>
      <c r="C1173" s="62"/>
      <c r="D1173" s="62"/>
    </row>
    <row r="1174" spans="2:4" x14ac:dyDescent="0.25">
      <c r="B1174" s="62"/>
      <c r="C1174" s="62"/>
      <c r="D1174" s="62"/>
    </row>
    <row r="1175" spans="2:4" x14ac:dyDescent="0.25">
      <c r="B1175" s="62"/>
      <c r="C1175" s="62"/>
      <c r="D1175" s="62"/>
    </row>
    <row r="1176" spans="2:4" x14ac:dyDescent="0.25">
      <c r="B1176" s="62"/>
      <c r="C1176" s="62"/>
      <c r="D1176" s="62"/>
    </row>
    <row r="1177" spans="2:4" x14ac:dyDescent="0.25">
      <c r="B1177" s="62"/>
      <c r="C1177" s="62"/>
      <c r="D1177" s="62"/>
    </row>
    <row r="1178" spans="2:4" x14ac:dyDescent="0.25">
      <c r="B1178" s="62"/>
      <c r="C1178" s="62"/>
      <c r="D1178" s="62"/>
    </row>
    <row r="1179" spans="2:4" x14ac:dyDescent="0.25">
      <c r="B1179" s="62"/>
      <c r="C1179" s="62"/>
      <c r="D1179" s="62"/>
    </row>
    <row r="1180" spans="2:4" x14ac:dyDescent="0.25">
      <c r="B1180" s="62"/>
      <c r="C1180" s="62"/>
      <c r="D1180" s="62"/>
    </row>
    <row r="1181" spans="2:4" x14ac:dyDescent="0.25">
      <c r="B1181" s="62"/>
      <c r="C1181" s="62"/>
      <c r="D1181" s="62"/>
    </row>
    <row r="1182" spans="2:4" x14ac:dyDescent="0.25">
      <c r="B1182" s="62"/>
      <c r="C1182" s="62"/>
      <c r="D1182" s="62"/>
    </row>
    <row r="1183" spans="2:4" x14ac:dyDescent="0.25">
      <c r="B1183" s="62"/>
      <c r="C1183" s="62"/>
      <c r="D1183" s="62"/>
    </row>
    <row r="1184" spans="2:4" x14ac:dyDescent="0.25">
      <c r="B1184" s="62"/>
      <c r="C1184" s="62"/>
      <c r="D1184" s="62"/>
    </row>
    <row r="1185" spans="2:4" x14ac:dyDescent="0.25">
      <c r="B1185" s="62"/>
      <c r="C1185" s="62"/>
      <c r="D1185" s="62"/>
    </row>
    <row r="1186" spans="2:4" x14ac:dyDescent="0.25">
      <c r="B1186" s="62"/>
      <c r="C1186" s="62"/>
      <c r="D1186" s="62"/>
    </row>
    <row r="1187" spans="2:4" x14ac:dyDescent="0.25">
      <c r="B1187" s="62"/>
      <c r="C1187" s="62"/>
      <c r="D1187" s="62"/>
    </row>
    <row r="1188" spans="2:4" x14ac:dyDescent="0.25">
      <c r="B1188" s="62"/>
      <c r="C1188" s="62"/>
      <c r="D1188" s="62"/>
    </row>
    <row r="1189" spans="2:4" x14ac:dyDescent="0.25">
      <c r="B1189" s="62"/>
      <c r="C1189" s="62"/>
      <c r="D1189" s="62"/>
    </row>
    <row r="1190" spans="2:4" x14ac:dyDescent="0.25">
      <c r="B1190" s="62"/>
      <c r="C1190" s="62"/>
      <c r="D1190" s="62"/>
    </row>
    <row r="1191" spans="2:4" x14ac:dyDescent="0.25">
      <c r="B1191" s="62"/>
      <c r="C1191" s="62"/>
      <c r="D1191" s="62"/>
    </row>
    <row r="1192" spans="2:4" x14ac:dyDescent="0.25">
      <c r="B1192" s="62"/>
      <c r="C1192" s="62"/>
      <c r="D1192" s="62"/>
    </row>
    <row r="1193" spans="2:4" x14ac:dyDescent="0.25">
      <c r="B1193" s="62"/>
      <c r="C1193" s="62"/>
      <c r="D1193" s="62"/>
    </row>
    <row r="1194" spans="2:4" x14ac:dyDescent="0.25">
      <c r="B1194" s="62"/>
      <c r="C1194" s="62"/>
      <c r="D1194" s="62"/>
    </row>
    <row r="1195" spans="2:4" x14ac:dyDescent="0.25">
      <c r="B1195" s="62"/>
      <c r="C1195" s="62"/>
      <c r="D1195" s="62"/>
    </row>
    <row r="1196" spans="2:4" x14ac:dyDescent="0.25">
      <c r="B1196" s="62"/>
      <c r="C1196" s="62"/>
      <c r="D1196" s="62"/>
    </row>
    <row r="1197" spans="2:4" x14ac:dyDescent="0.25">
      <c r="B1197" s="62"/>
      <c r="C1197" s="62"/>
      <c r="D1197" s="62"/>
    </row>
    <row r="1198" spans="2:4" x14ac:dyDescent="0.25">
      <c r="B1198" s="62"/>
      <c r="C1198" s="62"/>
      <c r="D1198" s="62"/>
    </row>
    <row r="1199" spans="2:4" x14ac:dyDescent="0.25">
      <c r="B1199" s="62"/>
      <c r="C1199" s="62"/>
      <c r="D1199" s="62"/>
    </row>
    <row r="1200" spans="2:4" x14ac:dyDescent="0.25">
      <c r="B1200" s="62"/>
      <c r="C1200" s="62"/>
      <c r="D1200" s="62"/>
    </row>
    <row r="1201" spans="2:4" x14ac:dyDescent="0.25">
      <c r="B1201" s="62"/>
      <c r="C1201" s="62"/>
      <c r="D1201" s="62"/>
    </row>
    <row r="1202" spans="2:4" x14ac:dyDescent="0.25">
      <c r="B1202" s="62"/>
      <c r="C1202" s="62"/>
      <c r="D1202" s="62"/>
    </row>
    <row r="1203" spans="2:4" x14ac:dyDescent="0.25">
      <c r="B1203" s="62"/>
      <c r="C1203" s="62"/>
      <c r="D1203" s="62"/>
    </row>
    <row r="1204" spans="2:4" x14ac:dyDescent="0.25">
      <c r="B1204" s="62"/>
      <c r="C1204" s="62"/>
      <c r="D1204" s="62"/>
    </row>
    <row r="1205" spans="2:4" x14ac:dyDescent="0.25">
      <c r="B1205" s="62"/>
      <c r="C1205" s="62"/>
      <c r="D1205" s="62"/>
    </row>
    <row r="1206" spans="2:4" x14ac:dyDescent="0.25">
      <c r="B1206" s="62"/>
      <c r="C1206" s="62"/>
      <c r="D1206" s="62"/>
    </row>
    <row r="1207" spans="2:4" x14ac:dyDescent="0.25">
      <c r="B1207" s="62"/>
      <c r="C1207" s="62"/>
      <c r="D1207" s="62"/>
    </row>
    <row r="1208" spans="2:4" x14ac:dyDescent="0.25">
      <c r="B1208" s="62"/>
      <c r="C1208" s="62"/>
      <c r="D1208" s="62"/>
    </row>
    <row r="1209" spans="2:4" x14ac:dyDescent="0.25">
      <c r="B1209" s="62"/>
      <c r="C1209" s="62"/>
      <c r="D1209" s="62"/>
    </row>
    <row r="1210" spans="2:4" x14ac:dyDescent="0.25">
      <c r="B1210" s="62"/>
      <c r="C1210" s="62"/>
      <c r="D1210" s="62"/>
    </row>
    <row r="1211" spans="2:4" x14ac:dyDescent="0.25">
      <c r="B1211" s="62"/>
      <c r="C1211" s="62"/>
      <c r="D1211" s="62"/>
    </row>
    <row r="1212" spans="2:4" x14ac:dyDescent="0.25">
      <c r="B1212" s="62"/>
      <c r="C1212" s="62"/>
      <c r="D1212" s="62"/>
    </row>
    <row r="1213" spans="2:4" x14ac:dyDescent="0.25">
      <c r="B1213" s="62"/>
      <c r="C1213" s="62"/>
      <c r="D1213" s="62"/>
    </row>
    <row r="1214" spans="2:4" x14ac:dyDescent="0.25">
      <c r="B1214" s="62"/>
      <c r="C1214" s="62"/>
      <c r="D1214" s="62"/>
    </row>
    <row r="1215" spans="2:4" x14ac:dyDescent="0.25">
      <c r="B1215" s="62"/>
      <c r="C1215" s="62"/>
      <c r="D1215" s="62"/>
    </row>
    <row r="1216" spans="2:4" x14ac:dyDescent="0.25">
      <c r="B1216" s="62"/>
      <c r="C1216" s="62"/>
      <c r="D1216" s="62"/>
    </row>
    <row r="1217" spans="2:4" x14ac:dyDescent="0.25">
      <c r="B1217" s="62"/>
      <c r="C1217" s="62"/>
      <c r="D1217" s="62"/>
    </row>
    <row r="1218" spans="2:4" x14ac:dyDescent="0.25">
      <c r="B1218" s="62"/>
      <c r="C1218" s="62"/>
      <c r="D1218" s="62"/>
    </row>
    <row r="1219" spans="2:4" x14ac:dyDescent="0.25">
      <c r="B1219" s="62"/>
      <c r="C1219" s="62"/>
      <c r="D1219" s="62"/>
    </row>
    <row r="1220" spans="2:4" x14ac:dyDescent="0.25">
      <c r="B1220" s="62"/>
      <c r="C1220" s="62"/>
      <c r="D1220" s="62"/>
    </row>
    <row r="1221" spans="2:4" x14ac:dyDescent="0.25">
      <c r="B1221" s="62"/>
      <c r="C1221" s="62"/>
      <c r="D1221" s="62"/>
    </row>
    <row r="1222" spans="2:4" x14ac:dyDescent="0.25">
      <c r="B1222" s="62"/>
      <c r="C1222" s="62"/>
      <c r="D1222" s="62"/>
    </row>
    <row r="1223" spans="2:4" x14ac:dyDescent="0.25">
      <c r="B1223" s="62"/>
      <c r="C1223" s="62"/>
      <c r="D1223" s="62"/>
    </row>
    <row r="1224" spans="2:4" x14ac:dyDescent="0.25">
      <c r="B1224" s="62"/>
      <c r="C1224" s="62"/>
      <c r="D1224" s="62"/>
    </row>
    <row r="1225" spans="2:4" x14ac:dyDescent="0.25">
      <c r="B1225" s="62"/>
      <c r="C1225" s="62"/>
      <c r="D1225" s="62"/>
    </row>
    <row r="1226" spans="2:4" x14ac:dyDescent="0.25">
      <c r="B1226" s="62"/>
      <c r="C1226" s="62"/>
      <c r="D1226" s="62"/>
    </row>
    <row r="1227" spans="2:4" x14ac:dyDescent="0.25">
      <c r="B1227" s="62"/>
      <c r="C1227" s="62"/>
      <c r="D1227" s="62"/>
    </row>
    <row r="1228" spans="2:4" x14ac:dyDescent="0.25">
      <c r="B1228" s="62"/>
      <c r="C1228" s="62"/>
      <c r="D1228" s="62"/>
    </row>
    <row r="1229" spans="2:4" x14ac:dyDescent="0.25">
      <c r="B1229" s="62"/>
      <c r="C1229" s="62"/>
      <c r="D1229" s="62"/>
    </row>
    <row r="1230" spans="2:4" x14ac:dyDescent="0.25">
      <c r="B1230" s="62"/>
      <c r="C1230" s="62"/>
      <c r="D1230" s="62"/>
    </row>
    <row r="1231" spans="2:4" x14ac:dyDescent="0.25">
      <c r="B1231" s="62"/>
      <c r="C1231" s="62"/>
      <c r="D1231" s="62"/>
    </row>
    <row r="1232" spans="2:4" x14ac:dyDescent="0.25">
      <c r="B1232" s="62"/>
      <c r="C1232" s="62"/>
      <c r="D1232" s="62"/>
    </row>
    <row r="1233" spans="2:4" x14ac:dyDescent="0.25">
      <c r="B1233" s="62"/>
      <c r="C1233" s="62"/>
      <c r="D1233" s="62"/>
    </row>
    <row r="1234" spans="2:4" x14ac:dyDescent="0.25">
      <c r="B1234" s="62"/>
      <c r="C1234" s="62"/>
      <c r="D1234" s="62"/>
    </row>
    <row r="1235" spans="2:4" x14ac:dyDescent="0.25">
      <c r="B1235" s="62"/>
      <c r="C1235" s="62"/>
      <c r="D1235" s="62"/>
    </row>
    <row r="1236" spans="2:4" x14ac:dyDescent="0.25">
      <c r="B1236" s="62"/>
      <c r="C1236" s="62"/>
      <c r="D1236" s="62"/>
    </row>
    <row r="1237" spans="2:4" x14ac:dyDescent="0.25">
      <c r="B1237" s="62"/>
      <c r="C1237" s="62"/>
      <c r="D1237" s="62"/>
    </row>
    <row r="1238" spans="2:4" x14ac:dyDescent="0.25">
      <c r="B1238" s="62"/>
      <c r="C1238" s="62"/>
      <c r="D1238" s="62"/>
    </row>
    <row r="1239" spans="2:4" x14ac:dyDescent="0.25">
      <c r="B1239" s="62"/>
      <c r="C1239" s="62"/>
      <c r="D1239" s="62"/>
    </row>
    <row r="1240" spans="2:4" x14ac:dyDescent="0.25">
      <c r="B1240" s="62"/>
      <c r="C1240" s="62"/>
      <c r="D1240" s="62"/>
    </row>
    <row r="1241" spans="2:4" x14ac:dyDescent="0.25">
      <c r="B1241" s="62"/>
      <c r="C1241" s="62"/>
      <c r="D1241" s="62"/>
    </row>
    <row r="1242" spans="2:4" x14ac:dyDescent="0.25">
      <c r="B1242" s="62"/>
      <c r="C1242" s="62"/>
      <c r="D1242" s="62"/>
    </row>
    <row r="1243" spans="2:4" x14ac:dyDescent="0.25">
      <c r="B1243" s="62"/>
      <c r="C1243" s="62"/>
      <c r="D1243" s="62"/>
    </row>
    <row r="1244" spans="2:4" x14ac:dyDescent="0.25">
      <c r="B1244" s="62"/>
      <c r="C1244" s="62"/>
      <c r="D1244" s="62"/>
    </row>
    <row r="1245" spans="2:4" x14ac:dyDescent="0.25">
      <c r="B1245" s="62"/>
      <c r="C1245" s="62"/>
      <c r="D1245" s="62"/>
    </row>
    <row r="1246" spans="2:4" x14ac:dyDescent="0.25">
      <c r="B1246" s="62"/>
      <c r="C1246" s="62"/>
      <c r="D1246" s="62"/>
    </row>
    <row r="1247" spans="2:4" x14ac:dyDescent="0.25">
      <c r="B1247" s="62"/>
      <c r="C1247" s="62"/>
      <c r="D1247" s="62"/>
    </row>
    <row r="1248" spans="2:4" x14ac:dyDescent="0.25">
      <c r="B1248" s="62"/>
      <c r="C1248" s="62"/>
      <c r="D1248" s="62"/>
    </row>
    <row r="1249" spans="2:4" x14ac:dyDescent="0.25">
      <c r="B1249" s="62"/>
      <c r="C1249" s="62"/>
      <c r="D1249" s="62"/>
    </row>
    <row r="1250" spans="2:4" x14ac:dyDescent="0.25">
      <c r="B1250" s="62"/>
      <c r="C1250" s="62"/>
      <c r="D1250" s="62"/>
    </row>
    <row r="1251" spans="2:4" x14ac:dyDescent="0.25">
      <c r="B1251" s="62"/>
      <c r="C1251" s="62"/>
      <c r="D1251" s="62"/>
    </row>
    <row r="1252" spans="2:4" x14ac:dyDescent="0.25">
      <c r="B1252" s="62"/>
      <c r="C1252" s="62"/>
      <c r="D1252" s="62"/>
    </row>
    <row r="1253" spans="2:4" x14ac:dyDescent="0.25">
      <c r="B1253" s="62"/>
      <c r="C1253" s="62"/>
      <c r="D1253" s="62"/>
    </row>
    <row r="1254" spans="2:4" x14ac:dyDescent="0.25">
      <c r="B1254" s="62"/>
      <c r="C1254" s="62"/>
      <c r="D1254" s="62"/>
    </row>
    <row r="1255" spans="2:4" x14ac:dyDescent="0.25">
      <c r="B1255" s="62"/>
      <c r="C1255" s="62"/>
      <c r="D1255" s="62"/>
    </row>
    <row r="1256" spans="2:4" x14ac:dyDescent="0.25">
      <c r="B1256" s="62"/>
      <c r="C1256" s="62"/>
      <c r="D1256" s="62"/>
    </row>
    <row r="1257" spans="2:4" x14ac:dyDescent="0.25">
      <c r="B1257" s="62"/>
      <c r="C1257" s="62"/>
      <c r="D1257" s="62"/>
    </row>
    <row r="1258" spans="2:4" x14ac:dyDescent="0.25">
      <c r="B1258" s="62"/>
      <c r="C1258" s="62"/>
      <c r="D1258" s="62"/>
    </row>
    <row r="1259" spans="2:4" x14ac:dyDescent="0.25">
      <c r="B1259" s="62"/>
      <c r="C1259" s="62"/>
      <c r="D1259" s="62"/>
    </row>
    <row r="1260" spans="2:4" x14ac:dyDescent="0.25">
      <c r="B1260" s="62"/>
      <c r="C1260" s="62"/>
      <c r="D1260" s="62"/>
    </row>
    <row r="1261" spans="2:4" x14ac:dyDescent="0.25">
      <c r="B1261" s="62"/>
      <c r="C1261" s="62"/>
      <c r="D1261" s="62"/>
    </row>
    <row r="1262" spans="2:4" x14ac:dyDescent="0.25">
      <c r="B1262" s="62"/>
      <c r="C1262" s="62"/>
      <c r="D1262" s="62"/>
    </row>
    <row r="1263" spans="2:4" x14ac:dyDescent="0.25">
      <c r="B1263" s="62"/>
      <c r="C1263" s="62"/>
      <c r="D1263" s="62"/>
    </row>
    <row r="1264" spans="2:4" x14ac:dyDescent="0.25">
      <c r="B1264" s="62"/>
      <c r="C1264" s="62"/>
      <c r="D1264" s="62"/>
    </row>
    <row r="1265" spans="2:4" x14ac:dyDescent="0.25">
      <c r="B1265" s="62"/>
      <c r="C1265" s="62"/>
      <c r="D1265" s="62"/>
    </row>
    <row r="1266" spans="2:4" x14ac:dyDescent="0.25">
      <c r="B1266" s="62"/>
      <c r="C1266" s="62"/>
      <c r="D1266" s="62"/>
    </row>
    <row r="1267" spans="2:4" x14ac:dyDescent="0.25">
      <c r="B1267" s="62"/>
      <c r="C1267" s="62"/>
      <c r="D1267" s="62"/>
    </row>
    <row r="1268" spans="2:4" x14ac:dyDescent="0.25">
      <c r="B1268" s="62"/>
      <c r="C1268" s="62"/>
      <c r="D1268" s="62"/>
    </row>
    <row r="1269" spans="2:4" x14ac:dyDescent="0.25">
      <c r="B1269" s="62"/>
      <c r="C1269" s="62"/>
      <c r="D1269" s="62"/>
    </row>
    <row r="1270" spans="2:4" x14ac:dyDescent="0.25">
      <c r="B1270" s="62"/>
      <c r="C1270" s="62"/>
      <c r="D1270" s="62"/>
    </row>
    <row r="1271" spans="2:4" x14ac:dyDescent="0.25">
      <c r="B1271" s="62"/>
      <c r="C1271" s="62"/>
      <c r="D1271" s="62"/>
    </row>
    <row r="1272" spans="2:4" x14ac:dyDescent="0.25">
      <c r="B1272" s="62"/>
      <c r="C1272" s="62"/>
      <c r="D1272" s="62"/>
    </row>
    <row r="1273" spans="2:4" x14ac:dyDescent="0.25">
      <c r="B1273" s="62"/>
      <c r="C1273" s="62"/>
      <c r="D1273" s="62"/>
    </row>
    <row r="1274" spans="2:4" x14ac:dyDescent="0.25">
      <c r="B1274" s="62"/>
      <c r="C1274" s="62"/>
      <c r="D1274" s="62"/>
    </row>
    <row r="1275" spans="2:4" x14ac:dyDescent="0.25">
      <c r="B1275" s="62"/>
      <c r="C1275" s="62"/>
      <c r="D1275" s="62"/>
    </row>
    <row r="1276" spans="2:4" x14ac:dyDescent="0.25">
      <c r="B1276" s="62"/>
      <c r="C1276" s="62"/>
      <c r="D1276" s="62"/>
    </row>
    <row r="1277" spans="2:4" x14ac:dyDescent="0.25">
      <c r="B1277" s="62"/>
      <c r="C1277" s="62"/>
      <c r="D1277" s="62"/>
    </row>
    <row r="1278" spans="2:4" x14ac:dyDescent="0.25">
      <c r="B1278" s="62"/>
      <c r="C1278" s="62"/>
      <c r="D1278" s="62"/>
    </row>
    <row r="1279" spans="2:4" x14ac:dyDescent="0.25">
      <c r="B1279" s="62"/>
      <c r="C1279" s="62"/>
      <c r="D1279" s="62"/>
    </row>
    <row r="1280" spans="2:4" x14ac:dyDescent="0.25">
      <c r="B1280" s="62"/>
      <c r="C1280" s="62"/>
      <c r="D1280" s="62"/>
    </row>
    <row r="1281" spans="2:4" x14ac:dyDescent="0.25">
      <c r="B1281" s="62"/>
      <c r="C1281" s="62"/>
      <c r="D1281" s="62"/>
    </row>
    <row r="1282" spans="2:4" x14ac:dyDescent="0.25">
      <c r="B1282" s="62"/>
      <c r="C1282" s="62"/>
      <c r="D1282" s="62"/>
    </row>
    <row r="1283" spans="2:4" x14ac:dyDescent="0.25">
      <c r="B1283" s="62"/>
      <c r="C1283" s="62"/>
      <c r="D1283" s="62"/>
    </row>
    <row r="1284" spans="2:4" x14ac:dyDescent="0.25">
      <c r="B1284" s="62"/>
      <c r="C1284" s="62"/>
      <c r="D1284" s="62"/>
    </row>
    <row r="1285" spans="2:4" x14ac:dyDescent="0.25">
      <c r="B1285" s="62"/>
      <c r="C1285" s="62"/>
      <c r="D1285" s="62"/>
    </row>
    <row r="1286" spans="2:4" x14ac:dyDescent="0.25">
      <c r="B1286" s="62"/>
      <c r="C1286" s="62"/>
      <c r="D1286" s="62"/>
    </row>
    <row r="1287" spans="2:4" x14ac:dyDescent="0.25">
      <c r="B1287" s="62"/>
      <c r="C1287" s="62"/>
      <c r="D1287" s="62"/>
    </row>
    <row r="1288" spans="2:4" x14ac:dyDescent="0.25">
      <c r="B1288" s="62"/>
      <c r="C1288" s="62"/>
      <c r="D1288" s="62"/>
    </row>
    <row r="1289" spans="2:4" x14ac:dyDescent="0.25">
      <c r="B1289" s="62"/>
      <c r="C1289" s="62"/>
      <c r="D1289" s="62"/>
    </row>
    <row r="1290" spans="2:4" x14ac:dyDescent="0.25">
      <c r="B1290" s="62"/>
      <c r="C1290" s="62"/>
      <c r="D1290" s="62"/>
    </row>
    <row r="1291" spans="2:4" x14ac:dyDescent="0.25">
      <c r="B1291" s="62"/>
      <c r="C1291" s="62"/>
      <c r="D1291" s="62"/>
    </row>
    <row r="1292" spans="2:4" x14ac:dyDescent="0.25">
      <c r="B1292" s="62"/>
      <c r="C1292" s="62"/>
      <c r="D1292" s="62"/>
    </row>
    <row r="1293" spans="2:4" x14ac:dyDescent="0.25">
      <c r="B1293" s="62"/>
      <c r="C1293" s="62"/>
      <c r="D1293" s="62"/>
    </row>
    <row r="1294" spans="2:4" x14ac:dyDescent="0.25">
      <c r="B1294" s="62"/>
      <c r="C1294" s="62"/>
      <c r="D1294" s="62"/>
    </row>
    <row r="1295" spans="2:4" x14ac:dyDescent="0.25">
      <c r="B1295" s="62"/>
      <c r="C1295" s="62"/>
      <c r="D1295" s="62"/>
    </row>
    <row r="1296" spans="2:4" x14ac:dyDescent="0.25">
      <c r="B1296" s="62"/>
      <c r="C1296" s="62"/>
      <c r="D1296" s="62"/>
    </row>
    <row r="1297" spans="2:4" x14ac:dyDescent="0.25">
      <c r="B1297" s="62"/>
      <c r="C1297" s="62"/>
      <c r="D1297" s="62"/>
    </row>
    <row r="1298" spans="2:4" x14ac:dyDescent="0.25">
      <c r="B1298" s="62"/>
      <c r="C1298" s="62"/>
      <c r="D1298" s="62"/>
    </row>
    <row r="1299" spans="2:4" x14ac:dyDescent="0.25">
      <c r="B1299" s="62"/>
      <c r="C1299" s="62"/>
      <c r="D1299" s="62"/>
    </row>
    <row r="1300" spans="2:4" x14ac:dyDescent="0.25">
      <c r="B1300" s="62"/>
      <c r="C1300" s="62"/>
      <c r="D1300" s="62"/>
    </row>
    <row r="1301" spans="2:4" x14ac:dyDescent="0.25">
      <c r="B1301" s="62"/>
      <c r="C1301" s="62"/>
      <c r="D1301" s="62"/>
    </row>
    <row r="1302" spans="2:4" x14ac:dyDescent="0.25">
      <c r="B1302" s="62"/>
      <c r="C1302" s="62"/>
      <c r="D1302" s="62"/>
    </row>
    <row r="1303" spans="2:4" x14ac:dyDescent="0.25">
      <c r="B1303" s="62"/>
      <c r="C1303" s="62"/>
      <c r="D1303" s="62"/>
    </row>
    <row r="1304" spans="2:4" x14ac:dyDescent="0.25">
      <c r="B1304" s="62"/>
      <c r="C1304" s="62"/>
      <c r="D1304" s="62"/>
    </row>
    <row r="1305" spans="2:4" x14ac:dyDescent="0.25">
      <c r="B1305" s="62"/>
      <c r="C1305" s="62"/>
      <c r="D1305" s="62"/>
    </row>
    <row r="1306" spans="2:4" x14ac:dyDescent="0.25">
      <c r="B1306" s="62"/>
      <c r="C1306" s="62"/>
      <c r="D1306" s="62"/>
    </row>
    <row r="1307" spans="2:4" x14ac:dyDescent="0.25">
      <c r="B1307" s="62"/>
      <c r="C1307" s="62"/>
      <c r="D1307" s="62"/>
    </row>
    <row r="1308" spans="2:4" x14ac:dyDescent="0.25">
      <c r="B1308" s="62"/>
      <c r="C1308" s="62"/>
      <c r="D1308" s="62"/>
    </row>
    <row r="1309" spans="2:4" x14ac:dyDescent="0.25">
      <c r="B1309" s="62"/>
      <c r="C1309" s="62"/>
      <c r="D1309" s="62"/>
    </row>
    <row r="1310" spans="2:4" x14ac:dyDescent="0.25">
      <c r="B1310" s="62"/>
      <c r="C1310" s="62"/>
      <c r="D1310" s="62"/>
    </row>
    <row r="1311" spans="2:4" x14ac:dyDescent="0.25">
      <c r="B1311" s="62"/>
      <c r="C1311" s="62"/>
      <c r="D1311" s="62"/>
    </row>
    <row r="1312" spans="2:4" x14ac:dyDescent="0.25">
      <c r="B1312" s="62"/>
      <c r="C1312" s="62"/>
      <c r="D1312" s="62"/>
    </row>
    <row r="1313" spans="2:4" x14ac:dyDescent="0.25">
      <c r="B1313" s="62"/>
      <c r="C1313" s="62"/>
      <c r="D1313" s="62"/>
    </row>
    <row r="1314" spans="2:4" x14ac:dyDescent="0.25">
      <c r="B1314" s="62"/>
      <c r="C1314" s="62"/>
      <c r="D1314" s="62"/>
    </row>
    <row r="1315" spans="2:4" x14ac:dyDescent="0.25">
      <c r="B1315" s="62"/>
      <c r="C1315" s="62"/>
      <c r="D1315" s="62"/>
    </row>
    <row r="1316" spans="2:4" x14ac:dyDescent="0.25">
      <c r="B1316" s="62"/>
      <c r="C1316" s="62"/>
      <c r="D1316" s="62"/>
    </row>
    <row r="1317" spans="2:4" x14ac:dyDescent="0.25">
      <c r="B1317" s="62"/>
      <c r="C1317" s="62"/>
      <c r="D1317" s="62"/>
    </row>
    <row r="1318" spans="2:4" x14ac:dyDescent="0.25">
      <c r="B1318" s="62"/>
      <c r="C1318" s="62"/>
      <c r="D1318" s="62"/>
    </row>
    <row r="1319" spans="2:4" x14ac:dyDescent="0.25">
      <c r="B1319" s="62"/>
      <c r="C1319" s="62"/>
      <c r="D1319" s="62"/>
    </row>
    <row r="1320" spans="2:4" x14ac:dyDescent="0.25">
      <c r="B1320" s="62"/>
      <c r="C1320" s="62"/>
      <c r="D1320" s="62"/>
    </row>
    <row r="1321" spans="2:4" x14ac:dyDescent="0.25">
      <c r="B1321" s="62"/>
      <c r="C1321" s="62"/>
      <c r="D1321" s="62"/>
    </row>
    <row r="1322" spans="2:4" x14ac:dyDescent="0.25">
      <c r="B1322" s="62"/>
      <c r="C1322" s="62"/>
      <c r="D1322" s="62"/>
    </row>
    <row r="1323" spans="2:4" x14ac:dyDescent="0.25">
      <c r="B1323" s="62"/>
      <c r="C1323" s="62"/>
      <c r="D1323" s="62"/>
    </row>
    <row r="1324" spans="2:4" x14ac:dyDescent="0.25">
      <c r="B1324" s="62"/>
      <c r="C1324" s="62"/>
      <c r="D1324" s="62"/>
    </row>
    <row r="1325" spans="2:4" x14ac:dyDescent="0.25">
      <c r="B1325" s="62"/>
      <c r="C1325" s="62"/>
      <c r="D1325" s="62"/>
    </row>
    <row r="1326" spans="2:4" x14ac:dyDescent="0.25">
      <c r="B1326" s="62"/>
      <c r="C1326" s="62"/>
      <c r="D1326" s="62"/>
    </row>
    <row r="1327" spans="2:4" x14ac:dyDescent="0.25">
      <c r="B1327" s="62"/>
      <c r="C1327" s="62"/>
      <c r="D1327" s="62"/>
    </row>
    <row r="1328" spans="2:4" x14ac:dyDescent="0.25">
      <c r="B1328" s="62"/>
      <c r="C1328" s="62"/>
      <c r="D1328" s="62"/>
    </row>
    <row r="1329" spans="2:4" x14ac:dyDescent="0.25">
      <c r="B1329" s="62"/>
      <c r="C1329" s="62"/>
      <c r="D1329" s="62"/>
    </row>
    <row r="1330" spans="2:4" x14ac:dyDescent="0.25">
      <c r="B1330" s="62"/>
      <c r="C1330" s="62"/>
      <c r="D1330" s="62"/>
    </row>
    <row r="1331" spans="2:4" x14ac:dyDescent="0.25">
      <c r="B1331" s="62"/>
      <c r="C1331" s="62"/>
      <c r="D1331" s="62"/>
    </row>
    <row r="1332" spans="2:4" x14ac:dyDescent="0.25">
      <c r="B1332" s="62"/>
      <c r="C1332" s="62"/>
      <c r="D1332" s="62"/>
    </row>
    <row r="1333" spans="2:4" x14ac:dyDescent="0.25">
      <c r="B1333" s="62"/>
      <c r="C1333" s="62"/>
      <c r="D1333" s="62"/>
    </row>
    <row r="1334" spans="2:4" x14ac:dyDescent="0.25">
      <c r="B1334" s="62"/>
      <c r="C1334" s="62"/>
      <c r="D1334" s="62"/>
    </row>
    <row r="1335" spans="2:4" x14ac:dyDescent="0.25">
      <c r="B1335" s="62"/>
      <c r="C1335" s="62"/>
      <c r="D1335" s="62"/>
    </row>
    <row r="1336" spans="2:4" x14ac:dyDescent="0.25">
      <c r="B1336" s="62"/>
      <c r="C1336" s="62"/>
      <c r="D1336" s="62"/>
    </row>
    <row r="1337" spans="2:4" x14ac:dyDescent="0.25">
      <c r="B1337" s="62"/>
      <c r="C1337" s="62"/>
      <c r="D1337" s="62"/>
    </row>
    <row r="1338" spans="2:4" x14ac:dyDescent="0.25">
      <c r="B1338" s="62"/>
      <c r="C1338" s="62"/>
      <c r="D1338" s="62"/>
    </row>
    <row r="1339" spans="2:4" x14ac:dyDescent="0.25">
      <c r="B1339" s="62"/>
      <c r="C1339" s="62"/>
      <c r="D1339" s="62"/>
    </row>
    <row r="1340" spans="2:4" x14ac:dyDescent="0.25">
      <c r="B1340" s="62"/>
      <c r="C1340" s="62"/>
      <c r="D1340" s="62"/>
    </row>
    <row r="1341" spans="2:4" x14ac:dyDescent="0.25">
      <c r="B1341" s="62"/>
      <c r="C1341" s="62"/>
      <c r="D1341" s="62"/>
    </row>
    <row r="1342" spans="2:4" x14ac:dyDescent="0.25">
      <c r="B1342" s="62"/>
      <c r="C1342" s="62"/>
      <c r="D1342" s="62"/>
    </row>
    <row r="1343" spans="2:4" x14ac:dyDescent="0.25">
      <c r="B1343" s="62"/>
      <c r="C1343" s="62"/>
      <c r="D1343" s="62"/>
    </row>
    <row r="1344" spans="2:4" x14ac:dyDescent="0.25">
      <c r="B1344" s="62"/>
      <c r="C1344" s="62"/>
      <c r="D1344" s="62"/>
    </row>
    <row r="1345" spans="2:4" x14ac:dyDescent="0.25">
      <c r="B1345" s="62"/>
      <c r="C1345" s="62"/>
      <c r="D1345" s="62"/>
    </row>
    <row r="1346" spans="2:4" x14ac:dyDescent="0.25">
      <c r="B1346" s="62"/>
      <c r="C1346" s="62"/>
      <c r="D1346" s="62"/>
    </row>
    <row r="1347" spans="2:4" x14ac:dyDescent="0.25">
      <c r="B1347" s="62"/>
      <c r="C1347" s="62"/>
      <c r="D1347" s="62"/>
    </row>
    <row r="1348" spans="2:4" x14ac:dyDescent="0.25">
      <c r="B1348" s="62"/>
      <c r="C1348" s="62"/>
      <c r="D1348" s="62"/>
    </row>
    <row r="1349" spans="2:4" x14ac:dyDescent="0.25">
      <c r="B1349" s="62"/>
      <c r="C1349" s="62"/>
      <c r="D1349" s="62"/>
    </row>
    <row r="1350" spans="2:4" x14ac:dyDescent="0.25">
      <c r="B1350" s="62"/>
      <c r="C1350" s="62"/>
      <c r="D1350" s="62"/>
    </row>
    <row r="1351" spans="2:4" x14ac:dyDescent="0.25">
      <c r="B1351" s="62"/>
      <c r="C1351" s="62"/>
      <c r="D1351" s="62"/>
    </row>
    <row r="1352" spans="2:4" x14ac:dyDescent="0.25">
      <c r="B1352" s="62"/>
      <c r="C1352" s="62"/>
      <c r="D1352" s="62"/>
    </row>
    <row r="1353" spans="2:4" x14ac:dyDescent="0.25">
      <c r="B1353" s="62"/>
      <c r="C1353" s="62"/>
      <c r="D1353" s="62"/>
    </row>
    <row r="1354" spans="2:4" x14ac:dyDescent="0.25">
      <c r="B1354" s="62"/>
      <c r="C1354" s="62"/>
      <c r="D1354" s="62"/>
    </row>
    <row r="1355" spans="2:4" x14ac:dyDescent="0.25">
      <c r="B1355" s="62"/>
      <c r="C1355" s="62"/>
      <c r="D1355" s="62"/>
    </row>
    <row r="1356" spans="2:4" x14ac:dyDescent="0.25">
      <c r="B1356" s="62"/>
      <c r="C1356" s="62"/>
      <c r="D1356" s="62"/>
    </row>
    <row r="1357" spans="2:4" x14ac:dyDescent="0.25">
      <c r="B1357" s="62"/>
      <c r="C1357" s="62"/>
      <c r="D1357" s="62"/>
    </row>
    <row r="1358" spans="2:4" x14ac:dyDescent="0.25">
      <c r="B1358" s="62"/>
      <c r="C1358" s="62"/>
      <c r="D1358" s="62"/>
    </row>
    <row r="1359" spans="2:4" x14ac:dyDescent="0.25">
      <c r="B1359" s="62"/>
      <c r="C1359" s="62"/>
      <c r="D1359" s="62"/>
    </row>
    <row r="1360" spans="2:4" x14ac:dyDescent="0.25">
      <c r="B1360" s="62"/>
      <c r="C1360" s="62"/>
      <c r="D1360" s="62"/>
    </row>
    <row r="1361" spans="2:4" x14ac:dyDescent="0.25">
      <c r="B1361" s="62"/>
      <c r="C1361" s="62"/>
      <c r="D1361" s="62"/>
    </row>
    <row r="1362" spans="2:4" x14ac:dyDescent="0.25">
      <c r="B1362" s="62"/>
      <c r="C1362" s="62"/>
      <c r="D1362" s="62"/>
    </row>
    <row r="1363" spans="2:4" x14ac:dyDescent="0.25">
      <c r="B1363" s="62"/>
      <c r="C1363" s="62"/>
      <c r="D1363" s="62"/>
    </row>
    <row r="1364" spans="2:4" x14ac:dyDescent="0.25">
      <c r="B1364" s="62"/>
      <c r="C1364" s="62"/>
      <c r="D1364" s="62"/>
    </row>
    <row r="1365" spans="2:4" x14ac:dyDescent="0.25">
      <c r="B1365" s="62"/>
      <c r="C1365" s="62"/>
      <c r="D1365" s="62"/>
    </row>
    <row r="1366" spans="2:4" x14ac:dyDescent="0.25">
      <c r="B1366" s="62"/>
      <c r="C1366" s="62"/>
      <c r="D1366" s="62"/>
    </row>
    <row r="1367" spans="2:4" x14ac:dyDescent="0.25">
      <c r="B1367" s="62"/>
      <c r="C1367" s="62"/>
      <c r="D1367" s="62"/>
    </row>
    <row r="1368" spans="2:4" x14ac:dyDescent="0.25">
      <c r="B1368" s="62"/>
      <c r="C1368" s="62"/>
      <c r="D1368" s="62"/>
    </row>
    <row r="1369" spans="2:4" x14ac:dyDescent="0.25">
      <c r="B1369" s="62"/>
      <c r="C1369" s="62"/>
      <c r="D1369" s="62"/>
    </row>
    <row r="1370" spans="2:4" x14ac:dyDescent="0.25">
      <c r="B1370" s="62"/>
      <c r="C1370" s="62"/>
      <c r="D1370" s="62"/>
    </row>
    <row r="1371" spans="2:4" x14ac:dyDescent="0.25">
      <c r="B1371" s="62"/>
      <c r="C1371" s="62"/>
      <c r="D1371" s="62"/>
    </row>
    <row r="1372" spans="2:4" x14ac:dyDescent="0.25">
      <c r="B1372" s="62"/>
      <c r="C1372" s="62"/>
      <c r="D1372" s="62"/>
    </row>
    <row r="1373" spans="2:4" x14ac:dyDescent="0.25">
      <c r="B1373" s="62"/>
      <c r="C1373" s="62"/>
      <c r="D1373" s="62"/>
    </row>
    <row r="1374" spans="2:4" x14ac:dyDescent="0.25">
      <c r="B1374" s="62"/>
      <c r="C1374" s="62"/>
      <c r="D1374" s="62"/>
    </row>
    <row r="1375" spans="2:4" x14ac:dyDescent="0.25">
      <c r="B1375" s="62"/>
      <c r="C1375" s="62"/>
      <c r="D1375" s="62"/>
    </row>
    <row r="1376" spans="2:4" x14ac:dyDescent="0.25">
      <c r="B1376" s="62"/>
      <c r="C1376" s="62"/>
      <c r="D1376" s="62"/>
    </row>
    <row r="1377" spans="2:4" x14ac:dyDescent="0.25">
      <c r="B1377" s="62"/>
      <c r="C1377" s="62"/>
      <c r="D1377" s="62"/>
    </row>
    <row r="1378" spans="2:4" x14ac:dyDescent="0.25">
      <c r="B1378" s="62"/>
      <c r="C1378" s="62"/>
      <c r="D1378" s="62"/>
    </row>
    <row r="1379" spans="2:4" x14ac:dyDescent="0.25">
      <c r="B1379" s="62"/>
      <c r="C1379" s="62"/>
      <c r="D1379" s="62"/>
    </row>
    <row r="1380" spans="2:4" x14ac:dyDescent="0.25">
      <c r="B1380" s="62"/>
      <c r="C1380" s="62"/>
      <c r="D1380" s="62"/>
    </row>
    <row r="1381" spans="2:4" x14ac:dyDescent="0.25">
      <c r="B1381" s="62"/>
      <c r="C1381" s="62"/>
      <c r="D1381" s="62"/>
    </row>
    <row r="1382" spans="2:4" x14ac:dyDescent="0.25">
      <c r="B1382" s="62"/>
      <c r="C1382" s="62"/>
      <c r="D1382" s="62"/>
    </row>
    <row r="1383" spans="2:4" x14ac:dyDescent="0.25">
      <c r="B1383" s="62"/>
      <c r="C1383" s="62"/>
      <c r="D1383" s="62"/>
    </row>
    <row r="1384" spans="2:4" x14ac:dyDescent="0.25">
      <c r="B1384" s="62"/>
      <c r="C1384" s="62"/>
      <c r="D1384" s="62"/>
    </row>
    <row r="1385" spans="2:4" x14ac:dyDescent="0.25">
      <c r="B1385" s="62"/>
      <c r="C1385" s="62"/>
      <c r="D1385" s="62"/>
    </row>
    <row r="1386" spans="2:4" x14ac:dyDescent="0.25">
      <c r="B1386" s="62"/>
      <c r="C1386" s="62"/>
      <c r="D1386" s="62"/>
    </row>
    <row r="1387" spans="2:4" x14ac:dyDescent="0.25">
      <c r="B1387" s="62"/>
      <c r="C1387" s="62"/>
      <c r="D1387" s="62"/>
    </row>
    <row r="1388" spans="2:4" x14ac:dyDescent="0.25">
      <c r="B1388" s="62"/>
      <c r="C1388" s="62"/>
      <c r="D1388" s="62"/>
    </row>
    <row r="1389" spans="2:4" x14ac:dyDescent="0.25">
      <c r="B1389" s="62"/>
      <c r="C1389" s="62"/>
      <c r="D1389" s="62"/>
    </row>
    <row r="1390" spans="2:4" x14ac:dyDescent="0.25">
      <c r="B1390" s="62"/>
      <c r="C1390" s="62"/>
      <c r="D1390" s="62"/>
    </row>
    <row r="1391" spans="2:4" x14ac:dyDescent="0.25">
      <c r="B1391" s="62"/>
      <c r="C1391" s="62"/>
      <c r="D1391" s="62"/>
    </row>
    <row r="1392" spans="2:4" x14ac:dyDescent="0.25">
      <c r="B1392" s="62"/>
      <c r="C1392" s="62"/>
      <c r="D1392" s="62"/>
    </row>
    <row r="1393" spans="2:4" x14ac:dyDescent="0.25">
      <c r="B1393" s="62"/>
      <c r="C1393" s="62"/>
      <c r="D1393" s="62"/>
    </row>
    <row r="1394" spans="2:4" x14ac:dyDescent="0.25">
      <c r="B1394" s="62"/>
      <c r="C1394" s="62"/>
      <c r="D1394" s="62"/>
    </row>
    <row r="1395" spans="2:4" x14ac:dyDescent="0.25">
      <c r="B1395" s="62"/>
      <c r="C1395" s="62"/>
      <c r="D1395" s="62"/>
    </row>
    <row r="1396" spans="2:4" x14ac:dyDescent="0.25">
      <c r="B1396" s="62"/>
      <c r="C1396" s="62"/>
      <c r="D1396" s="62"/>
    </row>
    <row r="1397" spans="2:4" x14ac:dyDescent="0.25">
      <c r="B1397" s="62"/>
      <c r="C1397" s="62"/>
      <c r="D1397" s="62"/>
    </row>
    <row r="1398" spans="2:4" x14ac:dyDescent="0.25">
      <c r="B1398" s="62"/>
      <c r="C1398" s="62"/>
      <c r="D1398" s="62"/>
    </row>
    <row r="1399" spans="2:4" x14ac:dyDescent="0.25">
      <c r="B1399" s="62"/>
      <c r="C1399" s="62"/>
      <c r="D1399" s="62"/>
    </row>
    <row r="1400" spans="2:4" x14ac:dyDescent="0.25">
      <c r="B1400" s="62"/>
      <c r="C1400" s="62"/>
      <c r="D1400" s="62"/>
    </row>
    <row r="1401" spans="2:4" x14ac:dyDescent="0.25">
      <c r="B1401" s="62"/>
      <c r="C1401" s="62"/>
      <c r="D1401" s="62"/>
    </row>
    <row r="1402" spans="2:4" x14ac:dyDescent="0.25">
      <c r="B1402" s="62"/>
      <c r="C1402" s="62"/>
      <c r="D1402" s="62"/>
    </row>
    <row r="1403" spans="2:4" x14ac:dyDescent="0.25">
      <c r="B1403" s="62"/>
      <c r="C1403" s="62"/>
      <c r="D1403" s="62"/>
    </row>
    <row r="1404" spans="2:4" x14ac:dyDescent="0.25">
      <c r="B1404" s="62"/>
      <c r="C1404" s="62"/>
      <c r="D1404" s="62"/>
    </row>
    <row r="1405" spans="2:4" x14ac:dyDescent="0.25">
      <c r="B1405" s="62"/>
      <c r="C1405" s="62"/>
      <c r="D1405" s="62"/>
    </row>
    <row r="1406" spans="2:4" x14ac:dyDescent="0.25">
      <c r="B1406" s="62"/>
      <c r="C1406" s="62"/>
      <c r="D1406" s="62"/>
    </row>
    <row r="1407" spans="2:4" x14ac:dyDescent="0.25">
      <c r="B1407" s="62"/>
      <c r="C1407" s="62"/>
      <c r="D1407" s="62"/>
    </row>
    <row r="1408" spans="2:4" x14ac:dyDescent="0.25">
      <c r="B1408" s="62"/>
      <c r="C1408" s="62"/>
      <c r="D1408" s="62"/>
    </row>
    <row r="1409" spans="2:4" x14ac:dyDescent="0.25">
      <c r="B1409" s="62"/>
      <c r="C1409" s="62"/>
      <c r="D1409" s="62"/>
    </row>
    <row r="1410" spans="2:4" x14ac:dyDescent="0.25">
      <c r="B1410" s="62"/>
      <c r="C1410" s="62"/>
      <c r="D1410" s="62"/>
    </row>
    <row r="1411" spans="2:4" x14ac:dyDescent="0.25">
      <c r="B1411" s="62"/>
      <c r="C1411" s="62"/>
      <c r="D1411" s="62"/>
    </row>
    <row r="1412" spans="2:4" x14ac:dyDescent="0.25">
      <c r="B1412" s="62"/>
      <c r="C1412" s="62"/>
      <c r="D1412" s="62"/>
    </row>
    <row r="1413" spans="2:4" x14ac:dyDescent="0.25">
      <c r="B1413" s="62"/>
      <c r="C1413" s="62"/>
      <c r="D1413" s="62"/>
    </row>
    <row r="1414" spans="2:4" x14ac:dyDescent="0.25">
      <c r="B1414" s="62"/>
      <c r="C1414" s="62"/>
      <c r="D1414" s="62"/>
    </row>
    <row r="1415" spans="2:4" x14ac:dyDescent="0.25">
      <c r="B1415" s="62"/>
      <c r="C1415" s="62"/>
      <c r="D1415" s="62"/>
    </row>
    <row r="1416" spans="2:4" x14ac:dyDescent="0.25">
      <c r="B1416" s="62"/>
      <c r="C1416" s="62"/>
      <c r="D1416" s="62"/>
    </row>
    <row r="1417" spans="2:4" x14ac:dyDescent="0.25">
      <c r="B1417" s="62"/>
      <c r="C1417" s="62"/>
      <c r="D1417" s="62"/>
    </row>
    <row r="1418" spans="2:4" x14ac:dyDescent="0.25">
      <c r="B1418" s="62"/>
      <c r="C1418" s="62"/>
      <c r="D1418" s="62"/>
    </row>
    <row r="1419" spans="2:4" x14ac:dyDescent="0.25">
      <c r="B1419" s="62"/>
      <c r="C1419" s="62"/>
      <c r="D1419" s="62"/>
    </row>
    <row r="1420" spans="2:4" x14ac:dyDescent="0.25">
      <c r="B1420" s="62"/>
      <c r="C1420" s="62"/>
      <c r="D1420" s="62"/>
    </row>
    <row r="1421" spans="2:4" x14ac:dyDescent="0.25">
      <c r="B1421" s="62"/>
      <c r="C1421" s="62"/>
      <c r="D1421" s="62"/>
    </row>
    <row r="1422" spans="2:4" x14ac:dyDescent="0.25">
      <c r="B1422" s="62"/>
      <c r="C1422" s="62"/>
      <c r="D1422" s="62"/>
    </row>
    <row r="1423" spans="2:4" x14ac:dyDescent="0.25">
      <c r="B1423" s="62"/>
      <c r="C1423" s="62"/>
      <c r="D1423" s="62"/>
    </row>
    <row r="1424" spans="2:4" x14ac:dyDescent="0.25">
      <c r="B1424" s="62"/>
      <c r="C1424" s="62"/>
      <c r="D1424" s="62"/>
    </row>
    <row r="1425" spans="2:4" x14ac:dyDescent="0.25">
      <c r="B1425" s="62"/>
      <c r="C1425" s="62"/>
      <c r="D1425" s="62"/>
    </row>
    <row r="1426" spans="2:4" x14ac:dyDescent="0.25">
      <c r="B1426" s="62"/>
      <c r="C1426" s="62"/>
      <c r="D1426" s="62"/>
    </row>
    <row r="1427" spans="2:4" x14ac:dyDescent="0.25">
      <c r="B1427" s="62"/>
      <c r="C1427" s="62"/>
      <c r="D1427" s="62"/>
    </row>
    <row r="1428" spans="2:4" x14ac:dyDescent="0.25">
      <c r="B1428" s="62"/>
      <c r="C1428" s="62"/>
      <c r="D1428" s="62"/>
    </row>
    <row r="1429" spans="2:4" x14ac:dyDescent="0.25">
      <c r="B1429" s="62"/>
      <c r="C1429" s="62"/>
      <c r="D1429" s="62"/>
    </row>
    <row r="1430" spans="2:4" x14ac:dyDescent="0.25">
      <c r="B1430" s="62"/>
      <c r="C1430" s="62"/>
      <c r="D1430" s="62"/>
    </row>
    <row r="1431" spans="2:4" x14ac:dyDescent="0.25">
      <c r="B1431" s="62"/>
      <c r="C1431" s="62"/>
      <c r="D1431" s="62"/>
    </row>
    <row r="1432" spans="2:4" x14ac:dyDescent="0.25">
      <c r="B1432" s="62"/>
      <c r="C1432" s="62"/>
      <c r="D1432" s="62"/>
    </row>
    <row r="1433" spans="2:4" x14ac:dyDescent="0.25">
      <c r="B1433" s="62"/>
      <c r="C1433" s="62"/>
      <c r="D1433" s="62"/>
    </row>
    <row r="1434" spans="2:4" x14ac:dyDescent="0.25">
      <c r="B1434" s="62"/>
      <c r="C1434" s="62"/>
      <c r="D1434" s="62"/>
    </row>
    <row r="1435" spans="2:4" x14ac:dyDescent="0.25">
      <c r="B1435" s="62"/>
      <c r="C1435" s="62"/>
      <c r="D1435" s="62"/>
    </row>
    <row r="1436" spans="2:4" x14ac:dyDescent="0.25">
      <c r="B1436" s="62"/>
      <c r="C1436" s="62"/>
      <c r="D1436" s="62"/>
    </row>
    <row r="1437" spans="2:4" x14ac:dyDescent="0.25">
      <c r="B1437" s="62"/>
      <c r="C1437" s="62"/>
      <c r="D1437" s="62"/>
    </row>
    <row r="1438" spans="2:4" x14ac:dyDescent="0.25">
      <c r="B1438" s="62"/>
      <c r="C1438" s="62"/>
      <c r="D1438" s="62"/>
    </row>
    <row r="1439" spans="2:4" x14ac:dyDescent="0.25">
      <c r="B1439" s="62"/>
      <c r="C1439" s="62"/>
      <c r="D1439" s="62"/>
    </row>
    <row r="1440" spans="2:4" x14ac:dyDescent="0.25">
      <c r="B1440" s="62"/>
      <c r="C1440" s="62"/>
      <c r="D1440" s="62"/>
    </row>
    <row r="1441" spans="2:4" x14ac:dyDescent="0.25">
      <c r="B1441" s="62"/>
      <c r="C1441" s="62"/>
      <c r="D1441" s="62"/>
    </row>
    <row r="1442" spans="2:4" x14ac:dyDescent="0.25">
      <c r="B1442" s="62"/>
      <c r="C1442" s="62"/>
      <c r="D1442" s="62"/>
    </row>
    <row r="1443" spans="2:4" x14ac:dyDescent="0.25">
      <c r="B1443" s="62"/>
      <c r="C1443" s="62"/>
      <c r="D1443" s="62"/>
    </row>
    <row r="1444" spans="2:4" x14ac:dyDescent="0.25">
      <c r="B1444" s="62"/>
      <c r="C1444" s="62"/>
      <c r="D1444" s="62"/>
    </row>
    <row r="1445" spans="2:4" x14ac:dyDescent="0.25">
      <c r="B1445" s="62"/>
      <c r="C1445" s="62"/>
      <c r="D1445" s="62"/>
    </row>
    <row r="1446" spans="2:4" x14ac:dyDescent="0.25">
      <c r="B1446" s="62"/>
      <c r="C1446" s="62"/>
      <c r="D1446" s="62"/>
    </row>
    <row r="1447" spans="2:4" x14ac:dyDescent="0.25">
      <c r="B1447" s="62"/>
      <c r="C1447" s="62"/>
      <c r="D1447" s="62"/>
    </row>
    <row r="1448" spans="2:4" x14ac:dyDescent="0.25">
      <c r="B1448" s="62"/>
      <c r="C1448" s="62"/>
      <c r="D1448" s="62"/>
    </row>
    <row r="1449" spans="2:4" x14ac:dyDescent="0.25">
      <c r="B1449" s="62"/>
      <c r="C1449" s="62"/>
      <c r="D1449" s="62"/>
    </row>
    <row r="1450" spans="2:4" x14ac:dyDescent="0.25">
      <c r="B1450" s="62"/>
      <c r="C1450" s="62"/>
      <c r="D1450" s="62"/>
    </row>
    <row r="1451" spans="2:4" x14ac:dyDescent="0.25">
      <c r="B1451" s="62"/>
      <c r="C1451" s="62"/>
      <c r="D1451" s="62"/>
    </row>
    <row r="1452" spans="2:4" x14ac:dyDescent="0.25">
      <c r="B1452" s="62"/>
      <c r="C1452" s="62"/>
      <c r="D1452" s="62"/>
    </row>
    <row r="1453" spans="2:4" x14ac:dyDescent="0.25">
      <c r="B1453" s="62"/>
      <c r="C1453" s="62"/>
      <c r="D1453" s="62"/>
    </row>
    <row r="1454" spans="2:4" x14ac:dyDescent="0.25">
      <c r="B1454" s="62"/>
      <c r="C1454" s="62"/>
      <c r="D1454" s="62"/>
    </row>
    <row r="1455" spans="2:4" x14ac:dyDescent="0.25">
      <c r="B1455" s="62"/>
      <c r="C1455" s="62"/>
      <c r="D1455" s="62"/>
    </row>
    <row r="1456" spans="2:4" x14ac:dyDescent="0.25">
      <c r="B1456" s="62"/>
      <c r="C1456" s="62"/>
      <c r="D1456" s="62"/>
    </row>
    <row r="1457" spans="2:4" x14ac:dyDescent="0.25">
      <c r="B1457" s="62"/>
      <c r="C1457" s="62"/>
      <c r="D1457" s="62"/>
    </row>
    <row r="1458" spans="2:4" x14ac:dyDescent="0.25">
      <c r="B1458" s="62"/>
      <c r="C1458" s="62"/>
      <c r="D1458" s="62"/>
    </row>
    <row r="1459" spans="2:4" x14ac:dyDescent="0.25">
      <c r="B1459" s="62"/>
      <c r="C1459" s="62"/>
      <c r="D1459" s="62"/>
    </row>
    <row r="1460" spans="2:4" x14ac:dyDescent="0.25">
      <c r="B1460" s="62"/>
      <c r="C1460" s="62"/>
      <c r="D1460" s="62"/>
    </row>
    <row r="1461" spans="2:4" x14ac:dyDescent="0.25">
      <c r="B1461" s="62"/>
      <c r="C1461" s="62"/>
      <c r="D1461" s="62"/>
    </row>
    <row r="1462" spans="2:4" x14ac:dyDescent="0.25">
      <c r="B1462" s="62"/>
      <c r="C1462" s="62"/>
      <c r="D1462" s="62"/>
    </row>
    <row r="1463" spans="2:4" x14ac:dyDescent="0.25">
      <c r="B1463" s="62"/>
      <c r="C1463" s="62"/>
      <c r="D1463" s="62"/>
    </row>
    <row r="1464" spans="2:4" x14ac:dyDescent="0.25">
      <c r="B1464" s="62"/>
      <c r="C1464" s="62"/>
      <c r="D1464" s="62"/>
    </row>
    <row r="1465" spans="2:4" x14ac:dyDescent="0.25">
      <c r="B1465" s="62"/>
      <c r="C1465" s="62"/>
      <c r="D1465" s="62"/>
    </row>
    <row r="1466" spans="2:4" x14ac:dyDescent="0.25">
      <c r="B1466" s="62"/>
      <c r="C1466" s="62"/>
      <c r="D1466" s="62"/>
    </row>
    <row r="1467" spans="2:4" x14ac:dyDescent="0.25">
      <c r="B1467" s="62"/>
      <c r="C1467" s="62"/>
      <c r="D1467" s="62"/>
    </row>
    <row r="1468" spans="2:4" x14ac:dyDescent="0.25">
      <c r="B1468" s="62"/>
      <c r="C1468" s="62"/>
      <c r="D1468" s="62"/>
    </row>
    <row r="1469" spans="2:4" x14ac:dyDescent="0.25">
      <c r="B1469" s="62"/>
      <c r="C1469" s="62"/>
      <c r="D1469" s="62"/>
    </row>
    <row r="1470" spans="2:4" x14ac:dyDescent="0.25">
      <c r="B1470" s="62"/>
      <c r="C1470" s="62"/>
      <c r="D1470" s="62"/>
    </row>
    <row r="1471" spans="2:4" x14ac:dyDescent="0.25">
      <c r="B1471" s="62"/>
      <c r="C1471" s="62"/>
      <c r="D1471" s="62"/>
    </row>
    <row r="1472" spans="2:4" x14ac:dyDescent="0.25">
      <c r="B1472" s="62"/>
      <c r="C1472" s="62"/>
      <c r="D1472" s="62"/>
    </row>
    <row r="1473" spans="2:4" x14ac:dyDescent="0.25">
      <c r="B1473" s="62"/>
      <c r="C1473" s="62"/>
      <c r="D1473" s="62"/>
    </row>
    <row r="1474" spans="2:4" x14ac:dyDescent="0.25">
      <c r="B1474" s="62"/>
      <c r="C1474" s="62"/>
      <c r="D1474" s="62"/>
    </row>
    <row r="1475" spans="2:4" x14ac:dyDescent="0.25">
      <c r="B1475" s="62"/>
      <c r="C1475" s="62"/>
      <c r="D1475" s="62"/>
    </row>
    <row r="1476" spans="2:4" x14ac:dyDescent="0.25">
      <c r="B1476" s="62"/>
      <c r="C1476" s="62"/>
      <c r="D1476" s="62"/>
    </row>
    <row r="1477" spans="2:4" x14ac:dyDescent="0.25">
      <c r="B1477" s="62"/>
      <c r="C1477" s="62"/>
      <c r="D1477" s="62"/>
    </row>
    <row r="1478" spans="2:4" x14ac:dyDescent="0.25">
      <c r="B1478" s="62"/>
      <c r="C1478" s="62"/>
      <c r="D1478" s="62"/>
    </row>
    <row r="1479" spans="2:4" x14ac:dyDescent="0.25">
      <c r="B1479" s="62"/>
      <c r="C1479" s="62"/>
      <c r="D1479" s="62"/>
    </row>
    <row r="1480" spans="2:4" x14ac:dyDescent="0.25">
      <c r="B1480" s="62"/>
      <c r="C1480" s="62"/>
      <c r="D1480" s="62"/>
    </row>
    <row r="1481" spans="2:4" x14ac:dyDescent="0.25">
      <c r="B1481" s="62"/>
      <c r="C1481" s="62"/>
      <c r="D1481" s="62"/>
    </row>
    <row r="1482" spans="2:4" x14ac:dyDescent="0.25">
      <c r="B1482" s="62"/>
      <c r="C1482" s="62"/>
      <c r="D1482" s="62"/>
    </row>
    <row r="1483" spans="2:4" x14ac:dyDescent="0.25">
      <c r="B1483" s="62"/>
      <c r="C1483" s="62"/>
      <c r="D1483" s="62"/>
    </row>
    <row r="1484" spans="2:4" x14ac:dyDescent="0.25">
      <c r="B1484" s="62"/>
      <c r="C1484" s="62"/>
      <c r="D1484" s="62"/>
    </row>
    <row r="1485" spans="2:4" x14ac:dyDescent="0.25">
      <c r="B1485" s="62"/>
      <c r="C1485" s="62"/>
      <c r="D1485" s="62"/>
    </row>
    <row r="1486" spans="2:4" x14ac:dyDescent="0.25">
      <c r="B1486" s="62"/>
      <c r="C1486" s="62"/>
      <c r="D1486" s="62"/>
    </row>
    <row r="1487" spans="2:4" x14ac:dyDescent="0.25">
      <c r="B1487" s="62"/>
      <c r="C1487" s="62"/>
      <c r="D1487" s="62"/>
    </row>
    <row r="1488" spans="2:4" x14ac:dyDescent="0.25">
      <c r="B1488" s="62"/>
      <c r="C1488" s="62"/>
      <c r="D1488" s="62"/>
    </row>
    <row r="1489" spans="2:4" x14ac:dyDescent="0.25">
      <c r="B1489" s="62"/>
      <c r="C1489" s="62"/>
      <c r="D1489" s="62"/>
    </row>
    <row r="1490" spans="2:4" x14ac:dyDescent="0.25">
      <c r="B1490" s="62"/>
      <c r="C1490" s="62"/>
      <c r="D1490" s="62"/>
    </row>
    <row r="1491" spans="2:4" x14ac:dyDescent="0.25">
      <c r="B1491" s="62"/>
      <c r="C1491" s="62"/>
      <c r="D1491" s="62"/>
    </row>
    <row r="1492" spans="2:4" x14ac:dyDescent="0.25">
      <c r="B1492" s="62"/>
      <c r="C1492" s="62"/>
      <c r="D1492" s="62"/>
    </row>
    <row r="1493" spans="2:4" x14ac:dyDescent="0.25">
      <c r="B1493" s="62"/>
      <c r="C1493" s="62"/>
      <c r="D1493" s="62"/>
    </row>
    <row r="1494" spans="2:4" x14ac:dyDescent="0.25">
      <c r="B1494" s="62"/>
      <c r="C1494" s="62"/>
      <c r="D1494" s="62"/>
    </row>
    <row r="1495" spans="2:4" x14ac:dyDescent="0.25">
      <c r="B1495" s="62"/>
      <c r="C1495" s="62"/>
      <c r="D1495" s="62"/>
    </row>
    <row r="1496" spans="2:4" x14ac:dyDescent="0.25">
      <c r="B1496" s="62"/>
      <c r="C1496" s="62"/>
      <c r="D1496" s="62"/>
    </row>
    <row r="1497" spans="2:4" x14ac:dyDescent="0.25">
      <c r="B1497" s="62"/>
      <c r="C1497" s="62"/>
      <c r="D1497" s="62"/>
    </row>
    <row r="1498" spans="2:4" x14ac:dyDescent="0.25">
      <c r="B1498" s="62"/>
      <c r="C1498" s="62"/>
      <c r="D1498" s="62"/>
    </row>
    <row r="1499" spans="2:4" x14ac:dyDescent="0.25">
      <c r="B1499" s="62"/>
      <c r="C1499" s="62"/>
      <c r="D1499" s="62"/>
    </row>
    <row r="1500" spans="2:4" x14ac:dyDescent="0.25">
      <c r="B1500" s="62"/>
      <c r="C1500" s="62"/>
      <c r="D1500" s="62"/>
    </row>
    <row r="1501" spans="2:4" x14ac:dyDescent="0.25">
      <c r="B1501" s="62"/>
      <c r="C1501" s="62"/>
      <c r="D1501" s="62"/>
    </row>
    <row r="1502" spans="2:4" x14ac:dyDescent="0.25">
      <c r="B1502" s="62"/>
      <c r="C1502" s="62"/>
      <c r="D1502" s="62"/>
    </row>
    <row r="1503" spans="2:4" x14ac:dyDescent="0.25">
      <c r="B1503" s="62"/>
      <c r="C1503" s="62"/>
      <c r="D1503" s="62"/>
    </row>
    <row r="1504" spans="2:4" x14ac:dyDescent="0.25">
      <c r="B1504" s="62"/>
      <c r="C1504" s="62"/>
      <c r="D1504" s="62"/>
    </row>
    <row r="1505" spans="2:4" x14ac:dyDescent="0.25">
      <c r="B1505" s="62"/>
      <c r="C1505" s="62"/>
      <c r="D1505" s="62"/>
    </row>
    <row r="1506" spans="2:4" x14ac:dyDescent="0.25">
      <c r="B1506" s="62"/>
      <c r="C1506" s="62"/>
      <c r="D1506" s="62"/>
    </row>
    <row r="1507" spans="2:4" x14ac:dyDescent="0.25">
      <c r="B1507" s="62"/>
      <c r="C1507" s="62"/>
      <c r="D1507" s="62"/>
    </row>
    <row r="1508" spans="2:4" x14ac:dyDescent="0.25">
      <c r="B1508" s="62"/>
      <c r="C1508" s="62"/>
      <c r="D1508" s="62"/>
    </row>
    <row r="1509" spans="2:4" x14ac:dyDescent="0.25">
      <c r="B1509" s="62"/>
      <c r="C1509" s="62"/>
      <c r="D1509" s="62"/>
    </row>
    <row r="1510" spans="2:4" x14ac:dyDescent="0.25">
      <c r="B1510" s="62"/>
      <c r="C1510" s="62"/>
      <c r="D1510" s="62"/>
    </row>
    <row r="1511" spans="2:4" x14ac:dyDescent="0.25">
      <c r="B1511" s="62"/>
      <c r="C1511" s="62"/>
      <c r="D1511" s="62"/>
    </row>
    <row r="1512" spans="2:4" x14ac:dyDescent="0.25">
      <c r="B1512" s="62"/>
      <c r="C1512" s="62"/>
      <c r="D1512" s="62"/>
    </row>
    <row r="1513" spans="2:4" x14ac:dyDescent="0.25">
      <c r="B1513" s="62"/>
      <c r="C1513" s="62"/>
      <c r="D1513" s="62"/>
    </row>
    <row r="1514" spans="2:4" x14ac:dyDescent="0.25">
      <c r="B1514" s="62"/>
      <c r="C1514" s="62"/>
      <c r="D1514" s="62"/>
    </row>
    <row r="1515" spans="2:4" x14ac:dyDescent="0.25">
      <c r="B1515" s="62"/>
      <c r="C1515" s="62"/>
      <c r="D1515" s="62"/>
    </row>
    <row r="1516" spans="2:4" x14ac:dyDescent="0.25">
      <c r="B1516" s="62"/>
      <c r="C1516" s="62"/>
      <c r="D1516" s="62"/>
    </row>
    <row r="1517" spans="2:4" x14ac:dyDescent="0.25">
      <c r="B1517" s="62"/>
      <c r="C1517" s="62"/>
      <c r="D1517" s="62"/>
    </row>
    <row r="1518" spans="2:4" x14ac:dyDescent="0.25">
      <c r="B1518" s="62"/>
      <c r="C1518" s="62"/>
      <c r="D1518" s="62"/>
    </row>
    <row r="1519" spans="2:4" x14ac:dyDescent="0.25">
      <c r="B1519" s="62"/>
      <c r="C1519" s="62"/>
      <c r="D1519" s="62"/>
    </row>
    <row r="1520" spans="2:4" x14ac:dyDescent="0.25">
      <c r="B1520" s="62"/>
      <c r="C1520" s="62"/>
      <c r="D1520" s="62"/>
    </row>
    <row r="1521" spans="2:4" x14ac:dyDescent="0.25">
      <c r="B1521" s="62"/>
      <c r="C1521" s="62"/>
      <c r="D1521" s="62"/>
    </row>
    <row r="1522" spans="2:4" x14ac:dyDescent="0.25">
      <c r="B1522" s="62"/>
      <c r="C1522" s="62"/>
      <c r="D1522" s="62"/>
    </row>
    <row r="1523" spans="2:4" x14ac:dyDescent="0.25">
      <c r="B1523" s="62"/>
      <c r="C1523" s="62"/>
      <c r="D1523" s="62"/>
    </row>
    <row r="1524" spans="2:4" x14ac:dyDescent="0.25">
      <c r="B1524" s="62"/>
      <c r="C1524" s="62"/>
      <c r="D1524" s="62"/>
    </row>
    <row r="1525" spans="2:4" x14ac:dyDescent="0.25">
      <c r="B1525" s="62"/>
      <c r="C1525" s="62"/>
      <c r="D1525" s="62"/>
    </row>
    <row r="1526" spans="2:4" x14ac:dyDescent="0.25">
      <c r="B1526" s="62"/>
      <c r="C1526" s="62"/>
      <c r="D1526" s="62"/>
    </row>
    <row r="1527" spans="2:4" x14ac:dyDescent="0.25">
      <c r="B1527" s="62"/>
      <c r="C1527" s="62"/>
      <c r="D1527" s="62"/>
    </row>
    <row r="1528" spans="2:4" x14ac:dyDescent="0.25">
      <c r="B1528" s="62"/>
      <c r="C1528" s="62"/>
      <c r="D1528" s="62"/>
    </row>
    <row r="1529" spans="2:4" x14ac:dyDescent="0.25">
      <c r="B1529" s="62"/>
      <c r="C1529" s="62"/>
      <c r="D1529" s="62"/>
    </row>
    <row r="1530" spans="2:4" x14ac:dyDescent="0.25">
      <c r="B1530" s="62"/>
      <c r="C1530" s="62"/>
      <c r="D1530" s="62"/>
    </row>
    <row r="1531" spans="2:4" x14ac:dyDescent="0.25">
      <c r="B1531" s="62"/>
      <c r="C1531" s="62"/>
      <c r="D1531" s="62"/>
    </row>
    <row r="1532" spans="2:4" x14ac:dyDescent="0.25">
      <c r="B1532" s="62"/>
      <c r="C1532" s="62"/>
      <c r="D1532" s="62"/>
    </row>
    <row r="1533" spans="2:4" x14ac:dyDescent="0.25">
      <c r="B1533" s="62"/>
      <c r="C1533" s="62"/>
      <c r="D1533" s="62"/>
    </row>
    <row r="1534" spans="2:4" x14ac:dyDescent="0.25">
      <c r="B1534" s="62"/>
      <c r="C1534" s="62"/>
      <c r="D1534" s="62"/>
    </row>
    <row r="1535" spans="2:4" x14ac:dyDescent="0.25">
      <c r="B1535" s="62"/>
      <c r="C1535" s="62"/>
      <c r="D1535" s="62"/>
    </row>
    <row r="1536" spans="2:4" x14ac:dyDescent="0.25">
      <c r="B1536" s="62"/>
      <c r="C1536" s="62"/>
      <c r="D1536" s="62"/>
    </row>
    <row r="1537" spans="2:4" x14ac:dyDescent="0.25">
      <c r="B1537" s="62"/>
      <c r="C1537" s="62"/>
      <c r="D1537" s="62"/>
    </row>
    <row r="1538" spans="2:4" x14ac:dyDescent="0.25">
      <c r="B1538" s="62"/>
      <c r="C1538" s="62"/>
      <c r="D1538" s="62"/>
    </row>
    <row r="1539" spans="2:4" x14ac:dyDescent="0.25">
      <c r="B1539" s="62"/>
      <c r="C1539" s="62"/>
      <c r="D1539" s="62"/>
    </row>
    <row r="1540" spans="2:4" x14ac:dyDescent="0.25">
      <c r="B1540" s="62"/>
      <c r="C1540" s="62"/>
      <c r="D1540" s="62"/>
    </row>
    <row r="1541" spans="2:4" x14ac:dyDescent="0.25">
      <c r="B1541" s="62"/>
      <c r="C1541" s="62"/>
      <c r="D1541" s="62"/>
    </row>
    <row r="1542" spans="2:4" x14ac:dyDescent="0.25">
      <c r="B1542" s="62"/>
      <c r="C1542" s="62"/>
      <c r="D1542" s="62"/>
    </row>
    <row r="1543" spans="2:4" x14ac:dyDescent="0.25">
      <c r="B1543" s="62"/>
      <c r="C1543" s="62"/>
      <c r="D1543" s="62"/>
    </row>
    <row r="1544" spans="2:4" x14ac:dyDescent="0.25">
      <c r="B1544" s="62"/>
      <c r="C1544" s="62"/>
      <c r="D1544" s="62"/>
    </row>
    <row r="1545" spans="2:4" x14ac:dyDescent="0.25">
      <c r="B1545" s="62"/>
      <c r="C1545" s="62"/>
      <c r="D1545" s="62"/>
    </row>
    <row r="1546" spans="2:4" x14ac:dyDescent="0.25">
      <c r="B1546" s="62"/>
      <c r="C1546" s="62"/>
      <c r="D1546" s="62"/>
    </row>
    <row r="1547" spans="2:4" x14ac:dyDescent="0.25">
      <c r="B1547" s="62"/>
      <c r="C1547" s="62"/>
      <c r="D1547" s="62"/>
    </row>
    <row r="1548" spans="2:4" x14ac:dyDescent="0.25">
      <c r="B1548" s="62"/>
      <c r="C1548" s="62"/>
      <c r="D1548" s="62"/>
    </row>
    <row r="1549" spans="2:4" x14ac:dyDescent="0.25">
      <c r="B1549" s="62"/>
      <c r="C1549" s="62"/>
      <c r="D1549" s="62"/>
    </row>
    <row r="1550" spans="2:4" x14ac:dyDescent="0.25">
      <c r="B1550" s="62"/>
      <c r="C1550" s="62"/>
      <c r="D1550" s="62"/>
    </row>
    <row r="1551" spans="2:4" x14ac:dyDescent="0.25">
      <c r="B1551" s="62"/>
      <c r="C1551" s="62"/>
      <c r="D1551" s="62"/>
    </row>
    <row r="1552" spans="2:4" x14ac:dyDescent="0.25">
      <c r="B1552" s="62"/>
      <c r="C1552" s="62"/>
      <c r="D1552" s="62"/>
    </row>
    <row r="1553" spans="2:4" x14ac:dyDescent="0.25">
      <c r="B1553" s="62"/>
      <c r="C1553" s="62"/>
      <c r="D1553" s="62"/>
    </row>
    <row r="1554" spans="2:4" x14ac:dyDescent="0.25">
      <c r="B1554" s="62"/>
      <c r="C1554" s="62"/>
      <c r="D1554" s="62"/>
    </row>
    <row r="1555" spans="2:4" x14ac:dyDescent="0.25">
      <c r="B1555" s="62"/>
      <c r="C1555" s="62"/>
      <c r="D1555" s="62"/>
    </row>
    <row r="1556" spans="2:4" x14ac:dyDescent="0.25">
      <c r="B1556" s="62"/>
      <c r="C1556" s="62"/>
      <c r="D1556" s="62"/>
    </row>
    <row r="1557" spans="2:4" x14ac:dyDescent="0.25">
      <c r="B1557" s="62"/>
      <c r="C1557" s="62"/>
      <c r="D1557" s="62"/>
    </row>
    <row r="1558" spans="2:4" x14ac:dyDescent="0.25">
      <c r="B1558" s="62"/>
      <c r="C1558" s="62"/>
      <c r="D1558" s="62"/>
    </row>
    <row r="1559" spans="2:4" x14ac:dyDescent="0.25">
      <c r="B1559" s="62"/>
      <c r="C1559" s="62"/>
      <c r="D1559" s="62"/>
    </row>
    <row r="1560" spans="2:4" x14ac:dyDescent="0.25">
      <c r="B1560" s="62"/>
      <c r="C1560" s="62"/>
      <c r="D1560" s="62"/>
    </row>
    <row r="1561" spans="2:4" x14ac:dyDescent="0.25">
      <c r="B1561" s="62"/>
      <c r="C1561" s="62"/>
      <c r="D1561" s="62"/>
    </row>
    <row r="1562" spans="2:4" x14ac:dyDescent="0.25">
      <c r="B1562" s="62"/>
      <c r="C1562" s="62"/>
      <c r="D1562" s="62"/>
    </row>
    <row r="1563" spans="2:4" x14ac:dyDescent="0.25">
      <c r="B1563" s="62"/>
      <c r="C1563" s="62"/>
      <c r="D1563" s="62"/>
    </row>
    <row r="1564" spans="2:4" x14ac:dyDescent="0.25">
      <c r="B1564" s="62"/>
      <c r="C1564" s="62"/>
      <c r="D1564" s="62"/>
    </row>
    <row r="1565" spans="2:4" x14ac:dyDescent="0.25">
      <c r="B1565" s="62"/>
      <c r="C1565" s="62"/>
      <c r="D1565" s="62"/>
    </row>
    <row r="1566" spans="2:4" x14ac:dyDescent="0.25">
      <c r="B1566" s="62"/>
      <c r="C1566" s="62"/>
      <c r="D1566" s="62"/>
    </row>
    <row r="1567" spans="2:4" x14ac:dyDescent="0.25">
      <c r="B1567" s="62"/>
      <c r="C1567" s="62"/>
      <c r="D1567" s="62"/>
    </row>
    <row r="1568" spans="2:4" x14ac:dyDescent="0.25">
      <c r="B1568" s="62"/>
      <c r="C1568" s="62"/>
      <c r="D1568" s="62"/>
    </row>
    <row r="1569" spans="2:4" x14ac:dyDescent="0.25">
      <c r="B1569" s="62"/>
      <c r="C1569" s="62"/>
      <c r="D1569" s="62"/>
    </row>
    <row r="1570" spans="2:4" x14ac:dyDescent="0.25">
      <c r="B1570" s="62"/>
      <c r="C1570" s="62"/>
      <c r="D1570" s="62"/>
    </row>
    <row r="1571" spans="2:4" x14ac:dyDescent="0.25">
      <c r="B1571" s="62"/>
      <c r="C1571" s="62"/>
      <c r="D1571" s="62"/>
    </row>
    <row r="1572" spans="2:4" x14ac:dyDescent="0.25">
      <c r="B1572" s="62"/>
      <c r="C1572" s="62"/>
      <c r="D1572" s="62"/>
    </row>
    <row r="1573" spans="2:4" x14ac:dyDescent="0.25">
      <c r="B1573" s="62"/>
      <c r="C1573" s="62"/>
      <c r="D1573" s="62"/>
    </row>
    <row r="1574" spans="2:4" x14ac:dyDescent="0.25">
      <c r="B1574" s="62"/>
      <c r="C1574" s="62"/>
      <c r="D1574" s="62"/>
    </row>
    <row r="1575" spans="2:4" x14ac:dyDescent="0.25">
      <c r="B1575" s="62"/>
      <c r="C1575" s="62"/>
      <c r="D1575" s="62"/>
    </row>
    <row r="1576" spans="2:4" x14ac:dyDescent="0.25">
      <c r="B1576" s="62"/>
      <c r="C1576" s="62"/>
      <c r="D1576" s="62"/>
    </row>
    <row r="1577" spans="2:4" x14ac:dyDescent="0.25">
      <c r="B1577" s="62"/>
      <c r="C1577" s="62"/>
      <c r="D1577" s="62"/>
    </row>
    <row r="1578" spans="2:4" x14ac:dyDescent="0.25">
      <c r="B1578" s="62"/>
      <c r="C1578" s="62"/>
      <c r="D1578" s="62"/>
    </row>
    <row r="1579" spans="2:4" x14ac:dyDescent="0.25">
      <c r="B1579" s="62"/>
      <c r="C1579" s="62"/>
      <c r="D1579" s="62"/>
    </row>
    <row r="1580" spans="2:4" x14ac:dyDescent="0.25">
      <c r="B1580" s="62"/>
      <c r="C1580" s="62"/>
      <c r="D1580" s="62"/>
    </row>
    <row r="1581" spans="2:4" x14ac:dyDescent="0.25">
      <c r="B1581" s="62"/>
      <c r="C1581" s="62"/>
      <c r="D1581" s="62"/>
    </row>
    <row r="1582" spans="2:4" x14ac:dyDescent="0.25">
      <c r="B1582" s="62"/>
      <c r="C1582" s="62"/>
      <c r="D1582" s="62"/>
    </row>
    <row r="1583" spans="2:4" x14ac:dyDescent="0.25">
      <c r="B1583" s="62"/>
      <c r="C1583" s="62"/>
      <c r="D1583" s="62"/>
    </row>
    <row r="1584" spans="2:4" x14ac:dyDescent="0.25">
      <c r="B1584" s="62"/>
      <c r="C1584" s="62"/>
      <c r="D1584" s="62"/>
    </row>
    <row r="1585" spans="2:4" x14ac:dyDescent="0.25">
      <c r="B1585" s="62"/>
      <c r="C1585" s="62"/>
      <c r="D1585" s="62"/>
    </row>
    <row r="1586" spans="2:4" x14ac:dyDescent="0.25">
      <c r="B1586" s="62"/>
      <c r="C1586" s="62"/>
      <c r="D1586" s="62"/>
    </row>
    <row r="1587" spans="2:4" x14ac:dyDescent="0.25">
      <c r="B1587" s="62"/>
      <c r="C1587" s="62"/>
      <c r="D1587" s="62"/>
    </row>
    <row r="1588" spans="2:4" x14ac:dyDescent="0.25">
      <c r="B1588" s="62"/>
      <c r="C1588" s="62"/>
      <c r="D1588" s="62"/>
    </row>
    <row r="1589" spans="2:4" x14ac:dyDescent="0.25">
      <c r="B1589" s="62"/>
      <c r="C1589" s="62"/>
      <c r="D1589" s="62"/>
    </row>
    <row r="1590" spans="2:4" x14ac:dyDescent="0.25">
      <c r="B1590" s="62"/>
      <c r="C1590" s="62"/>
      <c r="D1590" s="62"/>
    </row>
    <row r="1591" spans="2:4" x14ac:dyDescent="0.25">
      <c r="B1591" s="62"/>
      <c r="C1591" s="62"/>
      <c r="D1591" s="62"/>
    </row>
    <row r="1592" spans="2:4" x14ac:dyDescent="0.25">
      <c r="B1592" s="62"/>
      <c r="C1592" s="62"/>
      <c r="D1592" s="62"/>
    </row>
    <row r="1593" spans="2:4" x14ac:dyDescent="0.25">
      <c r="B1593" s="62"/>
      <c r="C1593" s="62"/>
      <c r="D1593" s="62"/>
    </row>
    <row r="1594" spans="2:4" x14ac:dyDescent="0.25">
      <c r="B1594" s="62"/>
      <c r="C1594" s="62"/>
      <c r="D1594" s="62"/>
    </row>
    <row r="1595" spans="2:4" x14ac:dyDescent="0.25">
      <c r="B1595" s="62"/>
      <c r="C1595" s="62"/>
      <c r="D1595" s="62"/>
    </row>
    <row r="1596" spans="2:4" x14ac:dyDescent="0.25">
      <c r="B1596" s="62"/>
      <c r="C1596" s="62"/>
      <c r="D1596" s="62"/>
    </row>
    <row r="1597" spans="2:4" x14ac:dyDescent="0.25">
      <c r="B1597" s="62"/>
      <c r="C1597" s="62"/>
      <c r="D1597" s="62"/>
    </row>
    <row r="1598" spans="2:4" x14ac:dyDescent="0.25">
      <c r="B1598" s="62"/>
      <c r="C1598" s="62"/>
      <c r="D1598" s="62"/>
    </row>
    <row r="1599" spans="2:4" x14ac:dyDescent="0.25">
      <c r="B1599" s="62"/>
      <c r="C1599" s="62"/>
      <c r="D1599" s="62"/>
    </row>
    <row r="1600" spans="2:4" x14ac:dyDescent="0.25">
      <c r="B1600" s="62"/>
      <c r="C1600" s="62"/>
      <c r="D1600" s="62"/>
    </row>
    <row r="1601" spans="2:4" x14ac:dyDescent="0.25">
      <c r="B1601" s="62"/>
      <c r="C1601" s="62"/>
      <c r="D1601" s="62"/>
    </row>
    <row r="1602" spans="2:4" x14ac:dyDescent="0.25">
      <c r="B1602" s="62"/>
      <c r="C1602" s="62"/>
      <c r="D1602" s="62"/>
    </row>
    <row r="1603" spans="2:4" x14ac:dyDescent="0.25">
      <c r="B1603" s="62"/>
      <c r="C1603" s="62"/>
      <c r="D1603" s="62"/>
    </row>
    <row r="1604" spans="2:4" x14ac:dyDescent="0.25">
      <c r="B1604" s="62"/>
      <c r="C1604" s="62"/>
      <c r="D1604" s="62"/>
    </row>
    <row r="1605" spans="2:4" x14ac:dyDescent="0.25">
      <c r="B1605" s="62"/>
      <c r="C1605" s="62"/>
      <c r="D1605" s="62"/>
    </row>
    <row r="1606" spans="2:4" x14ac:dyDescent="0.25">
      <c r="B1606" s="62"/>
      <c r="C1606" s="62"/>
      <c r="D1606" s="62"/>
    </row>
    <row r="1607" spans="2:4" x14ac:dyDescent="0.25">
      <c r="B1607" s="62"/>
      <c r="C1607" s="62"/>
      <c r="D1607" s="62"/>
    </row>
    <row r="1608" spans="2:4" x14ac:dyDescent="0.25">
      <c r="B1608" s="62"/>
      <c r="C1608" s="62"/>
      <c r="D1608" s="62"/>
    </row>
    <row r="1609" spans="2:4" x14ac:dyDescent="0.25">
      <c r="B1609" s="62"/>
      <c r="C1609" s="62"/>
      <c r="D1609" s="62"/>
    </row>
    <row r="1610" spans="2:4" x14ac:dyDescent="0.25">
      <c r="B1610" s="62"/>
      <c r="C1610" s="62"/>
      <c r="D1610" s="62"/>
    </row>
    <row r="1611" spans="2:4" x14ac:dyDescent="0.25">
      <c r="B1611" s="62"/>
      <c r="C1611" s="62"/>
      <c r="D1611" s="62"/>
    </row>
    <row r="1612" spans="2:4" x14ac:dyDescent="0.25">
      <c r="B1612" s="62"/>
      <c r="C1612" s="62"/>
      <c r="D1612" s="62"/>
    </row>
    <row r="1613" spans="2:4" x14ac:dyDescent="0.25">
      <c r="B1613" s="62"/>
      <c r="C1613" s="62"/>
      <c r="D1613" s="62"/>
    </row>
    <row r="1614" spans="2:4" x14ac:dyDescent="0.25">
      <c r="B1614" s="62"/>
      <c r="C1614" s="62"/>
      <c r="D1614" s="62"/>
    </row>
    <row r="1615" spans="2:4" x14ac:dyDescent="0.25">
      <c r="B1615" s="62"/>
      <c r="C1615" s="62"/>
      <c r="D1615" s="62"/>
    </row>
    <row r="1616" spans="2:4" x14ac:dyDescent="0.25">
      <c r="B1616" s="62"/>
      <c r="C1616" s="62"/>
      <c r="D1616" s="62"/>
    </row>
    <row r="1617" spans="2:4" x14ac:dyDescent="0.25">
      <c r="B1617" s="62"/>
      <c r="C1617" s="62"/>
      <c r="D1617" s="62"/>
    </row>
    <row r="1618" spans="2:4" x14ac:dyDescent="0.25">
      <c r="B1618" s="62"/>
      <c r="C1618" s="62"/>
      <c r="D1618" s="62"/>
    </row>
    <row r="1619" spans="2:4" x14ac:dyDescent="0.25">
      <c r="B1619" s="62"/>
      <c r="C1619" s="62"/>
      <c r="D1619" s="62"/>
    </row>
    <row r="1620" spans="2:4" x14ac:dyDescent="0.25">
      <c r="B1620" s="62"/>
      <c r="C1620" s="62"/>
      <c r="D1620" s="62"/>
    </row>
    <row r="1621" spans="2:4" x14ac:dyDescent="0.25">
      <c r="B1621" s="62"/>
      <c r="C1621" s="62"/>
      <c r="D1621" s="62"/>
    </row>
    <row r="1622" spans="2:4" x14ac:dyDescent="0.25">
      <c r="B1622" s="62"/>
      <c r="C1622" s="62"/>
      <c r="D1622" s="62"/>
    </row>
    <row r="1623" spans="2:4" x14ac:dyDescent="0.25">
      <c r="B1623" s="62"/>
      <c r="C1623" s="62"/>
      <c r="D1623" s="62"/>
    </row>
    <row r="1624" spans="2:4" x14ac:dyDescent="0.25">
      <c r="B1624" s="62"/>
      <c r="C1624" s="62"/>
      <c r="D1624" s="62"/>
    </row>
    <row r="1625" spans="2:4" x14ac:dyDescent="0.25">
      <c r="B1625" s="62"/>
      <c r="C1625" s="62"/>
      <c r="D1625" s="62"/>
    </row>
    <row r="1626" spans="2:4" x14ac:dyDescent="0.25">
      <c r="B1626" s="62"/>
      <c r="C1626" s="62"/>
      <c r="D1626" s="62"/>
    </row>
    <row r="1627" spans="2:4" x14ac:dyDescent="0.25">
      <c r="B1627" s="62"/>
      <c r="C1627" s="62"/>
      <c r="D1627" s="62"/>
    </row>
    <row r="1628" spans="2:4" x14ac:dyDescent="0.25">
      <c r="B1628" s="62"/>
      <c r="C1628" s="62"/>
      <c r="D1628" s="62"/>
    </row>
    <row r="1629" spans="2:4" x14ac:dyDescent="0.25">
      <c r="B1629" s="62"/>
      <c r="C1629" s="62"/>
      <c r="D1629" s="62"/>
    </row>
    <row r="1630" spans="2:4" x14ac:dyDescent="0.25">
      <c r="B1630" s="62"/>
      <c r="C1630" s="62"/>
      <c r="D1630" s="62"/>
    </row>
    <row r="1631" spans="2:4" x14ac:dyDescent="0.25">
      <c r="B1631" s="62"/>
      <c r="C1631" s="62"/>
      <c r="D1631" s="62"/>
    </row>
    <row r="1632" spans="2:4" x14ac:dyDescent="0.25">
      <c r="B1632" s="62"/>
      <c r="C1632" s="62"/>
      <c r="D1632" s="62"/>
    </row>
    <row r="1633" spans="2:4" x14ac:dyDescent="0.25">
      <c r="B1633" s="62"/>
      <c r="C1633" s="62"/>
      <c r="D1633" s="62"/>
    </row>
    <row r="1634" spans="2:4" x14ac:dyDescent="0.25">
      <c r="B1634" s="62"/>
      <c r="C1634" s="62"/>
      <c r="D1634" s="62"/>
    </row>
    <row r="1635" spans="2:4" x14ac:dyDescent="0.25">
      <c r="B1635" s="62"/>
      <c r="C1635" s="62"/>
      <c r="D1635" s="62"/>
    </row>
    <row r="1636" spans="2:4" x14ac:dyDescent="0.25">
      <c r="B1636" s="62"/>
      <c r="C1636" s="62"/>
      <c r="D1636" s="62"/>
    </row>
    <row r="1637" spans="2:4" x14ac:dyDescent="0.25">
      <c r="B1637" s="62"/>
      <c r="C1637" s="62"/>
      <c r="D1637" s="62"/>
    </row>
    <row r="1638" spans="2:4" x14ac:dyDescent="0.25">
      <c r="B1638" s="62"/>
      <c r="C1638" s="62"/>
      <c r="D1638" s="62"/>
    </row>
    <row r="1639" spans="2:4" x14ac:dyDescent="0.25">
      <c r="B1639" s="62"/>
      <c r="C1639" s="62"/>
      <c r="D1639" s="62"/>
    </row>
    <row r="1640" spans="2:4" x14ac:dyDescent="0.25">
      <c r="B1640" s="62"/>
      <c r="C1640" s="62"/>
      <c r="D1640" s="62"/>
    </row>
    <row r="1641" spans="2:4" x14ac:dyDescent="0.25">
      <c r="B1641" s="62"/>
      <c r="C1641" s="62"/>
      <c r="D1641" s="62"/>
    </row>
    <row r="1642" spans="2:4" x14ac:dyDescent="0.25">
      <c r="B1642" s="62"/>
      <c r="C1642" s="62"/>
      <c r="D1642" s="62"/>
    </row>
    <row r="1643" spans="2:4" x14ac:dyDescent="0.25">
      <c r="B1643" s="62"/>
      <c r="C1643" s="62"/>
      <c r="D1643" s="62"/>
    </row>
    <row r="1644" spans="2:4" x14ac:dyDescent="0.25">
      <c r="B1644" s="62"/>
      <c r="C1644" s="62"/>
      <c r="D1644" s="62"/>
    </row>
    <row r="1645" spans="2:4" x14ac:dyDescent="0.25">
      <c r="B1645" s="62"/>
      <c r="C1645" s="62"/>
      <c r="D1645" s="62"/>
    </row>
    <row r="1646" spans="2:4" x14ac:dyDescent="0.25">
      <c r="B1646" s="62"/>
      <c r="C1646" s="62"/>
      <c r="D1646" s="62"/>
    </row>
    <row r="1647" spans="2:4" x14ac:dyDescent="0.25">
      <c r="B1647" s="62"/>
      <c r="C1647" s="62"/>
      <c r="D1647" s="62"/>
    </row>
    <row r="1648" spans="2:4" x14ac:dyDescent="0.25">
      <c r="B1648" s="62"/>
      <c r="C1648" s="62"/>
      <c r="D1648" s="62"/>
    </row>
    <row r="1649" spans="2:4" x14ac:dyDescent="0.25">
      <c r="B1649" s="62"/>
      <c r="C1649" s="62"/>
      <c r="D1649" s="62"/>
    </row>
    <row r="1650" spans="2:4" x14ac:dyDescent="0.25">
      <c r="B1650" s="62"/>
      <c r="C1650" s="62"/>
      <c r="D1650" s="62"/>
    </row>
    <row r="1651" spans="2:4" x14ac:dyDescent="0.25">
      <c r="B1651" s="62"/>
      <c r="C1651" s="62"/>
      <c r="D1651" s="62"/>
    </row>
    <row r="1652" spans="2:4" x14ac:dyDescent="0.25">
      <c r="B1652" s="62"/>
      <c r="C1652" s="62"/>
      <c r="D1652" s="62"/>
    </row>
    <row r="1653" spans="2:4" x14ac:dyDescent="0.25">
      <c r="B1653" s="62"/>
      <c r="C1653" s="62"/>
      <c r="D1653" s="62"/>
    </row>
    <row r="1654" spans="2:4" x14ac:dyDescent="0.25">
      <c r="B1654" s="62"/>
      <c r="C1654" s="62"/>
      <c r="D1654" s="62"/>
    </row>
    <row r="1655" spans="2:4" x14ac:dyDescent="0.25">
      <c r="B1655" s="62"/>
      <c r="C1655" s="62"/>
      <c r="D1655" s="62"/>
    </row>
    <row r="1656" spans="2:4" x14ac:dyDescent="0.25">
      <c r="B1656" s="62"/>
      <c r="C1656" s="62"/>
      <c r="D1656" s="62"/>
    </row>
    <row r="1657" spans="2:4" x14ac:dyDescent="0.25">
      <c r="B1657" s="62"/>
      <c r="C1657" s="62"/>
      <c r="D1657" s="62"/>
    </row>
    <row r="1658" spans="2:4" x14ac:dyDescent="0.25">
      <c r="B1658" s="62"/>
      <c r="C1658" s="62"/>
      <c r="D1658" s="62"/>
    </row>
    <row r="1659" spans="2:4" x14ac:dyDescent="0.25">
      <c r="B1659" s="62"/>
      <c r="C1659" s="62"/>
      <c r="D1659" s="62"/>
    </row>
    <row r="1660" spans="2:4" x14ac:dyDescent="0.25">
      <c r="B1660" s="62"/>
      <c r="C1660" s="62"/>
      <c r="D1660" s="62"/>
    </row>
    <row r="1661" spans="2:4" x14ac:dyDescent="0.25">
      <c r="B1661" s="62"/>
      <c r="C1661" s="62"/>
      <c r="D1661" s="62"/>
    </row>
    <row r="1662" spans="2:4" x14ac:dyDescent="0.25">
      <c r="B1662" s="62"/>
      <c r="C1662" s="62"/>
      <c r="D1662" s="62"/>
    </row>
    <row r="1663" spans="2:4" x14ac:dyDescent="0.25">
      <c r="B1663" s="62"/>
      <c r="C1663" s="62"/>
      <c r="D1663" s="62"/>
    </row>
    <row r="1664" spans="2:4" x14ac:dyDescent="0.25">
      <c r="B1664" s="62"/>
      <c r="C1664" s="62"/>
      <c r="D1664" s="62"/>
    </row>
    <row r="1665" spans="2:4" x14ac:dyDescent="0.25">
      <c r="B1665" s="62"/>
      <c r="C1665" s="62"/>
      <c r="D1665" s="62"/>
    </row>
    <row r="1666" spans="2:4" x14ac:dyDescent="0.25">
      <c r="B1666" s="62"/>
      <c r="C1666" s="62"/>
      <c r="D1666" s="62"/>
    </row>
    <row r="1667" spans="2:4" x14ac:dyDescent="0.25">
      <c r="B1667" s="62"/>
      <c r="C1667" s="62"/>
      <c r="D1667" s="62"/>
    </row>
    <row r="1668" spans="2:4" x14ac:dyDescent="0.25">
      <c r="B1668" s="62"/>
      <c r="C1668" s="62"/>
      <c r="D1668" s="62"/>
    </row>
    <row r="1669" spans="2:4" x14ac:dyDescent="0.25">
      <c r="B1669" s="62"/>
      <c r="C1669" s="62"/>
      <c r="D1669" s="62"/>
    </row>
    <row r="1670" spans="2:4" x14ac:dyDescent="0.25">
      <c r="B1670" s="62"/>
      <c r="C1670" s="62"/>
      <c r="D1670" s="62"/>
    </row>
    <row r="1671" spans="2:4" x14ac:dyDescent="0.25">
      <c r="B1671" s="62"/>
      <c r="C1671" s="62"/>
      <c r="D1671" s="62"/>
    </row>
    <row r="1672" spans="2:4" x14ac:dyDescent="0.25">
      <c r="B1672" s="62"/>
      <c r="C1672" s="62"/>
      <c r="D1672" s="62"/>
    </row>
    <row r="1673" spans="2:4" x14ac:dyDescent="0.25">
      <c r="B1673" s="62"/>
      <c r="C1673" s="62"/>
      <c r="D1673" s="62"/>
    </row>
    <row r="1674" spans="2:4" x14ac:dyDescent="0.25">
      <c r="B1674" s="62"/>
      <c r="C1674" s="62"/>
      <c r="D1674" s="62"/>
    </row>
    <row r="1675" spans="2:4" x14ac:dyDescent="0.25">
      <c r="B1675" s="62"/>
      <c r="C1675" s="62"/>
      <c r="D1675" s="62"/>
    </row>
    <row r="1676" spans="2:4" x14ac:dyDescent="0.25">
      <c r="B1676" s="62"/>
      <c r="C1676" s="62"/>
      <c r="D1676" s="62"/>
    </row>
    <row r="1677" spans="2:4" x14ac:dyDescent="0.25">
      <c r="B1677" s="62"/>
      <c r="C1677" s="62"/>
      <c r="D1677" s="62"/>
    </row>
    <row r="1678" spans="2:4" x14ac:dyDescent="0.25">
      <c r="B1678" s="62"/>
      <c r="C1678" s="62"/>
      <c r="D1678" s="62"/>
    </row>
    <row r="1679" spans="2:4" x14ac:dyDescent="0.25">
      <c r="B1679" s="62"/>
      <c r="C1679" s="62"/>
      <c r="D1679" s="62"/>
    </row>
    <row r="1680" spans="2:4" x14ac:dyDescent="0.25">
      <c r="B1680" s="62"/>
      <c r="C1680" s="62"/>
      <c r="D1680" s="62"/>
    </row>
    <row r="1681" spans="2:4" x14ac:dyDescent="0.25">
      <c r="B1681" s="62"/>
      <c r="C1681" s="62"/>
      <c r="D1681" s="62"/>
    </row>
    <row r="1682" spans="2:4" x14ac:dyDescent="0.25">
      <c r="B1682" s="62"/>
      <c r="C1682" s="62"/>
      <c r="D1682" s="62"/>
    </row>
    <row r="1683" spans="2:4" x14ac:dyDescent="0.25">
      <c r="B1683" s="62"/>
      <c r="C1683" s="62"/>
      <c r="D1683" s="62"/>
    </row>
    <row r="1684" spans="2:4" x14ac:dyDescent="0.25">
      <c r="B1684" s="62"/>
      <c r="C1684" s="62"/>
      <c r="D1684" s="62"/>
    </row>
    <row r="1685" spans="2:4" x14ac:dyDescent="0.25">
      <c r="B1685" s="62"/>
      <c r="C1685" s="62"/>
      <c r="D1685" s="62"/>
    </row>
    <row r="1686" spans="2:4" x14ac:dyDescent="0.25">
      <c r="B1686" s="62"/>
      <c r="C1686" s="62"/>
      <c r="D1686" s="62"/>
    </row>
    <row r="1687" spans="2:4" x14ac:dyDescent="0.25">
      <c r="B1687" s="62"/>
      <c r="C1687" s="62"/>
      <c r="D1687" s="62"/>
    </row>
    <row r="1688" spans="2:4" x14ac:dyDescent="0.25">
      <c r="B1688" s="62"/>
      <c r="C1688" s="62"/>
      <c r="D1688" s="62"/>
    </row>
    <row r="1689" spans="2:4" x14ac:dyDescent="0.25">
      <c r="B1689" s="62"/>
      <c r="C1689" s="62"/>
      <c r="D1689" s="62"/>
    </row>
    <row r="1690" spans="2:4" x14ac:dyDescent="0.25">
      <c r="B1690" s="62"/>
      <c r="C1690" s="62"/>
      <c r="D1690" s="62"/>
    </row>
    <row r="1691" spans="2:4" x14ac:dyDescent="0.25">
      <c r="B1691" s="62"/>
      <c r="C1691" s="62"/>
      <c r="D1691" s="62"/>
    </row>
    <row r="1692" spans="2:4" x14ac:dyDescent="0.25">
      <c r="B1692" s="62"/>
      <c r="C1692" s="62"/>
      <c r="D1692" s="62"/>
    </row>
    <row r="1693" spans="2:4" x14ac:dyDescent="0.25">
      <c r="B1693" s="62"/>
      <c r="C1693" s="62"/>
      <c r="D1693" s="62"/>
    </row>
    <row r="1694" spans="2:4" x14ac:dyDescent="0.25">
      <c r="B1694" s="62"/>
      <c r="C1694" s="62"/>
      <c r="D1694" s="62"/>
    </row>
    <row r="1695" spans="2:4" x14ac:dyDescent="0.25">
      <c r="B1695" s="62"/>
      <c r="C1695" s="62"/>
      <c r="D1695" s="62"/>
    </row>
    <row r="1696" spans="2:4" x14ac:dyDescent="0.25">
      <c r="B1696" s="62"/>
      <c r="C1696" s="62"/>
      <c r="D1696" s="62"/>
    </row>
    <row r="1697" spans="2:4" x14ac:dyDescent="0.25">
      <c r="B1697" s="62"/>
      <c r="C1697" s="62"/>
      <c r="D1697" s="62"/>
    </row>
    <row r="1698" spans="2:4" x14ac:dyDescent="0.25">
      <c r="B1698" s="62"/>
      <c r="C1698" s="62"/>
      <c r="D1698" s="62"/>
    </row>
    <row r="1699" spans="2:4" x14ac:dyDescent="0.25">
      <c r="B1699" s="62"/>
      <c r="C1699" s="62"/>
      <c r="D1699" s="62"/>
    </row>
    <row r="1700" spans="2:4" x14ac:dyDescent="0.25">
      <c r="B1700" s="62"/>
      <c r="C1700" s="62"/>
      <c r="D1700" s="62"/>
    </row>
    <row r="1701" spans="2:4" x14ac:dyDescent="0.25">
      <c r="B1701" s="62"/>
      <c r="C1701" s="62"/>
      <c r="D1701" s="62"/>
    </row>
    <row r="1702" spans="2:4" x14ac:dyDescent="0.25">
      <c r="B1702" s="62"/>
      <c r="C1702" s="62"/>
      <c r="D1702" s="62"/>
    </row>
    <row r="1703" spans="2:4" x14ac:dyDescent="0.25">
      <c r="B1703" s="62"/>
      <c r="C1703" s="62"/>
      <c r="D1703" s="62"/>
    </row>
    <row r="1704" spans="2:4" x14ac:dyDescent="0.25">
      <c r="B1704" s="62"/>
      <c r="C1704" s="62"/>
      <c r="D1704" s="62"/>
    </row>
    <row r="1705" spans="2:4" x14ac:dyDescent="0.25">
      <c r="B1705" s="62"/>
      <c r="C1705" s="62"/>
      <c r="D1705" s="62"/>
    </row>
    <row r="1706" spans="2:4" x14ac:dyDescent="0.25">
      <c r="B1706" s="62"/>
      <c r="C1706" s="62"/>
      <c r="D1706" s="62"/>
    </row>
    <row r="1707" spans="2:4" x14ac:dyDescent="0.25">
      <c r="B1707" s="62"/>
      <c r="C1707" s="62"/>
      <c r="D1707" s="62"/>
    </row>
    <row r="1708" spans="2:4" x14ac:dyDescent="0.25">
      <c r="B1708" s="62"/>
      <c r="C1708" s="62"/>
      <c r="D1708" s="62"/>
    </row>
    <row r="1709" spans="2:4" x14ac:dyDescent="0.25">
      <c r="B1709" s="62"/>
      <c r="C1709" s="62"/>
      <c r="D1709" s="62"/>
    </row>
    <row r="1710" spans="2:4" x14ac:dyDescent="0.25">
      <c r="B1710" s="62"/>
      <c r="C1710" s="62"/>
      <c r="D1710" s="62"/>
    </row>
    <row r="1711" spans="2:4" x14ac:dyDescent="0.25">
      <c r="B1711" s="62"/>
      <c r="C1711" s="62"/>
      <c r="D1711" s="62"/>
    </row>
    <row r="1712" spans="2:4" x14ac:dyDescent="0.25">
      <c r="B1712" s="62"/>
      <c r="C1712" s="62"/>
      <c r="D1712" s="62"/>
    </row>
    <row r="1713" spans="2:4" x14ac:dyDescent="0.25">
      <c r="B1713" s="62"/>
      <c r="C1713" s="62"/>
      <c r="D1713" s="62"/>
    </row>
    <row r="1714" spans="2:4" x14ac:dyDescent="0.25">
      <c r="B1714" s="62"/>
      <c r="C1714" s="62"/>
      <c r="D1714" s="62"/>
    </row>
    <row r="1715" spans="2:4" x14ac:dyDescent="0.25">
      <c r="B1715" s="62"/>
      <c r="C1715" s="62"/>
      <c r="D1715" s="62"/>
    </row>
    <row r="1716" spans="2:4" x14ac:dyDescent="0.25">
      <c r="B1716" s="62"/>
      <c r="C1716" s="62"/>
      <c r="D1716" s="62"/>
    </row>
    <row r="1717" spans="2:4" x14ac:dyDescent="0.25">
      <c r="B1717" s="62"/>
      <c r="C1717" s="62"/>
      <c r="D1717" s="62"/>
    </row>
    <row r="1718" spans="2:4" x14ac:dyDescent="0.25">
      <c r="B1718" s="62"/>
      <c r="C1718" s="62"/>
      <c r="D1718" s="62"/>
    </row>
    <row r="1719" spans="2:4" x14ac:dyDescent="0.25">
      <c r="B1719" s="62"/>
      <c r="C1719" s="62"/>
      <c r="D1719" s="62"/>
    </row>
    <row r="1720" spans="2:4" x14ac:dyDescent="0.25">
      <c r="B1720" s="62"/>
      <c r="C1720" s="62"/>
      <c r="D1720" s="62"/>
    </row>
    <row r="1721" spans="2:4" x14ac:dyDescent="0.25">
      <c r="B1721" s="62"/>
      <c r="C1721" s="62"/>
      <c r="D1721" s="62"/>
    </row>
    <row r="1722" spans="2:4" x14ac:dyDescent="0.25">
      <c r="B1722" s="62"/>
      <c r="C1722" s="62"/>
      <c r="D1722" s="62"/>
    </row>
    <row r="1723" spans="2:4" x14ac:dyDescent="0.25">
      <c r="B1723" s="62"/>
      <c r="C1723" s="62"/>
      <c r="D1723" s="62"/>
    </row>
    <row r="1724" spans="2:4" x14ac:dyDescent="0.25">
      <c r="B1724" s="62"/>
      <c r="C1724" s="62"/>
      <c r="D1724" s="62"/>
    </row>
    <row r="1725" spans="2:4" x14ac:dyDescent="0.25">
      <c r="B1725" s="62"/>
      <c r="C1725" s="62"/>
      <c r="D1725" s="62"/>
    </row>
    <row r="1726" spans="2:4" x14ac:dyDescent="0.25">
      <c r="B1726" s="62"/>
      <c r="C1726" s="62"/>
      <c r="D1726" s="62"/>
    </row>
    <row r="1727" spans="2:4" x14ac:dyDescent="0.25">
      <c r="B1727" s="62"/>
      <c r="C1727" s="62"/>
      <c r="D1727" s="62"/>
    </row>
    <row r="1728" spans="2:4" x14ac:dyDescent="0.25">
      <c r="B1728" s="62"/>
      <c r="C1728" s="62"/>
      <c r="D1728" s="62"/>
    </row>
    <row r="1729" spans="2:4" x14ac:dyDescent="0.25">
      <c r="B1729" s="62"/>
      <c r="C1729" s="62"/>
      <c r="D1729" s="62"/>
    </row>
    <row r="1730" spans="2:4" x14ac:dyDescent="0.25">
      <c r="B1730" s="62"/>
      <c r="C1730" s="62"/>
      <c r="D1730" s="62"/>
    </row>
    <row r="1731" spans="2:4" x14ac:dyDescent="0.25">
      <c r="B1731" s="62"/>
      <c r="C1731" s="62"/>
      <c r="D1731" s="62"/>
    </row>
    <row r="1732" spans="2:4" x14ac:dyDescent="0.25">
      <c r="B1732" s="62"/>
      <c r="C1732" s="62"/>
      <c r="D1732" s="62"/>
    </row>
    <row r="1733" spans="2:4" x14ac:dyDescent="0.25">
      <c r="B1733" s="62"/>
      <c r="C1733" s="62"/>
      <c r="D1733" s="62"/>
    </row>
    <row r="1734" spans="2:4" x14ac:dyDescent="0.25">
      <c r="B1734" s="62"/>
      <c r="C1734" s="62"/>
      <c r="D1734" s="62"/>
    </row>
    <row r="1735" spans="2:4" x14ac:dyDescent="0.25">
      <c r="B1735" s="62"/>
      <c r="C1735" s="62"/>
      <c r="D1735" s="62"/>
    </row>
    <row r="1736" spans="2:4" x14ac:dyDescent="0.25">
      <c r="B1736" s="62"/>
      <c r="C1736" s="62"/>
      <c r="D1736" s="62"/>
    </row>
    <row r="1737" spans="2:4" x14ac:dyDescent="0.25">
      <c r="B1737" s="62"/>
      <c r="C1737" s="62"/>
      <c r="D1737" s="62"/>
    </row>
    <row r="1738" spans="2:4" x14ac:dyDescent="0.25">
      <c r="B1738" s="62"/>
      <c r="C1738" s="62"/>
      <c r="D1738" s="62"/>
    </row>
    <row r="1739" spans="2:4" x14ac:dyDescent="0.25">
      <c r="B1739" s="62"/>
      <c r="C1739" s="62"/>
      <c r="D1739" s="62"/>
    </row>
    <row r="1740" spans="2:4" x14ac:dyDescent="0.25">
      <c r="B1740" s="62"/>
      <c r="C1740" s="62"/>
      <c r="D1740" s="62"/>
    </row>
    <row r="1741" spans="2:4" x14ac:dyDescent="0.25">
      <c r="B1741" s="62"/>
      <c r="C1741" s="62"/>
      <c r="D1741" s="62"/>
    </row>
    <row r="1742" spans="2:4" x14ac:dyDescent="0.25">
      <c r="B1742" s="62"/>
      <c r="C1742" s="62"/>
      <c r="D1742" s="62"/>
    </row>
    <row r="1743" spans="2:4" x14ac:dyDescent="0.25">
      <c r="B1743" s="62"/>
      <c r="C1743" s="62"/>
      <c r="D1743" s="62"/>
    </row>
    <row r="1744" spans="2:4" x14ac:dyDescent="0.25">
      <c r="B1744" s="62"/>
      <c r="C1744" s="62"/>
      <c r="D1744" s="62"/>
    </row>
    <row r="1745" spans="2:4" x14ac:dyDescent="0.25">
      <c r="B1745" s="62"/>
      <c r="C1745" s="62"/>
      <c r="D1745" s="62"/>
    </row>
    <row r="1746" spans="2:4" x14ac:dyDescent="0.25">
      <c r="B1746" s="62"/>
      <c r="C1746" s="62"/>
      <c r="D1746" s="62"/>
    </row>
    <row r="1747" spans="2:4" x14ac:dyDescent="0.25">
      <c r="B1747" s="62"/>
      <c r="C1747" s="62"/>
      <c r="D1747" s="62"/>
    </row>
    <row r="1748" spans="2:4" x14ac:dyDescent="0.25">
      <c r="B1748" s="62"/>
      <c r="C1748" s="62"/>
      <c r="D1748" s="62"/>
    </row>
    <row r="1749" spans="2:4" x14ac:dyDescent="0.25">
      <c r="B1749" s="62"/>
      <c r="C1749" s="62"/>
      <c r="D1749" s="62"/>
    </row>
    <row r="1750" spans="2:4" x14ac:dyDescent="0.25">
      <c r="B1750" s="62"/>
      <c r="C1750" s="62"/>
      <c r="D1750" s="62"/>
    </row>
    <row r="1751" spans="2:4" x14ac:dyDescent="0.25">
      <c r="B1751" s="62"/>
      <c r="C1751" s="62"/>
      <c r="D1751" s="62"/>
    </row>
    <row r="1752" spans="2:4" x14ac:dyDescent="0.25">
      <c r="B1752" s="62"/>
      <c r="C1752" s="62"/>
      <c r="D1752" s="62"/>
    </row>
    <row r="1753" spans="2:4" x14ac:dyDescent="0.25">
      <c r="B1753" s="62"/>
      <c r="C1753" s="62"/>
      <c r="D1753" s="62"/>
    </row>
    <row r="1754" spans="2:4" x14ac:dyDescent="0.25">
      <c r="B1754" s="62"/>
      <c r="C1754" s="62"/>
      <c r="D1754" s="62"/>
    </row>
    <row r="1755" spans="2:4" x14ac:dyDescent="0.25">
      <c r="B1755" s="62"/>
      <c r="C1755" s="62"/>
      <c r="D1755" s="62"/>
    </row>
    <row r="1756" spans="2:4" x14ac:dyDescent="0.25">
      <c r="B1756" s="62"/>
      <c r="C1756" s="62"/>
      <c r="D1756" s="62"/>
    </row>
    <row r="1757" spans="2:4" x14ac:dyDescent="0.25">
      <c r="B1757" s="62"/>
      <c r="C1757" s="62"/>
      <c r="D1757" s="62"/>
    </row>
    <row r="1758" spans="2:4" x14ac:dyDescent="0.25">
      <c r="B1758" s="62"/>
      <c r="C1758" s="62"/>
      <c r="D1758" s="62"/>
    </row>
    <row r="1759" spans="2:4" x14ac:dyDescent="0.25">
      <c r="B1759" s="62"/>
      <c r="C1759" s="62"/>
      <c r="D1759" s="62"/>
    </row>
    <row r="1760" spans="2:4" x14ac:dyDescent="0.25">
      <c r="B1760" s="62"/>
      <c r="C1760" s="62"/>
      <c r="D1760" s="62"/>
    </row>
    <row r="1761" spans="2:4" x14ac:dyDescent="0.25">
      <c r="B1761" s="62"/>
      <c r="C1761" s="62"/>
      <c r="D1761" s="62"/>
    </row>
    <row r="1762" spans="2:4" x14ac:dyDescent="0.25">
      <c r="B1762" s="62"/>
      <c r="C1762" s="62"/>
      <c r="D1762" s="62"/>
    </row>
    <row r="1763" spans="2:4" x14ac:dyDescent="0.25">
      <c r="B1763" s="62"/>
      <c r="C1763" s="62"/>
      <c r="D1763" s="62"/>
    </row>
    <row r="1764" spans="2:4" x14ac:dyDescent="0.25">
      <c r="B1764" s="62"/>
      <c r="C1764" s="62"/>
      <c r="D1764" s="62"/>
    </row>
    <row r="1765" spans="2:4" x14ac:dyDescent="0.25">
      <c r="B1765" s="62"/>
      <c r="C1765" s="62"/>
      <c r="D1765" s="62"/>
    </row>
    <row r="1766" spans="2:4" x14ac:dyDescent="0.25">
      <c r="B1766" s="62"/>
      <c r="C1766" s="62"/>
      <c r="D1766" s="62"/>
    </row>
    <row r="1767" spans="2:4" x14ac:dyDescent="0.25">
      <c r="B1767" s="62"/>
      <c r="C1767" s="62"/>
      <c r="D1767" s="62"/>
    </row>
    <row r="1768" spans="2:4" x14ac:dyDescent="0.25">
      <c r="B1768" s="62"/>
      <c r="C1768" s="62"/>
      <c r="D1768" s="62"/>
    </row>
    <row r="1769" spans="2:4" x14ac:dyDescent="0.25">
      <c r="B1769" s="62"/>
      <c r="C1769" s="62"/>
      <c r="D1769" s="62"/>
    </row>
    <row r="1770" spans="2:4" x14ac:dyDescent="0.25">
      <c r="B1770" s="62"/>
      <c r="C1770" s="62"/>
      <c r="D1770" s="62"/>
    </row>
    <row r="1771" spans="2:4" x14ac:dyDescent="0.25">
      <c r="B1771" s="62"/>
      <c r="C1771" s="62"/>
      <c r="D1771" s="62"/>
    </row>
    <row r="1772" spans="2:4" x14ac:dyDescent="0.25">
      <c r="B1772" s="62"/>
      <c r="C1772" s="62"/>
      <c r="D1772" s="62"/>
    </row>
    <row r="1773" spans="2:4" x14ac:dyDescent="0.25">
      <c r="B1773" s="62"/>
      <c r="C1773" s="62"/>
      <c r="D1773" s="62"/>
    </row>
    <row r="1774" spans="2:4" x14ac:dyDescent="0.25">
      <c r="B1774" s="62"/>
      <c r="C1774" s="62"/>
      <c r="D1774" s="62"/>
    </row>
    <row r="1775" spans="2:4" x14ac:dyDescent="0.25">
      <c r="B1775" s="62"/>
      <c r="C1775" s="62"/>
      <c r="D1775" s="62"/>
    </row>
    <row r="1776" spans="2:4" x14ac:dyDescent="0.25">
      <c r="B1776" s="62"/>
      <c r="C1776" s="62"/>
      <c r="D1776" s="62"/>
    </row>
    <row r="1777" spans="2:4" x14ac:dyDescent="0.25">
      <c r="B1777" s="62"/>
      <c r="C1777" s="62"/>
      <c r="D1777" s="62"/>
    </row>
    <row r="1778" spans="2:4" x14ac:dyDescent="0.25">
      <c r="B1778" s="62"/>
      <c r="C1778" s="62"/>
      <c r="D1778" s="62"/>
    </row>
    <row r="1779" spans="2:4" x14ac:dyDescent="0.25">
      <c r="B1779" s="62"/>
      <c r="C1779" s="62"/>
      <c r="D1779" s="62"/>
    </row>
    <row r="1780" spans="2:4" x14ac:dyDescent="0.25">
      <c r="B1780" s="62"/>
      <c r="C1780" s="62"/>
      <c r="D1780" s="62"/>
    </row>
    <row r="1781" spans="2:4" x14ac:dyDescent="0.25">
      <c r="B1781" s="62"/>
      <c r="C1781" s="62"/>
      <c r="D1781" s="62"/>
    </row>
    <row r="1782" spans="2:4" x14ac:dyDescent="0.25">
      <c r="B1782" s="62"/>
      <c r="C1782" s="62"/>
      <c r="D1782" s="62"/>
    </row>
    <row r="1783" spans="2:4" x14ac:dyDescent="0.25">
      <c r="B1783" s="62"/>
      <c r="C1783" s="62"/>
      <c r="D1783" s="62"/>
    </row>
    <row r="1784" spans="2:4" x14ac:dyDescent="0.25">
      <c r="B1784" s="62"/>
      <c r="C1784" s="62"/>
      <c r="D1784" s="62"/>
    </row>
    <row r="1785" spans="2:4" x14ac:dyDescent="0.25">
      <c r="B1785" s="62"/>
      <c r="C1785" s="62"/>
      <c r="D1785" s="62"/>
    </row>
    <row r="1786" spans="2:4" x14ac:dyDescent="0.25">
      <c r="B1786" s="62"/>
      <c r="C1786" s="62"/>
      <c r="D1786" s="62"/>
    </row>
    <row r="1787" spans="2:4" x14ac:dyDescent="0.25">
      <c r="B1787" s="62"/>
      <c r="C1787" s="62"/>
      <c r="D1787" s="62"/>
    </row>
    <row r="1788" spans="2:4" x14ac:dyDescent="0.25">
      <c r="B1788" s="62"/>
      <c r="C1788" s="62"/>
      <c r="D1788" s="62"/>
    </row>
    <row r="1789" spans="2:4" x14ac:dyDescent="0.25">
      <c r="B1789" s="62"/>
      <c r="C1789" s="62"/>
      <c r="D1789" s="62"/>
    </row>
    <row r="1790" spans="2:4" x14ac:dyDescent="0.25">
      <c r="B1790" s="62"/>
      <c r="C1790" s="62"/>
      <c r="D1790" s="62"/>
    </row>
    <row r="1791" spans="2:4" x14ac:dyDescent="0.25">
      <c r="B1791" s="62"/>
      <c r="C1791" s="62"/>
      <c r="D1791" s="62"/>
    </row>
    <row r="1792" spans="2:4" x14ac:dyDescent="0.25">
      <c r="B1792" s="62"/>
      <c r="C1792" s="62"/>
      <c r="D1792" s="62"/>
    </row>
    <row r="1793" spans="2:4" x14ac:dyDescent="0.25">
      <c r="B1793" s="62"/>
      <c r="C1793" s="62"/>
      <c r="D1793" s="62"/>
    </row>
    <row r="1794" spans="2:4" x14ac:dyDescent="0.25">
      <c r="B1794" s="62"/>
      <c r="C1794" s="62"/>
      <c r="D1794" s="62"/>
    </row>
    <row r="1795" spans="2:4" x14ac:dyDescent="0.25">
      <c r="B1795" s="62"/>
      <c r="C1795" s="62"/>
      <c r="D1795" s="62"/>
    </row>
    <row r="1796" spans="2:4" x14ac:dyDescent="0.25">
      <c r="B1796" s="62"/>
      <c r="C1796" s="62"/>
      <c r="D1796" s="62"/>
    </row>
  </sheetData>
  <sortState xmlns:xlrd2="http://schemas.microsoft.com/office/spreadsheetml/2017/richdata2" ref="A15:BJ122">
    <sortCondition ref="BI15:BI122"/>
  </sortState>
  <conditionalFormatting sqref="B49:D352">
    <cfRule type="expression" dxfId="1" priority="5">
      <formula>INDIRECT("G" &amp; ROW())=1</formula>
    </cfRule>
  </conditionalFormatting>
  <conditionalFormatting sqref="B15:D48">
    <cfRule type="expression" dxfId="0" priority="4">
      <formula>INDIRECT("G" &amp; ROW())=1</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btnPDF">
          <controlPr defaultSize="0" autoLine="0" r:id="rId5">
            <anchor moveWithCells="1">
              <from>
                <xdr:col>16</xdr:col>
                <xdr:colOff>28575</xdr:colOff>
                <xdr:row>11</xdr:row>
                <xdr:rowOff>0</xdr:rowOff>
              </from>
              <to>
                <xdr:col>18</xdr:col>
                <xdr:colOff>352425</xdr:colOff>
                <xdr:row>12</xdr:row>
                <xdr:rowOff>104775</xdr:rowOff>
              </to>
            </anchor>
          </controlPr>
        </control>
      </mc:Choice>
      <mc:Fallback>
        <control shapeId="3074" r:id="rId4" name="btnPDF"/>
      </mc:Fallback>
    </mc:AlternateContent>
    <mc:AlternateContent xmlns:mc="http://schemas.openxmlformats.org/markup-compatibility/2006">
      <mc:Choice Requires="x14">
        <control shapeId="3075" r:id="rId6" name="btnBrowse">
          <controlPr defaultSize="0" autoLine="0" r:id="rId7">
            <anchor moveWithCells="1">
              <from>
                <xdr:col>10</xdr:col>
                <xdr:colOff>9525</xdr:colOff>
                <xdr:row>11</xdr:row>
                <xdr:rowOff>161925</xdr:rowOff>
              </from>
              <to>
                <xdr:col>10</xdr:col>
                <xdr:colOff>571500</xdr:colOff>
                <xdr:row>13</xdr:row>
                <xdr:rowOff>47625</xdr:rowOff>
              </to>
            </anchor>
          </controlPr>
        </control>
      </mc:Choice>
      <mc:Fallback>
        <control shapeId="3075" r:id="rId6" name="btnBrowse"/>
      </mc:Fallback>
    </mc:AlternateContent>
    <mc:AlternateContent xmlns:mc="http://schemas.openxmlformats.org/markup-compatibility/2006">
      <mc:Choice Requires="x14">
        <control shapeId="3076" r:id="rId8" name="btnExcel">
          <controlPr defaultSize="0" autoLine="0" r:id="rId9">
            <anchor moveWithCells="1">
              <from>
                <xdr:col>16</xdr:col>
                <xdr:colOff>28575</xdr:colOff>
                <xdr:row>12</xdr:row>
                <xdr:rowOff>76200</xdr:rowOff>
              </from>
              <to>
                <xdr:col>18</xdr:col>
                <xdr:colOff>352425</xdr:colOff>
                <xdr:row>13</xdr:row>
                <xdr:rowOff>161925</xdr:rowOff>
              </to>
            </anchor>
          </controlPr>
        </control>
      </mc:Choice>
      <mc:Fallback>
        <control shapeId="3076" r:id="rId8" name="btnExcel"/>
      </mc:Fallback>
    </mc:AlternateContent>
    <mc:AlternateContent xmlns:mc="http://schemas.openxmlformats.org/markup-compatibility/2006">
      <mc:Choice Requires="x14">
        <control shapeId="3077" r:id="rId10" name="btnReport1">
          <controlPr defaultSize="0" autoLine="0" r:id="rId11">
            <anchor moveWithCells="1">
              <from>
                <xdr:col>5</xdr:col>
                <xdr:colOff>285750</xdr:colOff>
                <xdr:row>11</xdr:row>
                <xdr:rowOff>47625</xdr:rowOff>
              </from>
              <to>
                <xdr:col>7</xdr:col>
                <xdr:colOff>657225</xdr:colOff>
                <xdr:row>14</xdr:row>
                <xdr:rowOff>47625</xdr:rowOff>
              </to>
            </anchor>
          </controlPr>
        </control>
      </mc:Choice>
      <mc:Fallback>
        <control shapeId="3077" r:id="rId10" name="btnReport1"/>
      </mc:Fallback>
    </mc:AlternateContent>
    <mc:AlternateContent xmlns:mc="http://schemas.openxmlformats.org/markup-compatibility/2006">
      <mc:Choice Requires="x14">
        <control shapeId="3078" r:id="rId12" name="CommandButton1">
          <controlPr autoLine="0" r:id="rId13">
            <anchor moveWithCells="1">
              <from>
                <xdr:col>3</xdr:col>
                <xdr:colOff>390525</xdr:colOff>
                <xdr:row>9</xdr:row>
                <xdr:rowOff>152400</xdr:rowOff>
              </from>
              <to>
                <xdr:col>6</xdr:col>
                <xdr:colOff>66675</xdr:colOff>
                <xdr:row>11</xdr:row>
                <xdr:rowOff>152400</xdr:rowOff>
              </to>
            </anchor>
          </controlPr>
        </control>
      </mc:Choice>
      <mc:Fallback>
        <control shapeId="3078" r:id="rId12" name="CommandButton1"/>
      </mc:Fallback>
    </mc:AlternateContent>
    <mc:AlternateContent xmlns:mc="http://schemas.openxmlformats.org/markup-compatibility/2006">
      <mc:Choice Requires="x14">
        <control shapeId="3079" r:id="rId14" name="CommandButton2">
          <controlPr autoLine="0" r:id="rId15">
            <anchor moveWithCells="1">
              <from>
                <xdr:col>7</xdr:col>
                <xdr:colOff>676275</xdr:colOff>
                <xdr:row>11</xdr:row>
                <xdr:rowOff>152400</xdr:rowOff>
              </from>
              <to>
                <xdr:col>9</xdr:col>
                <xdr:colOff>514350</xdr:colOff>
                <xdr:row>13</xdr:row>
                <xdr:rowOff>85725</xdr:rowOff>
              </to>
            </anchor>
          </controlPr>
        </control>
      </mc:Choice>
      <mc:Fallback>
        <control shapeId="3079" r:id="rId14" name="CommandButton2"/>
      </mc:Fallback>
    </mc:AlternateContent>
    <mc:AlternateContent xmlns:mc="http://schemas.openxmlformats.org/markup-compatibility/2006">
      <mc:Choice Requires="x14">
        <control shapeId="3081" r:id="rId16" name="Button 9">
          <controlPr defaultSize="0" print="0" autoFill="0" autoPict="0" macro="[0]!CmdButton1">
            <anchor moveWithCells="1">
              <from>
                <xdr:col>3</xdr:col>
                <xdr:colOff>800100</xdr:colOff>
                <xdr:row>6</xdr:row>
                <xdr:rowOff>76200</xdr:rowOff>
              </from>
              <to>
                <xdr:col>4</xdr:col>
                <xdr:colOff>542925</xdr:colOff>
                <xdr:row>7</xdr:row>
                <xdr:rowOff>114300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3"/>
    <pageSetUpPr fitToPage="1"/>
  </sheetPr>
  <dimension ref="A1:AU71"/>
  <sheetViews>
    <sheetView tabSelected="1" workbookViewId="0">
      <pane ySplit="8" topLeftCell="A48" activePane="bottomLeft" state="frozen"/>
      <selection activeCell="G21" sqref="G21"/>
      <selection pane="bottomLeft" activeCell="Q60" sqref="Q60"/>
    </sheetView>
  </sheetViews>
  <sheetFormatPr defaultColWidth="9.140625" defaultRowHeight="15" x14ac:dyDescent="0.25"/>
  <cols>
    <col min="1" max="1" width="2.28515625" style="39" customWidth="1"/>
    <col min="2" max="2" width="12.5703125" style="1" bestFit="1" customWidth="1"/>
    <col min="3" max="3" width="10.7109375" style="1" bestFit="1" customWidth="1"/>
    <col min="4" max="4" width="16.5703125" style="1" bestFit="1" customWidth="1"/>
    <col min="5" max="6" width="6.85546875" style="15" bestFit="1" customWidth="1"/>
    <col min="7" max="7" width="8.140625" style="8" bestFit="1" customWidth="1"/>
    <col min="8" max="8" width="9.140625" style="8" bestFit="1" customWidth="1"/>
    <col min="9" max="9" width="11.5703125" style="9" bestFit="1" customWidth="1"/>
    <col min="10" max="10" width="6.28515625" style="25" bestFit="1" customWidth="1"/>
    <col min="11" max="12" width="11.140625" style="37" bestFit="1" customWidth="1"/>
    <col min="13" max="14" width="7.28515625" style="13" bestFit="1" customWidth="1"/>
    <col min="15" max="15" width="10" style="13" bestFit="1" customWidth="1"/>
    <col min="16" max="16" width="8.42578125" style="13" bestFit="1" customWidth="1"/>
    <col min="17" max="18" width="9.28515625" style="13" bestFit="1" customWidth="1"/>
    <col min="19" max="19" width="10.28515625" style="13" bestFit="1" customWidth="1"/>
    <col min="20" max="20" width="6.5703125" style="38" bestFit="1" customWidth="1"/>
    <col min="21" max="21" width="7.5703125" style="38" bestFit="1" customWidth="1"/>
    <col min="22" max="22" width="6.5703125" style="38" bestFit="1" customWidth="1"/>
    <col min="23" max="23" width="6.85546875" style="15" bestFit="1" customWidth="1"/>
    <col min="24" max="24" width="10" style="15" bestFit="1" customWidth="1"/>
    <col min="25" max="25" width="9.140625" style="15" bestFit="1" customWidth="1"/>
    <col min="26" max="27" width="9.28515625" style="15" bestFit="1" customWidth="1"/>
    <col min="28" max="28" width="10.28515625" style="15" bestFit="1" customWidth="1"/>
    <col min="29" max="29" width="12.42578125" style="8" bestFit="1" customWidth="1"/>
    <col min="30" max="30" width="8.140625" style="11" bestFit="1" customWidth="1"/>
    <col min="31" max="31" width="10.140625" style="30" bestFit="1" customWidth="1"/>
    <col min="32" max="33" width="10.42578125" style="8" bestFit="1" customWidth="1"/>
    <col min="34" max="34" width="10.28515625" style="8" bestFit="1" customWidth="1"/>
    <col min="35" max="36" width="10.42578125" style="8" bestFit="1" customWidth="1"/>
    <col min="37" max="37" width="9" style="9" hidden="1" customWidth="1"/>
    <col min="38" max="38" width="6.7109375" style="41" bestFit="1" customWidth="1"/>
    <col min="39" max="39" width="8.140625" style="37" bestFit="1" customWidth="1"/>
    <col min="40" max="40" width="35.42578125" style="1" bestFit="1" customWidth="1"/>
    <col min="41" max="41" width="8.5703125" style="1" bestFit="1" customWidth="1"/>
    <col min="42" max="43" width="8.140625" style="32" bestFit="1" customWidth="1"/>
    <col min="44" max="44" width="7.140625" style="41" bestFit="1" customWidth="1"/>
    <col min="45" max="46" width="7.42578125" style="41" bestFit="1" customWidth="1"/>
    <col min="47" max="47" width="9.7109375" style="41" bestFit="1" customWidth="1"/>
    <col min="48" max="48" width="11.28515625" style="1" bestFit="1" customWidth="1"/>
    <col min="49" max="16384" width="9.140625" style="1"/>
  </cols>
  <sheetData>
    <row r="1" spans="1:47" ht="33.75" x14ac:dyDescent="0.25">
      <c r="A1" s="6"/>
      <c r="B1" s="249" t="s">
        <v>38</v>
      </c>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c r="AD1" s="250"/>
      <c r="AE1" s="250"/>
      <c r="AF1" s="250"/>
      <c r="AG1" s="250"/>
      <c r="AH1" s="250"/>
      <c r="AI1" s="250"/>
      <c r="AJ1" s="250"/>
      <c r="AK1" s="250"/>
      <c r="AL1" s="250"/>
      <c r="AM1" s="250"/>
      <c r="AN1" s="250"/>
      <c r="AO1" s="250"/>
      <c r="AP1" s="250"/>
      <c r="AQ1" s="250"/>
      <c r="AR1" s="250"/>
      <c r="AS1" s="250"/>
      <c r="AT1" s="250"/>
      <c r="AU1" s="250"/>
    </row>
    <row r="2" spans="1:47" x14ac:dyDescent="0.25">
      <c r="A2" s="6"/>
      <c r="B2" s="2"/>
      <c r="C2" s="2"/>
      <c r="D2" s="2"/>
      <c r="E2" s="14"/>
      <c r="F2" s="14"/>
      <c r="G2" s="7"/>
      <c r="H2" s="7"/>
      <c r="I2" s="3"/>
      <c r="J2" s="24"/>
      <c r="K2" s="34"/>
      <c r="L2" s="34"/>
      <c r="M2" s="12"/>
      <c r="N2" s="12"/>
      <c r="O2" s="12"/>
      <c r="P2" s="12"/>
      <c r="Q2" s="12"/>
      <c r="R2" s="12"/>
      <c r="S2" s="12"/>
      <c r="T2" s="35"/>
      <c r="U2" s="35"/>
      <c r="V2" s="35"/>
      <c r="W2" s="14"/>
      <c r="X2" s="14"/>
      <c r="Y2" s="14"/>
      <c r="Z2" s="14"/>
      <c r="AA2" s="14"/>
      <c r="AB2" s="14"/>
      <c r="AC2" s="14"/>
      <c r="AD2" s="14"/>
      <c r="AE2" s="14"/>
      <c r="AF2" s="14"/>
      <c r="AG2" s="14"/>
      <c r="AH2" s="14"/>
      <c r="AI2" s="14"/>
      <c r="AJ2" s="14"/>
      <c r="AK2" s="14"/>
      <c r="AL2" s="14"/>
      <c r="AM2" s="14"/>
      <c r="AN2" s="14"/>
      <c r="AO2" s="14"/>
      <c r="AP2" s="14"/>
      <c r="AQ2" s="14"/>
      <c r="AR2" s="14"/>
      <c r="AS2" s="14"/>
      <c r="AT2" s="14"/>
      <c r="AU2" s="14"/>
    </row>
    <row r="3" spans="1:47" x14ac:dyDescent="0.25">
      <c r="A3" s="6"/>
      <c r="B3" s="2"/>
      <c r="C3" s="2"/>
      <c r="D3" s="2"/>
      <c r="E3" s="14"/>
      <c r="F3" s="14"/>
      <c r="G3" s="7"/>
      <c r="H3" s="7"/>
      <c r="I3" s="3"/>
      <c r="J3" s="24"/>
      <c r="K3" s="34"/>
      <c r="L3" s="34"/>
      <c r="M3" s="12"/>
      <c r="N3" s="12"/>
      <c r="O3" s="12"/>
      <c r="P3" s="12"/>
      <c r="Q3" s="12"/>
      <c r="R3" s="12"/>
      <c r="S3" s="12"/>
      <c r="T3" s="35"/>
      <c r="U3" s="35"/>
      <c r="V3" s="35"/>
      <c r="W3" s="14"/>
      <c r="X3" s="14"/>
      <c r="Y3" s="14"/>
      <c r="Z3" s="14"/>
      <c r="AA3" s="14"/>
      <c r="AB3" s="14"/>
      <c r="AC3" s="7"/>
      <c r="AD3" s="10"/>
      <c r="AE3" s="29"/>
      <c r="AF3" s="7"/>
      <c r="AG3" s="7"/>
      <c r="AH3" s="7"/>
      <c r="AI3" s="33"/>
      <c r="AJ3" s="33"/>
      <c r="AK3" s="3"/>
      <c r="AL3" s="40"/>
      <c r="AM3" s="33"/>
      <c r="AN3" s="33"/>
      <c r="AO3" s="33"/>
      <c r="AP3" s="33"/>
      <c r="AQ3" s="33"/>
      <c r="AR3" s="40"/>
      <c r="AS3" s="40"/>
      <c r="AT3" s="40"/>
      <c r="AU3" s="40"/>
    </row>
    <row r="4" spans="1:47" x14ac:dyDescent="0.25">
      <c r="A4" s="6"/>
      <c r="B4" s="6"/>
      <c r="C4" s="2"/>
      <c r="D4" s="2"/>
      <c r="E4" s="14"/>
      <c r="F4" s="14"/>
      <c r="G4" s="7"/>
      <c r="H4" s="7"/>
      <c r="I4" s="3"/>
      <c r="J4" s="24"/>
      <c r="K4" s="34"/>
      <c r="L4" s="34"/>
      <c r="M4" s="12"/>
      <c r="N4" s="12"/>
      <c r="O4" s="12"/>
      <c r="P4" s="12"/>
      <c r="Q4" s="12"/>
      <c r="R4" s="12"/>
      <c r="S4" s="12"/>
      <c r="T4" s="35"/>
      <c r="U4" s="35"/>
      <c r="V4" s="35"/>
      <c r="W4" s="14"/>
      <c r="X4" s="14"/>
      <c r="Y4" s="14"/>
      <c r="Z4" s="14"/>
      <c r="AA4" s="14"/>
      <c r="AB4" s="14"/>
      <c r="AC4" s="7"/>
      <c r="AD4" s="10"/>
      <c r="AE4" s="29"/>
      <c r="AF4" s="7"/>
      <c r="AG4" s="7"/>
      <c r="AH4" s="7"/>
      <c r="AI4" s="33"/>
      <c r="AJ4" s="33"/>
      <c r="AK4" s="3"/>
      <c r="AL4" s="40"/>
      <c r="AM4" s="33"/>
      <c r="AN4" s="33"/>
      <c r="AP4" s="36"/>
      <c r="AQ4" s="16"/>
      <c r="AR4" s="40"/>
      <c r="AT4" s="42" t="s">
        <v>37</v>
      </c>
      <c r="AU4" s="3">
        <v>45362.350115740737</v>
      </c>
    </row>
    <row r="5" spans="1:47" ht="15.75" thickBot="1" x14ac:dyDescent="0.3">
      <c r="A5" s="6"/>
      <c r="B5" s="2"/>
      <c r="C5" s="2"/>
      <c r="D5" s="2"/>
      <c r="E5" s="14"/>
      <c r="F5" s="14"/>
      <c r="G5" s="7"/>
      <c r="H5" s="7"/>
      <c r="I5" s="3"/>
      <c r="J5" s="24"/>
      <c r="K5" s="34"/>
      <c r="L5" s="34"/>
      <c r="M5" s="12"/>
      <c r="N5" s="12"/>
      <c r="O5" s="12"/>
      <c r="P5" s="12"/>
      <c r="Q5" s="12"/>
      <c r="R5" s="12"/>
      <c r="S5" s="12"/>
      <c r="T5" s="35"/>
      <c r="U5" s="35"/>
      <c r="V5" s="35"/>
      <c r="W5" s="14"/>
      <c r="X5" s="14"/>
      <c r="Y5" s="14"/>
      <c r="Z5" s="14"/>
      <c r="AA5" s="14"/>
      <c r="AB5" s="14"/>
      <c r="AC5" s="7"/>
      <c r="AD5" s="10"/>
      <c r="AE5" s="29"/>
      <c r="AF5" s="7"/>
      <c r="AG5" s="7"/>
      <c r="AH5" s="7"/>
      <c r="AI5" s="33"/>
      <c r="AJ5" s="33"/>
      <c r="AK5" s="3"/>
      <c r="AL5" s="40"/>
      <c r="AM5" s="33"/>
      <c r="AN5" s="33"/>
      <c r="AO5" s="33"/>
      <c r="AP5" s="33"/>
      <c r="AQ5" s="33"/>
      <c r="AR5" s="40"/>
      <c r="AS5" s="40"/>
      <c r="AT5" s="40"/>
      <c r="AU5" s="40"/>
    </row>
    <row r="6" spans="1:47" ht="15.75" thickBot="1" x14ac:dyDescent="0.3">
      <c r="A6" s="6"/>
      <c r="B6" s="154"/>
      <c r="C6" s="125"/>
      <c r="D6" s="125"/>
      <c r="E6" s="125"/>
      <c r="F6" s="125"/>
      <c r="G6" s="125"/>
      <c r="H6" s="125"/>
      <c r="I6" s="125"/>
      <c r="J6" s="155"/>
      <c r="K6" s="155" t="s">
        <v>43</v>
      </c>
      <c r="L6" s="155" t="s">
        <v>44</v>
      </c>
      <c r="M6" s="156"/>
      <c r="N6" s="245" t="s">
        <v>27</v>
      </c>
      <c r="O6" s="246"/>
      <c r="P6" s="246"/>
      <c r="Q6" s="246"/>
      <c r="R6" s="246"/>
      <c r="S6" s="247"/>
      <c r="T6" s="236"/>
      <c r="U6" s="236"/>
      <c r="V6" s="236"/>
      <c r="W6" s="248" t="s">
        <v>28</v>
      </c>
      <c r="X6" s="246"/>
      <c r="Y6" s="246"/>
      <c r="Z6" s="246"/>
      <c r="AA6" s="246"/>
      <c r="AB6" s="247"/>
      <c r="AC6" s="154"/>
      <c r="AD6" s="125"/>
      <c r="AE6" s="157" t="s">
        <v>17</v>
      </c>
      <c r="AF6" s="125" t="s">
        <v>29</v>
      </c>
      <c r="AG6" s="158" t="s">
        <v>29</v>
      </c>
      <c r="AH6" s="125" t="s">
        <v>29</v>
      </c>
      <c r="AI6" s="125" t="s">
        <v>29</v>
      </c>
      <c r="AJ6" s="125" t="s">
        <v>29</v>
      </c>
      <c r="AK6" s="159"/>
      <c r="AL6" s="160"/>
      <c r="AM6" s="158"/>
      <c r="AN6" s="125"/>
      <c r="AO6" s="125"/>
      <c r="AP6" s="125"/>
      <c r="AQ6" s="125"/>
      <c r="AR6" s="160"/>
      <c r="AS6" s="160"/>
      <c r="AT6" s="160"/>
      <c r="AU6" s="161"/>
    </row>
    <row r="7" spans="1:47" x14ac:dyDescent="0.25">
      <c r="A7" s="6"/>
      <c r="B7" s="153"/>
      <c r="C7" s="150"/>
      <c r="D7" s="150"/>
      <c r="E7" s="162"/>
      <c r="F7" s="162"/>
      <c r="G7" s="163"/>
      <c r="H7" s="163"/>
      <c r="I7" s="164"/>
      <c r="J7" s="165" t="s">
        <v>30</v>
      </c>
      <c r="K7" s="166" t="s">
        <v>30</v>
      </c>
      <c r="L7" s="166" t="s">
        <v>30</v>
      </c>
      <c r="M7" s="167" t="s">
        <v>24</v>
      </c>
      <c r="N7" s="168" t="s">
        <v>7</v>
      </c>
      <c r="O7" s="233" t="s">
        <v>13</v>
      </c>
      <c r="P7" s="241" t="s">
        <v>14</v>
      </c>
      <c r="Q7" s="242"/>
      <c r="R7" s="242"/>
      <c r="S7" s="243"/>
      <c r="T7" s="234"/>
      <c r="U7" s="234"/>
      <c r="V7" s="234"/>
      <c r="W7" s="169" t="s">
        <v>7</v>
      </c>
      <c r="X7" s="235" t="s">
        <v>13</v>
      </c>
      <c r="Y7" s="244" t="s">
        <v>14</v>
      </c>
      <c r="Z7" s="242"/>
      <c r="AA7" s="242"/>
      <c r="AB7" s="243"/>
      <c r="AC7" s="170" t="s">
        <v>15</v>
      </c>
      <c r="AD7" s="171" t="s">
        <v>17</v>
      </c>
      <c r="AE7" s="172" t="s">
        <v>18</v>
      </c>
      <c r="AF7" s="163" t="s">
        <v>17</v>
      </c>
      <c r="AG7" s="163" t="s">
        <v>24</v>
      </c>
      <c r="AH7" s="163" t="s">
        <v>19</v>
      </c>
      <c r="AI7" s="163" t="s">
        <v>20</v>
      </c>
      <c r="AJ7" s="163" t="s">
        <v>22</v>
      </c>
      <c r="AK7" s="173" t="s">
        <v>57</v>
      </c>
      <c r="AL7" s="174"/>
      <c r="AM7" s="163"/>
      <c r="AN7" s="163"/>
      <c r="AO7" s="163"/>
      <c r="AP7" s="163"/>
      <c r="AQ7" s="163"/>
      <c r="AR7" s="174"/>
      <c r="AS7" s="174" t="s">
        <v>49</v>
      </c>
      <c r="AT7" s="174" t="s">
        <v>51</v>
      </c>
      <c r="AU7" s="175" t="s">
        <v>52</v>
      </c>
    </row>
    <row r="8" spans="1:47" ht="15.75" thickBot="1" x14ac:dyDescent="0.3">
      <c r="A8" s="6"/>
      <c r="B8" s="176" t="s">
        <v>0</v>
      </c>
      <c r="C8" s="142" t="s">
        <v>1</v>
      </c>
      <c r="D8" s="142" t="s">
        <v>2</v>
      </c>
      <c r="E8" s="177" t="s">
        <v>3</v>
      </c>
      <c r="F8" s="177" t="s">
        <v>4</v>
      </c>
      <c r="G8" s="178" t="s">
        <v>5</v>
      </c>
      <c r="H8" s="178" t="s">
        <v>33</v>
      </c>
      <c r="I8" s="179" t="s">
        <v>6</v>
      </c>
      <c r="J8" s="180" t="s">
        <v>31</v>
      </c>
      <c r="K8" s="180" t="s">
        <v>45</v>
      </c>
      <c r="L8" s="180" t="s">
        <v>45</v>
      </c>
      <c r="M8" s="181" t="s">
        <v>25</v>
      </c>
      <c r="N8" s="182" t="s">
        <v>8</v>
      </c>
      <c r="O8" s="183" t="s">
        <v>9</v>
      </c>
      <c r="P8" s="183" t="s">
        <v>9</v>
      </c>
      <c r="Q8" s="183" t="s">
        <v>10</v>
      </c>
      <c r="R8" s="183" t="s">
        <v>11</v>
      </c>
      <c r="S8" s="181" t="s">
        <v>12</v>
      </c>
      <c r="T8" s="183" t="s">
        <v>195</v>
      </c>
      <c r="U8" s="183" t="s">
        <v>109</v>
      </c>
      <c r="V8" s="183" t="s">
        <v>110</v>
      </c>
      <c r="W8" s="184" t="s">
        <v>8</v>
      </c>
      <c r="X8" s="177" t="s">
        <v>9</v>
      </c>
      <c r="Y8" s="177" t="s">
        <v>9</v>
      </c>
      <c r="Z8" s="177" t="s">
        <v>10</v>
      </c>
      <c r="AA8" s="177" t="s">
        <v>11</v>
      </c>
      <c r="AB8" s="185" t="s">
        <v>12</v>
      </c>
      <c r="AC8" s="186" t="s">
        <v>16</v>
      </c>
      <c r="AD8" s="187" t="s">
        <v>18</v>
      </c>
      <c r="AE8" s="188" t="s">
        <v>36</v>
      </c>
      <c r="AF8" s="178" t="s">
        <v>16</v>
      </c>
      <c r="AG8" s="178" t="s">
        <v>26</v>
      </c>
      <c r="AH8" s="178" t="s">
        <v>53</v>
      </c>
      <c r="AI8" s="178" t="s">
        <v>21</v>
      </c>
      <c r="AJ8" s="178" t="s">
        <v>54</v>
      </c>
      <c r="AK8" s="189" t="s">
        <v>36</v>
      </c>
      <c r="AL8" s="190" t="s">
        <v>39</v>
      </c>
      <c r="AM8" s="178" t="s">
        <v>40</v>
      </c>
      <c r="AN8" s="178" t="s">
        <v>41</v>
      </c>
      <c r="AO8" s="178" t="s">
        <v>46</v>
      </c>
      <c r="AP8" s="178" t="s">
        <v>47</v>
      </c>
      <c r="AQ8" s="178" t="s">
        <v>48</v>
      </c>
      <c r="AR8" s="190" t="s">
        <v>42</v>
      </c>
      <c r="AS8" s="190" t="s">
        <v>50</v>
      </c>
      <c r="AT8" s="190" t="s">
        <v>50</v>
      </c>
      <c r="AU8" s="191" t="s">
        <v>50</v>
      </c>
    </row>
    <row r="9" spans="1:47" s="237" customFormat="1" x14ac:dyDescent="0.25">
      <c r="A9" s="6"/>
      <c r="B9" s="261" t="s">
        <v>314</v>
      </c>
      <c r="C9" s="130"/>
      <c r="D9" s="130"/>
      <c r="E9" s="220"/>
      <c r="F9" s="220"/>
      <c r="G9" s="131"/>
      <c r="H9" s="131"/>
      <c r="I9" s="221"/>
      <c r="J9" s="222">
        <f>SUM($J$10:$J$10)</f>
        <v>1</v>
      </c>
      <c r="K9" s="222"/>
      <c r="L9" s="222"/>
      <c r="M9" s="265"/>
      <c r="N9" s="203"/>
      <c r="O9" s="203"/>
      <c r="P9" s="203"/>
      <c r="Q9" s="203"/>
      <c r="R9" s="203"/>
      <c r="S9" s="203"/>
      <c r="T9" s="203"/>
      <c r="U9" s="203"/>
      <c r="V9" s="203"/>
      <c r="W9" s="269"/>
      <c r="X9" s="220"/>
      <c r="Y9" s="220"/>
      <c r="Z9" s="220"/>
      <c r="AA9" s="220"/>
      <c r="AB9" s="273"/>
      <c r="AC9" s="129">
        <f>SUM($AC$10:$AC$10)</f>
        <v>2101680</v>
      </c>
      <c r="AD9" s="204"/>
      <c r="AE9" s="205"/>
      <c r="AF9" s="129">
        <f>SUM($AF$10:$AF$10)</f>
        <v>0</v>
      </c>
      <c r="AG9" s="129">
        <f>SUM($AG$10:$AG$10)</f>
        <v>0</v>
      </c>
      <c r="AH9" s="129">
        <f>SUM($AH$10:$AH$10)</f>
        <v>35704.054411199999</v>
      </c>
      <c r="AI9" s="129">
        <f>SUM($AI$10:$AI$10)</f>
        <v>136.41924122946</v>
      </c>
      <c r="AJ9" s="129">
        <f>SUM($AJ$10:$AJ$10)</f>
        <v>35840.473652429457</v>
      </c>
      <c r="AK9" s="277"/>
      <c r="AL9" s="225"/>
      <c r="AM9" s="131"/>
      <c r="AN9" s="131"/>
      <c r="AO9" s="131"/>
      <c r="AP9" s="131"/>
      <c r="AQ9" s="131"/>
      <c r="AR9" s="225"/>
      <c r="AS9" s="225"/>
      <c r="AT9" s="225"/>
      <c r="AU9" s="281"/>
    </row>
    <row r="10" spans="1:47" x14ac:dyDescent="0.25">
      <c r="B10" s="262" t="s">
        <v>170</v>
      </c>
      <c r="C10" s="132" t="s">
        <v>310</v>
      </c>
      <c r="D10" s="132" t="s">
        <v>125</v>
      </c>
      <c r="E10" s="133">
        <v>4.585</v>
      </c>
      <c r="F10" s="133">
        <v>5</v>
      </c>
      <c r="G10" s="134">
        <v>0</v>
      </c>
      <c r="H10" s="134" t="s">
        <v>385</v>
      </c>
      <c r="I10" s="223">
        <v>50830</v>
      </c>
      <c r="J10" s="224">
        <v>1</v>
      </c>
      <c r="K10" s="134">
        <v>128000</v>
      </c>
      <c r="L10" s="134">
        <v>128000</v>
      </c>
      <c r="M10" s="266">
        <v>100</v>
      </c>
      <c r="N10" s="13">
        <v>100</v>
      </c>
      <c r="O10" s="13">
        <v>11.111195354099999</v>
      </c>
      <c r="P10" s="198">
        <v>100</v>
      </c>
      <c r="Q10" s="13">
        <v>100</v>
      </c>
      <c r="R10" s="13">
        <v>100</v>
      </c>
      <c r="S10" s="13">
        <v>100</v>
      </c>
      <c r="U10" s="143">
        <v>100</v>
      </c>
      <c r="V10" s="143">
        <v>3.66</v>
      </c>
      <c r="W10" s="270"/>
      <c r="X10" s="133"/>
      <c r="Y10" s="133"/>
      <c r="Z10" s="133"/>
      <c r="AA10" s="133"/>
      <c r="AB10" s="274"/>
      <c r="AC10" s="8">
        <v>2101680</v>
      </c>
      <c r="AD10" s="11">
        <v>0</v>
      </c>
      <c r="AE10" s="30">
        <v>45323</v>
      </c>
      <c r="AF10" s="8">
        <v>0</v>
      </c>
      <c r="AG10" s="8">
        <v>0</v>
      </c>
      <c r="AH10" s="8">
        <v>35704.054411199999</v>
      </c>
      <c r="AI10" s="8">
        <v>136.41924122946</v>
      </c>
      <c r="AJ10" s="8">
        <v>35840.473652429457</v>
      </c>
      <c r="AK10" s="278"/>
      <c r="AL10" s="135">
        <v>0.4</v>
      </c>
      <c r="AM10" s="134">
        <v>805</v>
      </c>
      <c r="AN10" s="132" t="s">
        <v>311</v>
      </c>
      <c r="AO10" s="132" t="s">
        <v>312</v>
      </c>
      <c r="AP10" s="132" t="s">
        <v>135</v>
      </c>
      <c r="AQ10" s="132" t="s">
        <v>313</v>
      </c>
      <c r="AR10" s="135">
        <v>0</v>
      </c>
      <c r="AS10" s="135">
        <v>0</v>
      </c>
      <c r="AT10" s="135">
        <v>0</v>
      </c>
      <c r="AU10" s="282">
        <v>0</v>
      </c>
    </row>
    <row r="11" spans="1:47" s="237" customFormat="1" x14ac:dyDescent="0.25">
      <c r="B11" s="263" t="s">
        <v>273</v>
      </c>
      <c r="C11" s="199"/>
      <c r="D11" s="199"/>
      <c r="E11" s="200">
        <f>SUMPRODUCT($E$12:$E$12,$AF$12:$AF$12)/SUMIF($E$12:$E$12,"&lt;&gt;",$AF$12:$AF$12)</f>
        <v>4.7649999999999997</v>
      </c>
      <c r="F11" s="200">
        <f>SUMPRODUCT($F$12:$F$12,$AF$12:$AF$12)/SUMIF($F$12:$F$12,"&lt;&gt;",$AF$12:$AF$12)</f>
        <v>6.5389999999999997</v>
      </c>
      <c r="G11" s="129">
        <f>SUMPRODUCT($G$12:$G$12,$AF$12:$AF$12)/SUMIF($G$12:$G$12,"&lt;&gt;",$AF$12:$AF$12)</f>
        <v>262</v>
      </c>
      <c r="H11" s="129">
        <f>SUMPRODUCT($H$12:$H$12,$AF$12:$AF$12)/SUMIF($H$12:$H$12,"&lt;&gt;",$AF$12:$AF$12)</f>
        <v>98</v>
      </c>
      <c r="I11" s="201">
        <f>SUMPRODUCT($I$12:$I$12,$AF$12:$AF$12)/SUMIF($I$12:$I$12,"&lt;&gt;",$AF$12:$AF$12)</f>
        <v>53509.000000000007</v>
      </c>
      <c r="J11" s="202">
        <f>SUM($J$12:$J$12)</f>
        <v>89</v>
      </c>
      <c r="K11" s="129">
        <f>SUMPRODUCT($K$12:$K$12,$AF$12:$AF$12)/SUMIF($K$12:$K$12,"&lt;&gt;",$AF$12:$AF$12)</f>
        <v>369890</v>
      </c>
      <c r="L11" s="129">
        <f>SUMPRODUCT($L$12:$L$12,$AF$12:$AF$12)/SUMIF($L$12:$L$12,"&lt;&gt;",$AF$12:$AF$12)</f>
        <v>626000</v>
      </c>
      <c r="M11" s="267">
        <f>SUMPRODUCT($M$12:$M$12,$AF$12:$AF$12)/SUMIF($M$12:$M$12,"&lt;&gt;",$AF$12:$AF$12)</f>
        <v>101.41926956176758</v>
      </c>
      <c r="N11" s="208">
        <f>SUMPRODUCT($N$12:$N$12,$AF$12:$AF$12)/SUMIF($N$12:$N$12,"&lt;&gt;",$AF$12:$AF$12)</f>
        <v>24.67</v>
      </c>
      <c r="O11" s="208">
        <f>SUMPRODUCT($O$12:$O$12,$AF$12:$AF$12)/SUMIF($O$12:$O$12,"&lt;&gt;",$AF$12:$AF$12)</f>
        <v>19.162170316699999</v>
      </c>
      <c r="P11" s="208">
        <f>SUMPRODUCT($P$12:$P$12,$AF$12:$AF$12)/SUMIF($P$12:$P$12,"&lt;&gt;",$AF$12:$AF$12)</f>
        <v>4.9913673432591201</v>
      </c>
      <c r="Q11" s="208">
        <f>SUMPRODUCT($Q$12:$Q$12,$AF$12:$AF$12)/SUMIF($Q$12:$Q$12,"&lt;&gt;",$AF$12:$AF$12)</f>
        <v>3.1588125433718002</v>
      </c>
      <c r="R11" s="208">
        <f>SUMPRODUCT($R$12:$R$12,$AF$12:$AF$12)/SUMIF($R$12:$R$12,"&lt;&gt;",$AF$12:$AF$12)</f>
        <v>2.52510866278626</v>
      </c>
      <c r="S11" s="208">
        <f>SUMPRODUCT($S$12:$S$12,$AF$12:$AF$12)/SUMIF($S$12:$S$12,"&lt;&gt;",$AF$12:$AF$12)</f>
        <v>3.5630904986783198</v>
      </c>
      <c r="T11" s="208">
        <f>SUMPRODUCT($T$12:$T$12,$AF$12:$AF$12)/SUMIF($T$12:$T$12,"&lt;&gt;",$AF$12:$AF$12)</f>
        <v>4.99</v>
      </c>
      <c r="U11" s="208">
        <f>SUMPRODUCT($U$12:$U$12,$AF$12:$AF$12)/SUMIF($U$12:$U$12,"&lt;&gt;",$AF$12:$AF$12)</f>
        <v>4.05</v>
      </c>
      <c r="V11" s="208">
        <f>SUMPRODUCT($V$12:$V$12,$AF$12:$AF$12)/SUMIF($V$12:$V$12,"&lt;&gt;",$AF$12:$AF$12)</f>
        <v>0.38</v>
      </c>
      <c r="W11" s="271">
        <f>SUMPRODUCT($W$12:$W$12,$AF$12:$AF$12)/SUMIF($W$12:$W$12,"&lt;&gt;",$AF$12:$AF$12)</f>
        <v>6.4509999999999996</v>
      </c>
      <c r="X11" s="200">
        <f>SUMPRODUCT($X$12:$X$12,$AF$12:$AF$12)/SUMIF($X$12:$X$12,"&lt;&gt;",$AF$12:$AF$12)</f>
        <v>6.6109999999999998</v>
      </c>
      <c r="Y11" s="200">
        <f>SUMPRODUCT($Y$12:$Y$12,$AF$12:$AF$12)/SUMIF($Y$12:$Y$12,"&lt;&gt;",$AF$12:$AF$12)</f>
        <v>6.9690000000000003</v>
      </c>
      <c r="Z11" s="200">
        <f>SUMPRODUCT($Z$12:$Z$12,$AF$12:$AF$12)/SUMIF($Z$12:$Z$12,"&lt;&gt;",$AF$12:$AF$12)</f>
        <v>7.0090000000000003</v>
      </c>
      <c r="AA11" s="200">
        <f>SUMPRODUCT($AA$12:$AA$12,$AF$12:$AF$12)/SUMIF($AA$12:$AA$12,"&lt;&gt;",$AF$12:$AF$12)</f>
        <v>7.0220000000000011</v>
      </c>
      <c r="AB11" s="275">
        <f>SUMPRODUCT($AB$12:$AB$12,$AF$12:$AF$12)/SUMIF($AB$12:$AB$12,"&lt;&gt;",$AF$12:$AF$12)</f>
        <v>7.0010000000000003</v>
      </c>
      <c r="AC11" s="207">
        <f>SUM($AC$12:$AC$12)</f>
        <v>1020000</v>
      </c>
      <c r="AD11" s="209">
        <f>SUMPRODUCT($AD$12:$AD$12,$AF$12:$AF$12)/SUMIF($AD$12:$AD$12,"&lt;&gt;",$AF$12:$AF$12)</f>
        <v>9.9129839999999997E-2</v>
      </c>
      <c r="AE11" s="210">
        <f>SUMPRODUCT($AE$12:$AE$12,$AF$12:$AF$12)/SUMIF($AE$12:$AE$12,"&lt;&gt;",$AF$12:$AF$12)</f>
        <v>45352</v>
      </c>
      <c r="AF11" s="207">
        <f>SUM($AF$12:$AF$12)</f>
        <v>101112.4368</v>
      </c>
      <c r="AG11" s="207">
        <f>SUM($AG$12:$AG$12)</f>
        <v>102547.49483866389</v>
      </c>
      <c r="AH11" s="207">
        <f>SUM($AH$12:$AH$12)</f>
        <v>634.78679999999895</v>
      </c>
      <c r="AI11" s="207">
        <f>SUM($AI$12:$AI$12)</f>
        <v>404.021267045</v>
      </c>
      <c r="AJ11" s="207">
        <f>SUM($AJ$12:$AJ$12)</f>
        <v>1038.808067044999</v>
      </c>
      <c r="AK11" s="279"/>
      <c r="AL11" s="206">
        <f>SUMPRODUCT($AL$12:$AL$12,$AF$12:$AF$12)/SUMIF($AL$12:$AL$12,"&lt;&gt;",$AF$12:$AF$12)</f>
        <v>0.65999999999999992</v>
      </c>
      <c r="AM11" s="129">
        <f>SUMPRODUCT($AM$12:$AM$12,$AF$12:$AF$12)/SUMIF($AM$12:$AM$12,"&lt;&gt;",$AF$12:$AF$12)</f>
        <v>731</v>
      </c>
      <c r="AN11" s="199"/>
      <c r="AO11" s="199"/>
      <c r="AP11" s="199"/>
      <c r="AQ11" s="199"/>
      <c r="AR11" s="206">
        <f>SUMPRODUCT($AR$12:$AR$12,$AF$12:$AF$12)/SUMIF($AR$12:$AR$12,"&lt;&gt;",$AF$12:$AF$12)</f>
        <v>0.37759999999999999</v>
      </c>
      <c r="AS11" s="206">
        <f>SUMPRODUCT($AS$12:$AS$12,$AF$12:$AF$12)/SUMIF($AS$12:$AS$12,"&lt;&gt;",$AF$12:$AF$12)</f>
        <v>4.0000000000000002E-4</v>
      </c>
      <c r="AT11" s="206">
        <f>SUMPRODUCT($AT$12:$AT$12,$AF$12:$AF$12)/SUMIF($AT$12:$AT$12,"&lt;&gt;",$AF$12:$AF$12)</f>
        <v>4.0000000000000002E-4</v>
      </c>
      <c r="AU11" s="283">
        <f>SUMPRODUCT($AU$12:$AU$12,$AF$12:$AF$12)/SUMIF($AU$12:$AU$12,"&lt;&gt;",$AF$12:$AF$12)</f>
        <v>0</v>
      </c>
    </row>
    <row r="12" spans="1:47" x14ac:dyDescent="0.25">
      <c r="B12" s="262" t="s">
        <v>158</v>
      </c>
      <c r="C12" s="132" t="s">
        <v>269</v>
      </c>
      <c r="D12" s="132" t="s">
        <v>125</v>
      </c>
      <c r="E12" s="133">
        <v>4.7649999999999997</v>
      </c>
      <c r="F12" s="133">
        <v>6.5389999999999997</v>
      </c>
      <c r="G12" s="134">
        <v>262</v>
      </c>
      <c r="H12" s="134">
        <v>98</v>
      </c>
      <c r="I12" s="223">
        <v>53509</v>
      </c>
      <c r="J12" s="224">
        <v>89</v>
      </c>
      <c r="K12" s="134">
        <v>369890</v>
      </c>
      <c r="L12" s="134">
        <v>626000</v>
      </c>
      <c r="M12" s="266">
        <v>101.41926956176758</v>
      </c>
      <c r="N12" s="13">
        <v>24.67</v>
      </c>
      <c r="O12" s="13">
        <v>19.162170316699999</v>
      </c>
      <c r="P12" s="197">
        <v>4.9913673432591201</v>
      </c>
      <c r="Q12" s="13">
        <v>3.1588125433718002</v>
      </c>
      <c r="R12" s="13">
        <v>2.52510866278626</v>
      </c>
      <c r="S12" s="13">
        <v>3.5630904986783198</v>
      </c>
      <c r="T12" s="143">
        <v>4.99</v>
      </c>
      <c r="U12" s="143">
        <v>4.05</v>
      </c>
      <c r="V12" s="143">
        <v>0.38</v>
      </c>
      <c r="W12" s="270">
        <v>6.4509999999999996</v>
      </c>
      <c r="X12" s="133">
        <v>6.6109999999999998</v>
      </c>
      <c r="Y12" s="133">
        <v>6.9690000000000003</v>
      </c>
      <c r="Z12" s="133">
        <v>7.0090000000000003</v>
      </c>
      <c r="AA12" s="133">
        <v>7.0220000000000002</v>
      </c>
      <c r="AB12" s="274">
        <v>7.0010000000000003</v>
      </c>
      <c r="AC12" s="8">
        <v>1020000</v>
      </c>
      <c r="AD12" s="11">
        <v>9.9129839999999997E-2</v>
      </c>
      <c r="AE12" s="30">
        <v>45352</v>
      </c>
      <c r="AF12" s="8">
        <v>101112.4368</v>
      </c>
      <c r="AG12" s="8">
        <v>102547.49483866389</v>
      </c>
      <c r="AH12" s="8">
        <v>634.78679999999895</v>
      </c>
      <c r="AI12" s="8">
        <v>404.021267045</v>
      </c>
      <c r="AJ12" s="8">
        <v>1038.808067044999</v>
      </c>
      <c r="AK12" s="278"/>
      <c r="AL12" s="135">
        <v>0.66</v>
      </c>
      <c r="AM12" s="134">
        <v>731</v>
      </c>
      <c r="AN12" s="132" t="s">
        <v>202</v>
      </c>
      <c r="AO12" s="132" t="s">
        <v>270</v>
      </c>
      <c r="AP12" s="132" t="s">
        <v>271</v>
      </c>
      <c r="AQ12" s="132" t="s">
        <v>272</v>
      </c>
      <c r="AR12" s="135">
        <v>0.37759999999999999</v>
      </c>
      <c r="AS12" s="135">
        <v>4.0000000000000002E-4</v>
      </c>
      <c r="AT12" s="135">
        <v>4.0000000000000002E-4</v>
      </c>
      <c r="AU12" s="282">
        <v>0</v>
      </c>
    </row>
    <row r="13" spans="1:47" s="237" customFormat="1" x14ac:dyDescent="0.25">
      <c r="B13" s="263" t="s">
        <v>254</v>
      </c>
      <c r="C13" s="199"/>
      <c r="D13" s="199"/>
      <c r="E13" s="200">
        <f>SUMPRODUCT($E$14:$E$14,$AF$14:$AF$14)/SUMIF($E$14:$E$14,"&lt;&gt;",$AF$14:$AF$14)</f>
        <v>5.1070000000000002</v>
      </c>
      <c r="F13" s="200">
        <f>SUMPRODUCT($F$14:$F$14,$AF$14:$AF$14)/SUMIF($F$14:$F$14,"&lt;&gt;",$AF$14:$AF$14)</f>
        <v>5.7469999999999999</v>
      </c>
      <c r="G13" s="129">
        <f>SUMPRODUCT($G$14:$G$14,$AF$14:$AF$14)/SUMIF($G$14:$G$14,"&lt;&gt;",$AF$14:$AF$14)</f>
        <v>169</v>
      </c>
      <c r="H13" s="129">
        <f>SUMPRODUCT($H$14:$H$14,$AF$14:$AF$14)/SUMIF($H$14:$H$14,"&lt;&gt;",$AF$14:$AF$14)</f>
        <v>191</v>
      </c>
      <c r="I13" s="201">
        <f>SUMPRODUCT($I$14:$I$14,$AF$14:$AF$14)/SUMIF($I$14:$I$14,"&lt;&gt;",$AF$14:$AF$14)</f>
        <v>50526</v>
      </c>
      <c r="J13" s="202">
        <f>SUM($J$14:$J$14)</f>
        <v>3</v>
      </c>
      <c r="K13" s="129">
        <f>SUMPRODUCT($K$14:$K$14,$AF$14:$AF$14)/SUMIF($K$14:$K$14,"&lt;&gt;",$AF$14:$AF$14)</f>
        <v>92932</v>
      </c>
      <c r="L13" s="129">
        <f>SUMPRODUCT($L$14:$L$14,$AF$14:$AF$14)/SUMIF($L$14:$L$14,"&lt;&gt;",$AF$14:$AF$14)</f>
        <v>105000</v>
      </c>
      <c r="M13" s="267">
        <f>SUMPRODUCT($M$14:$M$14,$AF$14:$AF$14)/SUMIF($M$14:$M$14,"&lt;&gt;",$AF$14:$AF$14)</f>
        <v>100.57170867919922</v>
      </c>
      <c r="N13" s="208">
        <f>SUMPRODUCT($N$14:$N$14,$AF$14:$AF$14)/SUMIF($N$14:$N$14,"&lt;&gt;",$AF$14:$AF$14)</f>
        <v>25.01</v>
      </c>
      <c r="O13" s="208">
        <f>SUMPRODUCT($O$14:$O$14,$AF$14:$AF$14)/SUMIF($O$14:$O$14,"&lt;&gt;",$AF$14:$AF$14)</f>
        <v>15.010369826</v>
      </c>
      <c r="P13" s="208">
        <f>SUMPRODUCT($P$14:$P$14,$AF$14:$AF$14)/SUMIF($P$14:$P$14,"&lt;&gt;",$AF$14:$AF$14)</f>
        <v>7.6922005012536293E-2</v>
      </c>
      <c r="Q13" s="208">
        <f>SUMPRODUCT($Q$14:$Q$14,$AF$14:$AF$14)/SUMIF($Q$14:$Q$14,"&lt;&gt;",$AF$14:$AF$14)</f>
        <v>7.6857006253583396E-2</v>
      </c>
      <c r="R13" s="208">
        <f>SUMPRODUCT($R$14:$R$14,$AF$14:$AF$14)/SUMIF($R$14:$R$14,"&lt;&gt;",$AF$14:$AF$14)</f>
        <v>0.89387571572920888</v>
      </c>
      <c r="S13" s="208">
        <f>SUMPRODUCT($S$14:$S$14,$AF$14:$AF$14)/SUMIF($S$14:$S$14,"&lt;&gt;",$AF$14:$AF$14)</f>
        <v>1.03068332709532</v>
      </c>
      <c r="T13" s="208">
        <f>SUMPRODUCT($T$14:$T$14,$AF$14:$AF$14)/SUMIF($T$14:$T$14,"&lt;&gt;",$AF$14:$AF$14)</f>
        <v>0.08</v>
      </c>
      <c r="U13" s="208">
        <f>SUMPRODUCT($U$14:$U$14,$AF$14:$AF$14)/SUMIF($U$14:$U$14,"&lt;&gt;",$AF$14:$AF$14)</f>
        <v>0.08</v>
      </c>
      <c r="V13" s="208">
        <f>SUMPRODUCT($V$14:$V$14,$AF$14:$AF$14)/SUMIF($V$14:$V$14,"&lt;&gt;",$AF$14:$AF$14)</f>
        <v>0.08</v>
      </c>
      <c r="W13" s="271">
        <f>SUMPRODUCT($W$14:$W$14,$AF$14:$AF$14)/SUMIF($W$14:$W$14,"&lt;&gt;",$AF$14:$AF$14)</f>
        <v>6.8289999999999997</v>
      </c>
      <c r="X13" s="200">
        <f>SUMPRODUCT($X$14:$X$14,$AF$14:$AF$14)/SUMIF($X$14:$X$14,"&lt;&gt;",$AF$14:$AF$14)</f>
        <v>6.98</v>
      </c>
      <c r="Y13" s="200">
        <f>SUMPRODUCT($Y$14:$Y$14,$AF$14:$AF$14)/SUMIF($Y$14:$Y$14,"&lt;&gt;",$AF$14:$AF$14)</f>
        <v>7.1589999999999998</v>
      </c>
      <c r="Z13" s="200">
        <f>SUMPRODUCT($Z$14:$Z$14,$AF$14:$AF$14)/SUMIF($Z$14:$Z$14,"&lt;&gt;",$AF$14:$AF$14)</f>
        <v>7.1589999999999998</v>
      </c>
      <c r="AA13" s="200">
        <f>SUMPRODUCT($AA$14:$AA$14,$AF$14:$AF$14)/SUMIF($AA$14:$AA$14,"&lt;&gt;",$AF$14:$AF$14)</f>
        <v>7.1509999999999989</v>
      </c>
      <c r="AB13" s="275">
        <f>SUMPRODUCT($AB$14:$AB$14,$AF$14:$AF$14)/SUMIF($AB$14:$AB$14,"&lt;&gt;",$AF$14:$AF$14)</f>
        <v>7.1489999999999991</v>
      </c>
      <c r="AC13" s="207">
        <f>SUM($AC$14:$AC$14)</f>
        <v>23450883</v>
      </c>
      <c r="AD13" s="209">
        <f>SUMPRODUCT($AD$14:$AD$14,$AF$14:$AF$14)/SUMIF($AD$14:$AD$14,"&lt;&gt;",$AF$14:$AF$14)</f>
        <v>6.5461499999999997E-3</v>
      </c>
      <c r="AE13" s="210">
        <f>SUMPRODUCT($AE$14:$AE$14,$AF$14:$AF$14)/SUMIF($AE$14:$AE$14,"&lt;&gt;",$AF$14:$AF$14)</f>
        <v>45352</v>
      </c>
      <c r="AF13" s="207">
        <f>SUM($AF$14:$AF$14)</f>
        <v>153512.99775044998</v>
      </c>
      <c r="AG13" s="207">
        <f>SUM($AG$14:$AG$14)</f>
        <v>154390.64488228821</v>
      </c>
      <c r="AH13" s="207">
        <f>SUM($AH$14:$AH$14)</f>
        <v>598.93555182000262</v>
      </c>
      <c r="AI13" s="207">
        <f>SUM($AI$14:$AI$14)</f>
        <v>655.8747028122441</v>
      </c>
      <c r="AJ13" s="207">
        <f>SUM($AJ$14:$AJ$14)</f>
        <v>1254.8102546322466</v>
      </c>
      <c r="AK13" s="279"/>
      <c r="AL13" s="206">
        <f>SUMPRODUCT($AL$14:$AL$14,$AF$14:$AF$14)/SUMIF($AL$14:$AL$14,"&lt;&gt;",$AF$14:$AF$14)</f>
        <v>0.7</v>
      </c>
      <c r="AM13" s="129">
        <f>SUMPRODUCT($AM$14:$AM$14,$AF$14:$AF$14)/SUMIF($AM$14:$AM$14,"&lt;&gt;",$AF$14:$AF$14)</f>
        <v>739</v>
      </c>
      <c r="AN13" s="199"/>
      <c r="AO13" s="199"/>
      <c r="AP13" s="199"/>
      <c r="AQ13" s="199"/>
      <c r="AR13" s="206">
        <f>SUMPRODUCT($AR$14:$AR$14,$AF$14:$AF$14)/SUMIF($AR$14:$AR$14,"&lt;&gt;",$AF$14:$AF$14)</f>
        <v>0.32420000000000004</v>
      </c>
      <c r="AS13" s="206">
        <f>SUMPRODUCT($AS$14:$AS$14,$AF$14:$AF$14)/SUMIF($AS$14:$AS$14,"&lt;&gt;",$AF$14:$AF$14)</f>
        <v>0</v>
      </c>
      <c r="AT13" s="206">
        <f>SUMPRODUCT($AT$14:$AT$14,$AF$14:$AF$14)/SUMIF($AT$14:$AT$14,"&lt;&gt;",$AF$14:$AF$14)</f>
        <v>0</v>
      </c>
      <c r="AU13" s="283">
        <f>SUMPRODUCT($AU$14:$AU$14,$AF$14:$AF$14)/SUMIF($AU$14:$AU$14,"&lt;&gt;",$AF$14:$AF$14)</f>
        <v>0</v>
      </c>
    </row>
    <row r="14" spans="1:47" x14ac:dyDescent="0.25">
      <c r="B14" s="262" t="s">
        <v>153</v>
      </c>
      <c r="C14" s="132" t="s">
        <v>252</v>
      </c>
      <c r="D14" s="132" t="s">
        <v>125</v>
      </c>
      <c r="E14" s="133">
        <v>5.1070000000000002</v>
      </c>
      <c r="F14" s="133">
        <v>5.7469999999999999</v>
      </c>
      <c r="G14" s="134">
        <v>169</v>
      </c>
      <c r="H14" s="134">
        <v>191</v>
      </c>
      <c r="I14" s="223">
        <v>50526</v>
      </c>
      <c r="J14" s="224">
        <v>3</v>
      </c>
      <c r="K14" s="134">
        <v>92932</v>
      </c>
      <c r="L14" s="134">
        <v>105000</v>
      </c>
      <c r="M14" s="266">
        <v>100.57170867919922</v>
      </c>
      <c r="N14" s="13">
        <v>25.01</v>
      </c>
      <c r="O14" s="13">
        <v>15.010369826</v>
      </c>
      <c r="P14" s="197">
        <v>7.6922005012536293E-2</v>
      </c>
      <c r="Q14" s="13">
        <v>7.6857006253583396E-2</v>
      </c>
      <c r="R14" s="13">
        <v>0.89387571572920899</v>
      </c>
      <c r="S14" s="13">
        <v>1.03068332709532</v>
      </c>
      <c r="T14" s="143">
        <v>0.08</v>
      </c>
      <c r="U14" s="143">
        <v>0.08</v>
      </c>
      <c r="V14" s="143">
        <v>0.08</v>
      </c>
      <c r="W14" s="270">
        <v>6.8289999999999997</v>
      </c>
      <c r="X14" s="133">
        <v>6.98</v>
      </c>
      <c r="Y14" s="133">
        <v>7.1589999999999998</v>
      </c>
      <c r="Z14" s="133">
        <v>7.1589999999999998</v>
      </c>
      <c r="AA14" s="133">
        <v>7.1509999999999998</v>
      </c>
      <c r="AB14" s="274">
        <v>7.149</v>
      </c>
      <c r="AC14" s="8">
        <v>23450883</v>
      </c>
      <c r="AD14" s="11">
        <v>6.5461499999999997E-3</v>
      </c>
      <c r="AE14" s="30">
        <v>45352</v>
      </c>
      <c r="AF14" s="8">
        <v>153512.99775044998</v>
      </c>
      <c r="AG14" s="8">
        <v>154390.64488228821</v>
      </c>
      <c r="AH14" s="8">
        <v>598.93555182000262</v>
      </c>
      <c r="AI14" s="8">
        <v>655.8747028122441</v>
      </c>
      <c r="AJ14" s="8">
        <v>1254.8102546322466</v>
      </c>
      <c r="AK14" s="278"/>
      <c r="AL14" s="135">
        <v>0.7</v>
      </c>
      <c r="AM14" s="134">
        <v>739</v>
      </c>
      <c r="AN14" s="132" t="s">
        <v>137</v>
      </c>
      <c r="AO14" s="132" t="s">
        <v>253</v>
      </c>
      <c r="AP14" s="132" t="s">
        <v>136</v>
      </c>
      <c r="AQ14" s="132" t="s">
        <v>114</v>
      </c>
      <c r="AR14" s="135">
        <v>0.32420000000000004</v>
      </c>
      <c r="AS14" s="135">
        <v>0</v>
      </c>
      <c r="AT14" s="135">
        <v>0</v>
      </c>
      <c r="AU14" s="282">
        <v>0</v>
      </c>
    </row>
    <row r="15" spans="1:47" s="237" customFormat="1" x14ac:dyDescent="0.25">
      <c r="B15" s="263" t="s">
        <v>335</v>
      </c>
      <c r="C15" s="199"/>
      <c r="D15" s="199"/>
      <c r="E15" s="200">
        <f>SUMPRODUCT($E$16:$E$17,$AF$16:$AF$17)/SUMIF($E$16:$E$17,"&lt;&gt;",$AF$16:$AF$17)</f>
        <v>5.1707327489273363</v>
      </c>
      <c r="F15" s="200">
        <f>SUMPRODUCT($F$16:$F$17,$AF$16:$AF$17)/SUMIF($F$16:$F$17,"&lt;&gt;",$AF$16:$AF$17)</f>
        <v>5.9473707142613765</v>
      </c>
      <c r="G15" s="129">
        <f>SUMPRODUCT($G$16:$G$17,$AF$16:$AF$17)/SUMIF($G$16:$G$17,"&lt;&gt;",$AF$16:$AF$17)</f>
        <v>201.89653681128667</v>
      </c>
      <c r="H15" s="129">
        <f>SUMPRODUCT($H$16:$H$17,$AF$16:$AF$17)/SUMIF($H$16:$H$17,"&lt;&gt;",$AF$16:$AF$17)</f>
        <v>158.10346318871333</v>
      </c>
      <c r="I15" s="201">
        <f>SUMPRODUCT($I$16:$I$17,$AF$16:$AF$17)/SUMIF($I$16:$I$17,"&lt;&gt;",$AF$16:$AF$17)</f>
        <v>51496.717936956818</v>
      </c>
      <c r="J15" s="202">
        <f>SUM($J$16:$J$17)</f>
        <v>4</v>
      </c>
      <c r="K15" s="129">
        <f>SUMPRODUCT($K$16:$K$17,$AF$16:$AF$17)/SUMIF($K$16:$K$17,"&lt;&gt;",$AF$16:$AF$17)</f>
        <v>264798.3463568741</v>
      </c>
      <c r="L15" s="129">
        <f>SUMPRODUCT($L$16:$L$17,$AF$16:$AF$17)/SUMIF($L$16:$L$17,"&lt;&gt;",$AF$16:$AF$17)</f>
        <v>380350.46187206917</v>
      </c>
      <c r="M15" s="267">
        <f>SUMPRODUCT($M$16:$M$17,$AF$16:$AF$17)/SUMIF($M$16:$M$17,"&lt;&gt;",$AF$16:$AF$17)</f>
        <v>99.700214134222463</v>
      </c>
      <c r="N15" s="208">
        <f>SUMPRODUCT($N$16:$N$17,$AF$16:$AF$17)/SUMIF($N$16:$N$17,"&lt;&gt;",$AF$16:$AF$17)</f>
        <v>26.03120649390474</v>
      </c>
      <c r="O15" s="208">
        <f>SUMPRODUCT($O$16:$O$17,$AF$16:$AF$17)/SUMIF($O$16:$O$17,"&lt;&gt;",$AF$16:$AF$17)</f>
        <v>16.126914014775849</v>
      </c>
      <c r="P15" s="208">
        <f>SUMPRODUCT($P$16:$P$17,$AF$16:$AF$17)/SUMIF($P$16:$P$17,"&lt;&gt;",$AF$16:$AF$17)</f>
        <v>35.443293997699129</v>
      </c>
      <c r="Q15" s="208">
        <f>SUMPRODUCT($Q$16:$Q$17,$AF$16:$AF$17)/SUMIF($Q$16:$Q$17,"&lt;&gt;",$AF$16:$AF$17)</f>
        <v>16.384750741482673</v>
      </c>
      <c r="R15" s="208">
        <f>SUMPRODUCT($R$16:$R$17,$AF$16:$AF$17)/SUMIF($R$16:$R$17,"&lt;&gt;",$AF$16:$AF$17)</f>
        <v>15.822759023456474</v>
      </c>
      <c r="S15" s="208">
        <f>SUMPRODUCT($S$16:$S$17,$AF$16:$AF$17)/SUMIF($S$16:$S$17,"&lt;&gt;",$AF$16:$AF$17)</f>
        <v>14.749162233376412</v>
      </c>
      <c r="T15" s="208">
        <f>SUMPRODUCT($T$16:$T$17,$AF$16:$AF$17)/SUMIF($T$16:$T$17,"&lt;&gt;",$AF$16:$AF$17)</f>
        <v>35.446420218402402</v>
      </c>
      <c r="U15" s="208">
        <f>SUMPRODUCT($U$16:$U$17,$AF$16:$AF$17)/SUMIF($U$16:$U$17,"&lt;&gt;",$AF$16:$AF$17)</f>
        <v>8.9741342028216695E-2</v>
      </c>
      <c r="V15" s="208">
        <f>SUMPRODUCT($V$16:$V$17,$AF$16:$AF$17)/SUMIF($V$16:$V$17,"&lt;&gt;",$AF$16:$AF$17)</f>
        <v>0.19456904753792326</v>
      </c>
      <c r="W15" s="271">
        <f>SUMPRODUCT($W$16:$W$17,$AF$16:$AF$17)/SUMIF($W$16:$W$17,"&lt;&gt;",$AF$16:$AF$17)</f>
        <v>6.9550373520965314</v>
      </c>
      <c r="X15" s="200">
        <f>SUMPRODUCT($X$16:$X$17,$AF$16:$AF$17)/SUMIF($X$16:$X$17,"&lt;&gt;",$AF$16:$AF$17)</f>
        <v>7.0076350721355682</v>
      </c>
      <c r="Y15" s="200">
        <f>SUMPRODUCT($Y$16:$Y$17,$AF$16:$AF$17)/SUMIF($Y$16:$Y$17,"&lt;&gt;",$AF$16:$AF$17)</f>
        <v>6.9302385785715499</v>
      </c>
      <c r="Z15" s="200">
        <f>SUMPRODUCT($Z$16:$Z$17,$AF$16:$AF$17)/SUMIF($Z$16:$Z$17,"&lt;&gt;",$AF$16:$AF$17)</f>
        <v>7.0137011832277496</v>
      </c>
      <c r="AA15" s="200">
        <f>SUMPRODUCT($AA$16:$AA$17,$AF$16:$AF$17)/SUMIF($AA$16:$AA$17,"&lt;&gt;",$AF$16:$AF$17)</f>
        <v>7.0158276190151696</v>
      </c>
      <c r="AB15" s="275">
        <f>SUMPRODUCT($AB$16:$AB$17,$AF$16:$AF$17)/SUMIF($AB$16:$AB$17,"&lt;&gt;",$AF$16:$AF$17)</f>
        <v>7.0195488816431535</v>
      </c>
      <c r="AC15" s="207">
        <f>SUM($AC$16:$AC$17)</f>
        <v>3818265</v>
      </c>
      <c r="AD15" s="209">
        <f>SUMPRODUCT($AD$16:$AD$17,$AF$16:$AF$17)/SUMIF($AD$16:$AD$17,"&lt;&gt;",$AF$16:$AF$17)</f>
        <v>1.6495936026860291E-2</v>
      </c>
      <c r="AE15" s="210">
        <f>SUMPRODUCT($AE$16:$AE$17,$AF$16:$AF$17)/SUMIF($AE$16:$AE$17,"&lt;&gt;",$AF$16:$AF$17)</f>
        <v>45352</v>
      </c>
      <c r="AF15" s="207">
        <f>SUM($AF$16:$AF$17)</f>
        <v>39416.359206749999</v>
      </c>
      <c r="AG15" s="207">
        <f>SUM($AG$16:$AG$17)</f>
        <v>39298.194533044065</v>
      </c>
      <c r="AH15" s="207">
        <f>SUM($AH$16:$AH$17)</f>
        <v>2131.19417445</v>
      </c>
      <c r="AI15" s="207">
        <f>SUM($AI$16:$AI$17)</f>
        <v>179.05627718753902</v>
      </c>
      <c r="AJ15" s="207">
        <f>SUM($AJ$16:$AJ$17)</f>
        <v>2310.2504516375393</v>
      </c>
      <c r="AK15" s="279"/>
      <c r="AL15" s="206">
        <f>SUMPRODUCT($AL$16:$AL$17,$AF$16:$AF$17)/SUMIF($AL$16:$AL$17,"&lt;&gt;",$AF$16:$AF$17)</f>
        <v>0.6818965368112867</v>
      </c>
      <c r="AM15" s="129">
        <f>SUMPRODUCT($AM$16:$AM$17,$AF$16:$AF$17)/SUMIF($AM$16:$AM$17,"&lt;&gt;",$AF$16:$AF$17)</f>
        <v>731.28733047289688</v>
      </c>
      <c r="AN15" s="199"/>
      <c r="AO15" s="199"/>
      <c r="AP15" s="199"/>
      <c r="AQ15" s="199"/>
      <c r="AR15" s="206">
        <f>SUMPRODUCT($AR$16:$AR$17,$AF$16:$AF$17)/SUMIF($AR$16:$AR$17,"&lt;&gt;",$AF$16:$AF$17)</f>
        <v>0.14061056644308878</v>
      </c>
      <c r="AS15" s="206">
        <f>SUMPRODUCT($AS$16:$AS$17,$AF$16:$AF$17)/SUMIF($AS$16:$AS$17,"&lt;&gt;",$AF$16:$AF$17)</f>
        <v>0</v>
      </c>
      <c r="AT15" s="206">
        <f>SUMPRODUCT($AT$16:$AT$17,$AF$16:$AF$17)/SUMIF($AT$16:$AT$17,"&lt;&gt;",$AF$16:$AF$17)</f>
        <v>0</v>
      </c>
      <c r="AU15" s="283">
        <f>SUMPRODUCT($AU$16:$AU$17,$AF$16:$AF$17)/SUMIF($AU$16:$AU$17,"&lt;&gt;",$AF$16:$AF$17)</f>
        <v>0</v>
      </c>
    </row>
    <row r="16" spans="1:47" x14ac:dyDescent="0.25">
      <c r="B16" s="262" t="s">
        <v>176</v>
      </c>
      <c r="C16" s="132" t="s">
        <v>331</v>
      </c>
      <c r="D16" s="132" t="s">
        <v>125</v>
      </c>
      <c r="E16" s="133">
        <v>5.1890000000000001</v>
      </c>
      <c r="F16" s="133">
        <v>5.9009999999999998</v>
      </c>
      <c r="G16" s="134">
        <v>230</v>
      </c>
      <c r="H16" s="134">
        <v>130</v>
      </c>
      <c r="I16" s="223">
        <v>52352</v>
      </c>
      <c r="J16" s="224">
        <v>3</v>
      </c>
      <c r="K16" s="134">
        <v>375637</v>
      </c>
      <c r="L16" s="134">
        <v>593000</v>
      </c>
      <c r="M16" s="266">
        <v>99.575595855712891</v>
      </c>
      <c r="N16" s="13">
        <v>26.79</v>
      </c>
      <c r="O16" s="13">
        <v>21.5015529149</v>
      </c>
      <c r="P16" s="260">
        <v>66.657974106707798</v>
      </c>
      <c r="Q16" s="13">
        <v>30.703174097124599</v>
      </c>
      <c r="R16" s="13">
        <v>29.6026705849685</v>
      </c>
      <c r="S16" s="13">
        <v>27.5725773712328</v>
      </c>
      <c r="T16" s="143">
        <v>66.66</v>
      </c>
      <c r="U16" s="143">
        <v>0.16</v>
      </c>
      <c r="V16" s="143">
        <v>0.04</v>
      </c>
      <c r="W16" s="270">
        <v>6.9630000000000001</v>
      </c>
      <c r="X16" s="133">
        <v>6.98</v>
      </c>
      <c r="Y16" s="133">
        <v>6.7930000000000001</v>
      </c>
      <c r="Z16" s="133">
        <v>6.95</v>
      </c>
      <c r="AA16" s="133">
        <v>6.9539999999999997</v>
      </c>
      <c r="AB16" s="274">
        <v>6.9610000000000003</v>
      </c>
      <c r="AC16" s="8">
        <v>818265</v>
      </c>
      <c r="AD16" s="11">
        <v>2.5607950000000001E-2</v>
      </c>
      <c r="AE16" s="30">
        <v>45352</v>
      </c>
      <c r="AF16" s="8">
        <v>20954.089206749999</v>
      </c>
      <c r="AG16" s="8">
        <v>20865.159183758937</v>
      </c>
      <c r="AH16" s="8">
        <v>2062.1341744499991</v>
      </c>
      <c r="AI16" s="8">
        <v>99.525985937539005</v>
      </c>
      <c r="AJ16" s="8">
        <v>2161.6601603875383</v>
      </c>
      <c r="AK16" s="278"/>
      <c r="AL16" s="135">
        <v>0.71</v>
      </c>
      <c r="AM16" s="134">
        <v>780</v>
      </c>
      <c r="AN16" s="132" t="s">
        <v>278</v>
      </c>
      <c r="AO16" s="132" t="s">
        <v>332</v>
      </c>
      <c r="AP16" s="132" t="s">
        <v>333</v>
      </c>
      <c r="AQ16" s="132" t="s">
        <v>334</v>
      </c>
      <c r="AR16" s="135">
        <v>0.26450000000000001</v>
      </c>
      <c r="AS16" s="135">
        <v>0</v>
      </c>
      <c r="AT16" s="135">
        <v>0</v>
      </c>
      <c r="AU16" s="282">
        <v>0</v>
      </c>
    </row>
    <row r="17" spans="2:47" x14ac:dyDescent="0.25">
      <c r="B17" s="262" t="s">
        <v>180</v>
      </c>
      <c r="C17" s="132" t="s">
        <v>345</v>
      </c>
      <c r="D17" s="132" t="s">
        <v>125</v>
      </c>
      <c r="E17" s="133">
        <v>5.15</v>
      </c>
      <c r="F17" s="133">
        <v>6</v>
      </c>
      <c r="G17" s="134">
        <v>170</v>
      </c>
      <c r="H17" s="134">
        <v>190</v>
      </c>
      <c r="I17" s="223">
        <v>50526</v>
      </c>
      <c r="J17" s="224">
        <v>1</v>
      </c>
      <c r="K17" s="134">
        <v>139000</v>
      </c>
      <c r="L17" s="134">
        <v>139000</v>
      </c>
      <c r="M17" s="266">
        <v>99.841651916503906</v>
      </c>
      <c r="N17" s="13">
        <v>25.17</v>
      </c>
      <c r="O17" s="13">
        <v>10.0268698183</v>
      </c>
      <c r="P17" s="197">
        <v>1.56249426840893E-2</v>
      </c>
      <c r="Q17" s="13">
        <v>0.13379566964515399</v>
      </c>
      <c r="R17" s="13">
        <v>0.182997709108423</v>
      </c>
      <c r="S17" s="13">
        <v>0.19499393587935099</v>
      </c>
      <c r="T17" s="143">
        <v>0.02</v>
      </c>
      <c r="U17" s="143">
        <v>0.01</v>
      </c>
      <c r="V17" s="143">
        <v>0.37</v>
      </c>
      <c r="W17" s="270">
        <v>6.9459999999999997</v>
      </c>
      <c r="X17" s="133">
        <v>7.0389999999999997</v>
      </c>
      <c r="Y17" s="133">
        <v>7.0860000000000003</v>
      </c>
      <c r="Z17" s="133">
        <v>7.0860000000000003</v>
      </c>
      <c r="AA17" s="133">
        <v>7.0860000000000003</v>
      </c>
      <c r="AB17" s="274">
        <v>7.0860000000000003</v>
      </c>
      <c r="AC17" s="8">
        <v>3000000</v>
      </c>
      <c r="AD17" s="11">
        <v>6.1540900000000001E-3</v>
      </c>
      <c r="AE17" s="30">
        <v>45352</v>
      </c>
      <c r="AF17" s="8">
        <v>18462.27</v>
      </c>
      <c r="AG17" s="8">
        <v>18433.035349285125</v>
      </c>
      <c r="AH17" s="8">
        <v>69.060000000000997</v>
      </c>
      <c r="AI17" s="8">
        <v>79.530291250000005</v>
      </c>
      <c r="AJ17" s="8">
        <v>148.590291250001</v>
      </c>
      <c r="AK17" s="278"/>
      <c r="AL17" s="135">
        <v>0.65</v>
      </c>
      <c r="AM17" s="134">
        <v>676</v>
      </c>
      <c r="AN17" s="132" t="s">
        <v>212</v>
      </c>
      <c r="AO17" s="132" t="s">
        <v>113</v>
      </c>
      <c r="AP17" s="132" t="s">
        <v>346</v>
      </c>
      <c r="AQ17" s="132" t="s">
        <v>133</v>
      </c>
      <c r="AR17" s="135">
        <v>0</v>
      </c>
      <c r="AS17" s="135">
        <v>0</v>
      </c>
      <c r="AT17" s="135">
        <v>0</v>
      </c>
      <c r="AU17" s="282">
        <v>0</v>
      </c>
    </row>
    <row r="18" spans="2:47" s="237" customFormat="1" x14ac:dyDescent="0.25">
      <c r="B18" s="263" t="s">
        <v>282</v>
      </c>
      <c r="C18" s="199"/>
      <c r="D18" s="199"/>
      <c r="E18" s="200">
        <f>SUMPRODUCT($E$19:$E$22,$AF$19:$AF$22)/SUMIF($E$19:$E$22,"&lt;&gt;",$AF$19:$AF$22)</f>
        <v>5.2936301866953421</v>
      </c>
      <c r="F18" s="200">
        <f>SUMPRODUCT($F$19:$F$22,$AF$19:$AF$22)/SUMIF($F$19:$F$22,"&lt;&gt;",$AF$19:$AF$22)</f>
        <v>5.8647502934906095</v>
      </c>
      <c r="G18" s="129">
        <f>SUMPRODUCT($G$19:$G$22,$AF$19:$AF$22)/SUMIF($G$19:$G$22,"&lt;&gt;",$AF$19:$AF$22)</f>
        <v>221.06327305874575</v>
      </c>
      <c r="H18" s="129">
        <f>SUMPRODUCT($H$19:$H$22,$AF$19:$AF$22)/SUMIF($H$19:$H$22,"&lt;&gt;",$AF$19:$AF$22)</f>
        <v>138.93672694125422</v>
      </c>
      <c r="I18" s="201">
        <f>SUMPRODUCT($I$19:$I$22,$AF$19:$AF$22)/SUMIF($I$19:$I$22,"&lt;&gt;",$AF$19:$AF$22)</f>
        <v>52111.501014341557</v>
      </c>
      <c r="J18" s="202">
        <f>SUM($J$19:$J$22)</f>
        <v>21</v>
      </c>
      <c r="K18" s="129">
        <f>SUMPRODUCT($K$19:$K$22,$AF$19:$AF$22)/SUMIF($K$19:$K$22,"&lt;&gt;",$AF$19:$AF$22)</f>
        <v>311450.07538049825</v>
      </c>
      <c r="L18" s="129">
        <f>SUMPRODUCT($L$19:$L$22,$AF$19:$AF$22)/SUMIF($L$19:$L$22,"&lt;&gt;",$AF$19:$AF$22)</f>
        <v>439544.38450729602</v>
      </c>
      <c r="M18" s="267">
        <f>SUMPRODUCT($M$19:$M$22,$AF$19:$AF$22)/SUMIF($M$19:$M$22,"&lt;&gt;",$AF$19:$AF$22)</f>
        <v>100.68135143747101</v>
      </c>
      <c r="N18" s="208">
        <f>SUMPRODUCT($N$19:$N$22,$AF$19:$AF$22)/SUMIF($N$19:$N$22,"&lt;&gt;",$AF$19:$AF$22)</f>
        <v>25.295471109029737</v>
      </c>
      <c r="O18" s="208">
        <f>SUMPRODUCT($O$19:$O$22,$AF$19:$AF$22)/SUMIF($O$19:$O$22,"&lt;&gt;",$AF$19:$AF$22)</f>
        <v>21.291625597640863</v>
      </c>
      <c r="P18" s="208">
        <f>SUMPRODUCT($P$19:$P$22,$AF$19:$AF$22)/SUMIF($P$19:$P$22,"&lt;&gt;",$AF$19:$AF$22)</f>
        <v>0.13990245349517605</v>
      </c>
      <c r="Q18" s="208">
        <f>SUMPRODUCT($Q$19:$Q$22,$AF$19:$AF$22)/SUMIF($Q$19:$Q$22,"&lt;&gt;",$AF$19:$AF$22)</f>
        <v>0.45842382422400735</v>
      </c>
      <c r="R18" s="208">
        <f>SUMPRODUCT($R$19:$R$22,$AF$19:$AF$22)/SUMIF($R$19:$R$22,"&lt;&gt;",$AF$19:$AF$22)</f>
        <v>0.68957774391409954</v>
      </c>
      <c r="S18" s="208">
        <f>SUMPRODUCT($S$19:$S$22,$AF$19:$AF$22)/SUMIF($S$19:$S$22,"&lt;&gt;",$AF$19:$AF$22)</f>
        <v>6.5769062045746969</v>
      </c>
      <c r="T18" s="208">
        <f>SUMPRODUCT($T$19:$T$22,$AF$19:$AF$22)/SUMIF($T$19:$T$22,"&lt;&gt;",$AF$19:$AF$22)</f>
        <v>0.14037653884171009</v>
      </c>
      <c r="U18" s="208">
        <f>SUMPRODUCT($U$19:$U$22,$AF$19:$AF$22)/SUMIF($U$19:$U$22,"&lt;&gt;",$AF$19:$AF$22)</f>
        <v>0.86610252913971364</v>
      </c>
      <c r="V18" s="208">
        <f>SUMPRODUCT($V$19:$V$22,$AF$19:$AF$22)/SUMIF($V$19:$V$22,"&lt;&gt;",$AF$19:$AF$22)</f>
        <v>0.36912826673518517</v>
      </c>
      <c r="W18" s="271">
        <f>SUMPRODUCT($W$19:$W$22,$AF$19:$AF$22)/SUMIF($W$19:$W$22,"&lt;&gt;",$AF$19:$AF$22)</f>
        <v>6.5969993924234389</v>
      </c>
      <c r="X18" s="200">
        <f>SUMPRODUCT($X$19:$X$22,$AF$19:$AF$22)/SUMIF($X$19:$X$22,"&lt;&gt;",$AF$19:$AF$22)</f>
        <v>6.6735996482371238</v>
      </c>
      <c r="Y18" s="200">
        <f>SUMPRODUCT($Y$19:$Y$22,$AF$19:$AF$22)/SUMIF($Y$19:$Y$22,"&lt;&gt;",$AF$19:$AF$22)</f>
        <v>6.959345220959019</v>
      </c>
      <c r="Z18" s="200">
        <f>SUMPRODUCT($Z$19:$Z$22,$AF$19:$AF$22)/SUMIF($Z$19:$Z$22,"&lt;&gt;",$AF$19:$AF$22)</f>
        <v>6.956042374076401</v>
      </c>
      <c r="AA18" s="200">
        <f>SUMPRODUCT($AA$19:$AA$22,$AF$19:$AF$22)/SUMIF($AA$19:$AA$22,"&lt;&gt;",$AF$19:$AF$22)</f>
        <v>6.9533833595915437</v>
      </c>
      <c r="AB18" s="275">
        <f>SUMPRODUCT($AB$19:$AB$22,$AF$19:$AF$22)/SUMIF($AB$19:$AB$22,"&lt;&gt;",$AF$19:$AF$22)</f>
        <v>6.8427159730579818</v>
      </c>
      <c r="AC18" s="207">
        <f>SUM($AC$19:$AC$22)</f>
        <v>7250000</v>
      </c>
      <c r="AD18" s="209">
        <f>SUMPRODUCT($AD$19:$AD$22,$AF$19:$AF$22)/SUMIF($AD$19:$AD$22,"&lt;&gt;",$AF$19:$AF$22)</f>
        <v>2.7185000418608385E-2</v>
      </c>
      <c r="AE18" s="210">
        <f>SUMPRODUCT($AE$19:$AE$22,$AF$19:$AF$22)/SUMIF($AE$19:$AE$22,"&lt;&gt;",$AF$19:$AF$22)</f>
        <v>45352</v>
      </c>
      <c r="AF18" s="207">
        <f>SUM($AF$19:$AF$22)</f>
        <v>134435.73250000001</v>
      </c>
      <c r="AG18" s="207">
        <f>SUM($AG$19:$AG$22)</f>
        <v>135351.71229586343</v>
      </c>
      <c r="AH18" s="207">
        <f>SUM($AH$19:$AH$22)</f>
        <v>354.22750000000099</v>
      </c>
      <c r="AI18" s="207">
        <f>SUM($AI$19:$AI$22)</f>
        <v>594.60705656666664</v>
      </c>
      <c r="AJ18" s="207">
        <f>SUM($AJ$19:$AJ$22)</f>
        <v>948.83455656666763</v>
      </c>
      <c r="AK18" s="279"/>
      <c r="AL18" s="206">
        <f>SUMPRODUCT($AL$19:$AL$22,$AF$19:$AF$22)/SUMIF($AL$19:$AL$22,"&lt;&gt;",$AF$19:$AF$22)</f>
        <v>0.70320587608655305</v>
      </c>
      <c r="AM18" s="129">
        <f>SUMPRODUCT($AM$19:$AM$22,$AF$19:$AF$22)/SUMIF($AM$19:$AM$22,"&lt;&gt;",$AF$19:$AF$22)</f>
        <v>773.67250435073129</v>
      </c>
      <c r="AN18" s="199"/>
      <c r="AO18" s="199"/>
      <c r="AP18" s="199"/>
      <c r="AQ18" s="199"/>
      <c r="AR18" s="206">
        <f>SUMPRODUCT($AR$19:$AR$22,$AF$19:$AF$22)/SUMIF($AR$19:$AR$22,"&lt;&gt;",$AF$19:$AF$22)</f>
        <v>0.29689564922964201</v>
      </c>
      <c r="AS18" s="206">
        <f>SUMPRODUCT($AS$19:$AS$22,$AF$19:$AF$22)/SUMIF($AS$19:$AS$22,"&lt;&gt;",$AF$19:$AF$22)</f>
        <v>0</v>
      </c>
      <c r="AT18" s="206">
        <f>SUMPRODUCT($AT$19:$AT$22,$AF$19:$AF$22)/SUMIF($AT$19:$AT$22,"&lt;&gt;",$AF$19:$AF$22)</f>
        <v>0</v>
      </c>
      <c r="AU18" s="283">
        <f>SUMPRODUCT($AU$19:$AU$22,$AF$19:$AF$22)/SUMIF($AU$19:$AU$22,"&lt;&gt;",$AF$19:$AF$22)</f>
        <v>0</v>
      </c>
    </row>
    <row r="19" spans="2:47" x14ac:dyDescent="0.25">
      <c r="B19" s="262" t="s">
        <v>192</v>
      </c>
      <c r="C19" s="132" t="s">
        <v>382</v>
      </c>
      <c r="D19" s="132" t="s">
        <v>125</v>
      </c>
      <c r="E19" s="133">
        <v>5.26</v>
      </c>
      <c r="F19" s="133">
        <v>6</v>
      </c>
      <c r="G19" s="134">
        <v>230</v>
      </c>
      <c r="H19" s="134">
        <v>130</v>
      </c>
      <c r="I19" s="223">
        <v>52413</v>
      </c>
      <c r="J19" s="224">
        <v>1</v>
      </c>
      <c r="K19" s="134">
        <v>90000</v>
      </c>
      <c r="L19" s="134">
        <v>90000</v>
      </c>
      <c r="M19" s="266">
        <v>100.15545272827148</v>
      </c>
      <c r="N19" s="13">
        <v>46.13</v>
      </c>
      <c r="O19" s="13">
        <v>21.5015529149</v>
      </c>
      <c r="P19" s="197">
        <v>1.04266896013061E-2</v>
      </c>
      <c r="Q19" s="13">
        <v>3.7504041950020598E-3</v>
      </c>
      <c r="R19" s="13">
        <v>1.75772144880293E-3</v>
      </c>
      <c r="S19" s="13">
        <v>1.4756418427303699</v>
      </c>
      <c r="T19" s="143">
        <v>0.01</v>
      </c>
      <c r="U19" s="143">
        <v>0</v>
      </c>
      <c r="V19" s="143">
        <v>0</v>
      </c>
      <c r="W19" s="270">
        <v>6.63</v>
      </c>
      <c r="X19" s="133">
        <v>6.9359999999999999</v>
      </c>
      <c r="Y19" s="133">
        <v>7.1219999999999999</v>
      </c>
      <c r="Z19" s="133">
        <v>7.1219999999999999</v>
      </c>
      <c r="AA19" s="133">
        <v>7.1219999999999999</v>
      </c>
      <c r="AB19" s="274">
        <v>7.1120000000000001</v>
      </c>
      <c r="AC19" s="8">
        <v>2000000</v>
      </c>
      <c r="AD19" s="11">
        <v>9.7692000000000005E-4</v>
      </c>
      <c r="AE19" s="30">
        <v>45352</v>
      </c>
      <c r="AF19" s="8">
        <v>1953.8400000000001</v>
      </c>
      <c r="AG19" s="8">
        <v>1956.8772975860597</v>
      </c>
      <c r="AH19" s="8">
        <v>4.5399999999999263</v>
      </c>
      <c r="AI19" s="8">
        <v>8.5842323333333326</v>
      </c>
      <c r="AJ19" s="8">
        <v>13.124232333333259</v>
      </c>
      <c r="AK19" s="278"/>
      <c r="AL19" s="135">
        <v>0.25</v>
      </c>
      <c r="AM19" s="134">
        <v>784</v>
      </c>
      <c r="AN19" s="132" t="s">
        <v>202</v>
      </c>
      <c r="AO19" s="132" t="s">
        <v>263</v>
      </c>
      <c r="AP19" s="132" t="s">
        <v>111</v>
      </c>
      <c r="AQ19" s="132" t="s">
        <v>122</v>
      </c>
      <c r="AR19" s="135">
        <v>1</v>
      </c>
      <c r="AS19" s="135">
        <v>0</v>
      </c>
      <c r="AT19" s="135">
        <v>0</v>
      </c>
      <c r="AU19" s="282">
        <v>0</v>
      </c>
    </row>
    <row r="20" spans="2:47" x14ac:dyDescent="0.25">
      <c r="B20" s="262" t="s">
        <v>186</v>
      </c>
      <c r="C20" s="132" t="s">
        <v>367</v>
      </c>
      <c r="D20" s="132" t="s">
        <v>125</v>
      </c>
      <c r="E20" s="133">
        <v>5.2569999999999997</v>
      </c>
      <c r="F20" s="133">
        <v>5.9180000000000001</v>
      </c>
      <c r="G20" s="134">
        <v>253</v>
      </c>
      <c r="H20" s="134">
        <v>107</v>
      </c>
      <c r="I20" s="223">
        <v>53083</v>
      </c>
      <c r="J20" s="224">
        <v>8</v>
      </c>
      <c r="K20" s="134">
        <v>279931</v>
      </c>
      <c r="L20" s="134">
        <v>403000</v>
      </c>
      <c r="M20" s="266">
        <v>101.54716873168945</v>
      </c>
      <c r="N20" s="13">
        <v>27.03</v>
      </c>
      <c r="O20" s="13">
        <v>19.162170316699999</v>
      </c>
      <c r="P20" s="197">
        <v>0.285013822963254</v>
      </c>
      <c r="Q20" s="13">
        <v>0.28726853294238602</v>
      </c>
      <c r="R20" s="13">
        <v>0.27325675732480198</v>
      </c>
      <c r="S20" s="13">
        <v>20.506558851698401</v>
      </c>
      <c r="T20" s="143">
        <v>0.28999999999999998</v>
      </c>
      <c r="U20" s="143">
        <v>0.25</v>
      </c>
      <c r="V20" s="143">
        <v>0.33</v>
      </c>
      <c r="W20" s="270">
        <v>6.3730000000000002</v>
      </c>
      <c r="X20" s="133">
        <v>6.6050000000000004</v>
      </c>
      <c r="Y20" s="133">
        <v>7.056</v>
      </c>
      <c r="Z20" s="133">
        <v>7.056</v>
      </c>
      <c r="AA20" s="133">
        <v>7.056</v>
      </c>
      <c r="AB20" s="274">
        <v>6.5670000000000002</v>
      </c>
      <c r="AC20" s="8">
        <v>250000</v>
      </c>
      <c r="AD20" s="11">
        <v>4.8255010000000001E-2</v>
      </c>
      <c r="AE20" s="30">
        <v>45352</v>
      </c>
      <c r="AF20" s="8">
        <v>12063.752500000001</v>
      </c>
      <c r="AG20" s="8">
        <v>12250.399106548406</v>
      </c>
      <c r="AH20" s="8">
        <v>26.827499999999837</v>
      </c>
      <c r="AI20" s="8">
        <v>52.966815883333332</v>
      </c>
      <c r="AJ20" s="8">
        <v>79.794315883333169</v>
      </c>
      <c r="AK20" s="278"/>
      <c r="AL20" s="135">
        <v>0.74</v>
      </c>
      <c r="AM20" s="134">
        <v>755</v>
      </c>
      <c r="AN20" s="132" t="s">
        <v>202</v>
      </c>
      <c r="AO20" s="132" t="s">
        <v>368</v>
      </c>
      <c r="AP20" s="132" t="s">
        <v>293</v>
      </c>
      <c r="AQ20" s="132" t="s">
        <v>131</v>
      </c>
      <c r="AR20" s="135">
        <v>1.8100000000000002E-2</v>
      </c>
      <c r="AS20" s="135">
        <v>0</v>
      </c>
      <c r="AT20" s="135">
        <v>0</v>
      </c>
      <c r="AU20" s="282">
        <v>0</v>
      </c>
    </row>
    <row r="21" spans="2:47" x14ac:dyDescent="0.25">
      <c r="B21" s="262" t="s">
        <v>171</v>
      </c>
      <c r="C21" s="132" t="s">
        <v>315</v>
      </c>
      <c r="D21" s="132" t="s">
        <v>125</v>
      </c>
      <c r="E21" s="133">
        <v>5.2539999999999996</v>
      </c>
      <c r="F21" s="133">
        <v>5.7990000000000004</v>
      </c>
      <c r="G21" s="134">
        <v>217</v>
      </c>
      <c r="H21" s="134">
        <v>143</v>
      </c>
      <c r="I21" s="223">
        <v>51987</v>
      </c>
      <c r="J21" s="224">
        <v>4</v>
      </c>
      <c r="K21" s="134">
        <v>301886</v>
      </c>
      <c r="L21" s="134">
        <v>400000</v>
      </c>
      <c r="M21" s="266">
        <v>100.9955940246582</v>
      </c>
      <c r="N21" s="13">
        <v>27.17</v>
      </c>
      <c r="O21" s="13">
        <v>21.5015529149</v>
      </c>
      <c r="P21" s="197">
        <v>6.8015983087488199E-2</v>
      </c>
      <c r="Q21" s="13">
        <v>0.64201334747845396</v>
      </c>
      <c r="R21" s="13">
        <v>1.237444469725</v>
      </c>
      <c r="S21" s="13">
        <v>16.908268361573398</v>
      </c>
      <c r="T21" s="143">
        <v>7.0000000000000007E-2</v>
      </c>
      <c r="U21" s="143">
        <v>0.87</v>
      </c>
      <c r="V21" s="143">
        <v>0.99</v>
      </c>
      <c r="W21" s="270">
        <v>6.657</v>
      </c>
      <c r="X21" s="133">
        <v>6.7789999999999999</v>
      </c>
      <c r="Y21" s="133">
        <v>7.149</v>
      </c>
      <c r="Z21" s="133">
        <v>7.141</v>
      </c>
      <c r="AA21" s="133">
        <v>7.133</v>
      </c>
      <c r="AB21" s="274">
        <v>6.8710000000000004</v>
      </c>
      <c r="AC21" s="8">
        <v>2000000</v>
      </c>
      <c r="AD21" s="11">
        <v>1.6932030000000001E-2</v>
      </c>
      <c r="AE21" s="30">
        <v>45352</v>
      </c>
      <c r="AF21" s="8">
        <v>33864.060000000005</v>
      </c>
      <c r="AG21" s="8">
        <v>34201.208557866674</v>
      </c>
      <c r="AH21" s="8">
        <v>90.119999999999095</v>
      </c>
      <c r="AI21" s="8">
        <v>148.66271809999998</v>
      </c>
      <c r="AJ21" s="8">
        <v>238.78271809999907</v>
      </c>
      <c r="AK21" s="278"/>
      <c r="AL21" s="135">
        <v>0.75</v>
      </c>
      <c r="AM21" s="134">
        <v>761</v>
      </c>
      <c r="AN21" s="132" t="s">
        <v>123</v>
      </c>
      <c r="AO21" s="132" t="s">
        <v>316</v>
      </c>
      <c r="AP21" s="132" t="s">
        <v>317</v>
      </c>
      <c r="AQ21" s="132" t="s">
        <v>318</v>
      </c>
      <c r="AR21" s="135">
        <v>0.1072</v>
      </c>
      <c r="AS21" s="135">
        <v>0</v>
      </c>
      <c r="AT21" s="135">
        <v>0</v>
      </c>
      <c r="AU21" s="282">
        <v>0</v>
      </c>
    </row>
    <row r="22" spans="2:47" x14ac:dyDescent="0.25">
      <c r="B22" s="262" t="s">
        <v>160</v>
      </c>
      <c r="C22" s="132" t="s">
        <v>277</v>
      </c>
      <c r="D22" s="132" t="s">
        <v>125</v>
      </c>
      <c r="E22" s="133">
        <v>5.3150000000000004</v>
      </c>
      <c r="F22" s="133">
        <v>5.88</v>
      </c>
      <c r="G22" s="134">
        <v>218</v>
      </c>
      <c r="H22" s="134">
        <v>142</v>
      </c>
      <c r="I22" s="223">
        <v>52018</v>
      </c>
      <c r="J22" s="224">
        <v>8</v>
      </c>
      <c r="K22" s="134">
        <v>324584</v>
      </c>
      <c r="L22" s="134">
        <v>468000</v>
      </c>
      <c r="M22" s="266">
        <v>100.44960021972656</v>
      </c>
      <c r="N22" s="13">
        <v>23.85</v>
      </c>
      <c r="O22" s="13">
        <v>21.5015529149</v>
      </c>
      <c r="P22" s="197">
        <v>0.15072522496246701</v>
      </c>
      <c r="Q22" s="13">
        <v>0.420713846337539</v>
      </c>
      <c r="R22" s="13">
        <v>0.54877897325648095</v>
      </c>
      <c r="S22" s="13">
        <v>0.70845152801343203</v>
      </c>
      <c r="T22" s="143">
        <v>0.15</v>
      </c>
      <c r="U22" s="143">
        <v>0.97</v>
      </c>
      <c r="V22" s="143">
        <v>0.14000000000000001</v>
      </c>
      <c r="W22" s="270">
        <v>6.6040000000000001</v>
      </c>
      <c r="X22" s="133">
        <v>6.6360000000000001</v>
      </c>
      <c r="Y22" s="133">
        <v>6.8680000000000003</v>
      </c>
      <c r="Z22" s="133">
        <v>6.8659999999999997</v>
      </c>
      <c r="AA22" s="133">
        <v>6.8650000000000002</v>
      </c>
      <c r="AB22" s="274">
        <v>6.8639999999999999</v>
      </c>
      <c r="AC22" s="8">
        <v>3000000</v>
      </c>
      <c r="AD22" s="11">
        <v>2.885136E-2</v>
      </c>
      <c r="AE22" s="30">
        <v>45352</v>
      </c>
      <c r="AF22" s="8">
        <v>86554.08</v>
      </c>
      <c r="AG22" s="8">
        <v>86943.227333862291</v>
      </c>
      <c r="AH22" s="8">
        <v>232.74000000000211</v>
      </c>
      <c r="AI22" s="8">
        <v>384.39329025000006</v>
      </c>
      <c r="AJ22" s="8">
        <v>617.13329025000212</v>
      </c>
      <c r="AK22" s="278"/>
      <c r="AL22" s="135">
        <v>0.69</v>
      </c>
      <c r="AM22" s="134">
        <v>781</v>
      </c>
      <c r="AN22" s="132" t="s">
        <v>278</v>
      </c>
      <c r="AO22" s="132" t="s">
        <v>279</v>
      </c>
      <c r="AP22" s="132" t="s">
        <v>280</v>
      </c>
      <c r="AQ22" s="132" t="s">
        <v>281</v>
      </c>
      <c r="AR22" s="135">
        <v>0.39409999999999995</v>
      </c>
      <c r="AS22" s="135">
        <v>0</v>
      </c>
      <c r="AT22" s="135">
        <v>0</v>
      </c>
      <c r="AU22" s="282">
        <v>0</v>
      </c>
    </row>
    <row r="23" spans="2:47" s="237" customFormat="1" x14ac:dyDescent="0.25">
      <c r="B23" s="263" t="s">
        <v>344</v>
      </c>
      <c r="C23" s="199"/>
      <c r="D23" s="199"/>
      <c r="E23" s="200">
        <f>SUMPRODUCT($E$24:$E$24,$AF$24:$AF$24)/SUMIF($E$24:$E$24,"&lt;&gt;",$AF$24:$AF$24)</f>
        <v>5.5529999999999999</v>
      </c>
      <c r="F23" s="200">
        <f>SUMPRODUCT($F$24:$F$24,$AF$24:$AF$24)/SUMIF($F$24:$F$24,"&lt;&gt;",$AF$24:$AF$24)</f>
        <v>6.2430000000000003</v>
      </c>
      <c r="G23" s="129">
        <f>SUMPRODUCT($G$24:$G$24,$AF$24:$AF$24)/SUMIF($G$24:$G$24,"&lt;&gt;",$AF$24:$AF$24)</f>
        <v>241.99999999999997</v>
      </c>
      <c r="H23" s="129">
        <f>SUMPRODUCT($H$24:$H$24,$AF$24:$AF$24)/SUMIF($H$24:$H$24,"&lt;&gt;",$AF$24:$AF$24)</f>
        <v>118.00000000000001</v>
      </c>
      <c r="I23" s="201">
        <f>SUMPRODUCT($I$24:$I$24,$AF$24:$AF$24)/SUMIF($I$24:$I$24,"&lt;&gt;",$AF$24:$AF$24)</f>
        <v>52749</v>
      </c>
      <c r="J23" s="202">
        <f>SUM($J$24:$J$24)</f>
        <v>3</v>
      </c>
      <c r="K23" s="129">
        <f>SUMPRODUCT($K$24:$K$24,$AF$24:$AF$24)/SUMIF($K$24:$K$24,"&lt;&gt;",$AF$24:$AF$24)</f>
        <v>205251</v>
      </c>
      <c r="L23" s="129">
        <f>SUMPRODUCT($L$24:$L$24,$AF$24:$AF$24)/SUMIF($L$24:$L$24,"&lt;&gt;",$AF$24:$AF$24)</f>
        <v>245999.99999999997</v>
      </c>
      <c r="M23" s="267">
        <f>SUMPRODUCT($M$24:$M$24,$AF$24:$AF$24)/SUMIF($M$24:$M$24,"&lt;&gt;",$AF$24:$AF$24)</f>
        <v>100.54645919799805</v>
      </c>
      <c r="N23" s="208">
        <f>SUMPRODUCT($N$24:$N$24,$AF$24:$AF$24)/SUMIF($N$24:$N$24,"&lt;&gt;",$AF$24:$AF$24)</f>
        <v>31.880000000000003</v>
      </c>
      <c r="O23" s="208">
        <f>SUMPRODUCT($O$24:$O$24,$AF$24:$AF$24)/SUMIF($O$24:$O$24,"&lt;&gt;",$AF$24:$AF$24)</f>
        <v>12.0609634215</v>
      </c>
      <c r="P23" s="208">
        <f>SUMPRODUCT($P$24:$P$24,$AF$24:$AF$24)/SUMIF($P$24:$P$24,"&lt;&gt;",$AF$24:$AF$24)</f>
        <v>1.9911556121182401</v>
      </c>
      <c r="Q23" s="208">
        <f>SUMPRODUCT($Q$24:$Q$24,$AF$24:$AF$24)/SUMIF($Q$24:$Q$24,"&lt;&gt;",$AF$24:$AF$24)</f>
        <v>8.1898173852097393</v>
      </c>
      <c r="R23" s="208">
        <f>SUMPRODUCT($R$24:$R$24,$AF$24:$AF$24)/SUMIF($R$24:$R$24,"&lt;&gt;",$AF$24:$AF$24)</f>
        <v>12.4464810864469</v>
      </c>
      <c r="S23" s="208">
        <f>SUMPRODUCT($S$24:$S$24,$AF$24:$AF$24)/SUMIF($S$24:$S$24,"&lt;&gt;",$AF$24:$AF$24)</f>
        <v>15.399790133223</v>
      </c>
      <c r="T23" s="208">
        <f>SUMPRODUCT($T$24:$T$24,$AF$24:$AF$24)/SUMIF($T$24:$T$24,"&lt;&gt;",$AF$24:$AF$24)</f>
        <v>1.9900000000000002</v>
      </c>
      <c r="U23" s="208">
        <f>SUMPRODUCT($U$24:$U$24,$AF$24:$AF$24)/SUMIF($U$24:$U$24,"&lt;&gt;",$AF$24:$AF$24)</f>
        <v>1.88</v>
      </c>
      <c r="V23" s="208">
        <f>SUMPRODUCT($V$24:$V$24,$AF$24:$AF$24)/SUMIF($V$24:$V$24,"&lt;&gt;",$AF$24:$AF$24)</f>
        <v>19.53</v>
      </c>
      <c r="W23" s="271">
        <f>SUMPRODUCT($W$24:$W$24,$AF$24:$AF$24)/SUMIF($W$24:$W$24,"&lt;&gt;",$AF$24:$AF$24)</f>
        <v>6.7270000000000003</v>
      </c>
      <c r="X23" s="200">
        <f>SUMPRODUCT($X$24:$X$24,$AF$24:$AF$24)/SUMIF($X$24:$X$24,"&lt;&gt;",$AF$24:$AF$24)</f>
        <v>7.0359999999999987</v>
      </c>
      <c r="Y23" s="200">
        <f>SUMPRODUCT($Y$24:$Y$24,$AF$24:$AF$24)/SUMIF($Y$24:$Y$24,"&lt;&gt;",$AF$24:$AF$24)</f>
        <v>7.1569999999999991</v>
      </c>
      <c r="Z23" s="200">
        <f>SUMPRODUCT($Z$24:$Z$24,$AF$24:$AF$24)/SUMIF($Z$24:$Z$24,"&lt;&gt;",$AF$24:$AF$24)</f>
        <v>7.0859999999999994</v>
      </c>
      <c r="AA23" s="200">
        <f>SUMPRODUCT($AA$24:$AA$24,$AF$24:$AF$24)/SUMIF($AA$24:$AA$24,"&lt;&gt;",$AF$24:$AF$24)</f>
        <v>7.0309999999999997</v>
      </c>
      <c r="AB23" s="275">
        <f>SUMPRODUCT($AB$24:$AB$24,$AF$24:$AF$24)/SUMIF($AB$24:$AB$24,"&lt;&gt;",$AF$24:$AF$24)</f>
        <v>6.99</v>
      </c>
      <c r="AC23" s="207">
        <f>SUM($AC$24:$AC$24)</f>
        <v>1000000</v>
      </c>
      <c r="AD23" s="209">
        <f>SUMPRODUCT($AD$24:$AD$24,$AF$24:$AF$24)/SUMIF($AD$24:$AD$24,"&lt;&gt;",$AF$24:$AF$24)</f>
        <v>1.8665129999999999E-2</v>
      </c>
      <c r="AE23" s="210">
        <f>SUMPRODUCT($AE$24:$AE$24,$AF$24:$AF$24)/SUMIF($AE$24:$AE$24,"&lt;&gt;",$AF$24:$AF$24)</f>
        <v>45352</v>
      </c>
      <c r="AF23" s="207">
        <f>SUM($AF$24:$AF$24)</f>
        <v>18665.129999999997</v>
      </c>
      <c r="AG23" s="207">
        <f>SUM($AG$24:$AG$24)</f>
        <v>18767.12731970329</v>
      </c>
      <c r="AH23" s="207">
        <f>SUM($AH$24:$AH$24)</f>
        <v>69.849999999999767</v>
      </c>
      <c r="AI23" s="207">
        <f>SUM($AI$24:$AI$24)</f>
        <v>86.696119949999996</v>
      </c>
      <c r="AJ23" s="207">
        <f>SUM($AJ$24:$AJ$24)</f>
        <v>156.54611994999976</v>
      </c>
      <c r="AK23" s="279"/>
      <c r="AL23" s="206">
        <f>SUMPRODUCT($AL$24:$AL$24,$AF$24:$AF$24)/SUMIF($AL$24:$AL$24,"&lt;&gt;",$AF$24:$AF$24)</f>
        <v>0.76</v>
      </c>
      <c r="AM23" s="129">
        <f>SUMPRODUCT($AM$24:$AM$24,$AF$24:$AF$24)/SUMIF($AM$24:$AM$24,"&lt;&gt;",$AF$24:$AF$24)</f>
        <v>717</v>
      </c>
      <c r="AN23" s="199"/>
      <c r="AO23" s="199"/>
      <c r="AP23" s="199"/>
      <c r="AQ23" s="199"/>
      <c r="AR23" s="206">
        <f>SUMPRODUCT($AR$24:$AR$24,$AF$24:$AF$24)/SUMIF($AR$24:$AR$24,"&lt;&gt;",$AF$24:$AF$24)</f>
        <v>0.25950000000000001</v>
      </c>
      <c r="AS23" s="206">
        <f>SUMPRODUCT($AS$24:$AS$24,$AF$24:$AF$24)/SUMIF($AS$24:$AS$24,"&lt;&gt;",$AF$24:$AF$24)</f>
        <v>0</v>
      </c>
      <c r="AT23" s="206">
        <f>SUMPRODUCT($AT$24:$AT$24,$AF$24:$AF$24)/SUMIF($AT$24:$AT$24,"&lt;&gt;",$AF$24:$AF$24)</f>
        <v>0</v>
      </c>
      <c r="AU23" s="283">
        <f>SUMPRODUCT($AU$24:$AU$24,$AF$24:$AF$24)/SUMIF($AU$24:$AU$24,"&lt;&gt;",$AF$24:$AF$24)</f>
        <v>0</v>
      </c>
    </row>
    <row r="24" spans="2:47" x14ac:dyDescent="0.25">
      <c r="B24" s="262" t="s">
        <v>179</v>
      </c>
      <c r="C24" s="132" t="s">
        <v>340</v>
      </c>
      <c r="D24" s="132" t="s">
        <v>125</v>
      </c>
      <c r="E24" s="133">
        <v>5.5529999999999999</v>
      </c>
      <c r="F24" s="133">
        <v>6.2430000000000003</v>
      </c>
      <c r="G24" s="134">
        <v>242</v>
      </c>
      <c r="H24" s="134">
        <v>118</v>
      </c>
      <c r="I24" s="223">
        <v>52749</v>
      </c>
      <c r="J24" s="224">
        <v>3</v>
      </c>
      <c r="K24" s="134">
        <v>205251</v>
      </c>
      <c r="L24" s="134">
        <v>246000</v>
      </c>
      <c r="M24" s="266">
        <v>100.54645919799805</v>
      </c>
      <c r="N24" s="13">
        <v>31.88</v>
      </c>
      <c r="O24" s="13">
        <v>12.0609634215</v>
      </c>
      <c r="P24" s="197">
        <v>1.9911556121182401</v>
      </c>
      <c r="Q24" s="13">
        <v>8.1898173852097393</v>
      </c>
      <c r="R24" s="13">
        <v>12.4464810864469</v>
      </c>
      <c r="S24" s="13">
        <v>15.399790133223</v>
      </c>
      <c r="T24" s="143">
        <v>1.99</v>
      </c>
      <c r="U24" s="143">
        <v>1.88</v>
      </c>
      <c r="V24" s="143">
        <v>19.53</v>
      </c>
      <c r="W24" s="270">
        <v>6.7270000000000003</v>
      </c>
      <c r="X24" s="133">
        <v>7.0359999999999996</v>
      </c>
      <c r="Y24" s="133">
        <v>7.157</v>
      </c>
      <c r="Z24" s="133">
        <v>7.0860000000000003</v>
      </c>
      <c r="AA24" s="133">
        <v>7.0309999999999997</v>
      </c>
      <c r="AB24" s="274">
        <v>6.99</v>
      </c>
      <c r="AC24" s="8">
        <v>1000000</v>
      </c>
      <c r="AD24" s="11">
        <v>1.8665129999999999E-2</v>
      </c>
      <c r="AE24" s="30">
        <v>45352</v>
      </c>
      <c r="AF24" s="8">
        <v>18665.129999999997</v>
      </c>
      <c r="AG24" s="8">
        <v>18767.12731970329</v>
      </c>
      <c r="AH24" s="8">
        <v>69.849999999999767</v>
      </c>
      <c r="AI24" s="8">
        <v>86.696119949999996</v>
      </c>
      <c r="AJ24" s="8">
        <v>156.54611994999976</v>
      </c>
      <c r="AK24" s="278"/>
      <c r="AL24" s="135">
        <v>0.76</v>
      </c>
      <c r="AM24" s="134">
        <v>717</v>
      </c>
      <c r="AN24" s="132" t="s">
        <v>202</v>
      </c>
      <c r="AO24" s="132" t="s">
        <v>341</v>
      </c>
      <c r="AP24" s="132" t="s">
        <v>342</v>
      </c>
      <c r="AQ24" s="132" t="s">
        <v>343</v>
      </c>
      <c r="AR24" s="135">
        <v>0.25950000000000001</v>
      </c>
      <c r="AS24" s="135">
        <v>0</v>
      </c>
      <c r="AT24" s="135">
        <v>0</v>
      </c>
      <c r="AU24" s="282">
        <v>0</v>
      </c>
    </row>
    <row r="25" spans="2:47" s="237" customFormat="1" x14ac:dyDescent="0.25">
      <c r="B25" s="263" t="s">
        <v>225</v>
      </c>
      <c r="C25" s="199"/>
      <c r="D25" s="199"/>
      <c r="E25" s="200">
        <f>SUMPRODUCT($E$26:$E$29,$AF$26:$AF$29)/SUMIF($E$26:$E$29,"&lt;&gt;",$AF$26:$AF$29)</f>
        <v>5.7401147416650149</v>
      </c>
      <c r="F25" s="200">
        <f>SUMPRODUCT($F$26:$F$29,$AF$26:$AF$29)/SUMIF($F$26:$F$29,"&lt;&gt;",$AF$26:$AF$29)</f>
        <v>6.4139762270464287</v>
      </c>
      <c r="G25" s="129">
        <f>SUMPRODUCT($G$26:$G$29,$AF$26:$AF$29)/SUMIF($G$26:$G$29,"&lt;&gt;",$AF$26:$AF$29)</f>
        <v>240.24664036847341</v>
      </c>
      <c r="H25" s="129">
        <f>SUMPRODUCT($H$26:$H$29,$AF$26:$AF$29)/SUMIF($H$26:$H$29,"&lt;&gt;",$AF$26:$AF$29)</f>
        <v>119.75335963152655</v>
      </c>
      <c r="I25" s="201">
        <f>SUMPRODUCT($I$26:$I$29,$AF$26:$AF$29)/SUMIF($I$26:$I$29,"&lt;&gt;",$AF$26:$AF$29)</f>
        <v>52954.199914515928</v>
      </c>
      <c r="J25" s="202">
        <f>SUM($J$26:$J$29)</f>
        <v>565</v>
      </c>
      <c r="K25" s="129">
        <f>SUMPRODUCT($K$26:$K$29,$AF$26:$AF$29)/SUMIF($K$26:$K$29,"&lt;&gt;",$AF$26:$AF$29)</f>
        <v>326903.37352662609</v>
      </c>
      <c r="L25" s="129">
        <f>SUMPRODUCT($L$26:$L$29,$AF$26:$AF$29)/SUMIF($L$26:$L$29,"&lt;&gt;",$AF$26:$AF$29)</f>
        <v>702144.3350416082</v>
      </c>
      <c r="M25" s="267">
        <f>SUMPRODUCT($M$26:$M$29,$AF$26:$AF$29)/SUMIF($M$26:$M$29,"&lt;&gt;",$AF$26:$AF$29)</f>
        <v>101.35126390759567</v>
      </c>
      <c r="N25" s="208">
        <f>SUMPRODUCT($N$26:$N$29,$AF$26:$AF$29)/SUMIF($N$26:$N$29,"&lt;&gt;",$AF$26:$AF$29)</f>
        <v>30.08934644106121</v>
      </c>
      <c r="O25" s="208">
        <f>SUMPRODUCT($O$26:$O$29,$AF$26:$AF$29)/SUMIF($O$26:$O$29,"&lt;&gt;",$AF$26:$AF$29)</f>
        <v>19.20221417128645</v>
      </c>
      <c r="P25" s="208">
        <f>SUMPRODUCT($P$26:$P$29,$AF$26:$AF$29)/SUMIF($P$26:$P$29,"&lt;&gt;",$AF$26:$AF$29)</f>
        <v>12.570237740814418</v>
      </c>
      <c r="Q25" s="208">
        <f>SUMPRODUCT($Q$26:$Q$29,$AF$26:$AF$29)/SUMIF($Q$26:$Q$29,"&lt;&gt;",$AF$26:$AF$29)</f>
        <v>22.39580413535522</v>
      </c>
      <c r="R25" s="208">
        <f>SUMPRODUCT($R$26:$R$29,$AF$26:$AF$29)/SUMIF($R$26:$R$29,"&lt;&gt;",$AF$26:$AF$29)</f>
        <v>22.206149443680886</v>
      </c>
      <c r="S25" s="208">
        <f>SUMPRODUCT($S$26:$S$29,$AF$26:$AF$29)/SUMIF($S$26:$S$29,"&lt;&gt;",$AF$26:$AF$29)</f>
        <v>18.08421565106141</v>
      </c>
      <c r="T25" s="208">
        <f>SUMPRODUCT($T$26:$T$29,$AF$26:$AF$29)/SUMIF($T$26:$T$29,"&lt;&gt;",$AF$26:$AF$29)</f>
        <v>12.56671705009817</v>
      </c>
      <c r="U25" s="208">
        <f>SUMPRODUCT($U$26:$U$29,$AF$26:$AF$29)/SUMIF($U$26:$U$29,"&lt;&gt;",$AF$26:$AF$29)</f>
        <v>1.3690989663886008</v>
      </c>
      <c r="V25" s="208">
        <f>SUMPRODUCT($V$26:$V$29,$AF$26:$AF$29)/SUMIF($V$26:$V$29,"&lt;&gt;",$AF$26:$AF$29)</f>
        <v>39.007185640091443</v>
      </c>
      <c r="W25" s="271">
        <f>SUMPRODUCT($W$26:$W$29,$AF$26:$AF$29)/SUMIF($W$26:$W$29,"&lt;&gt;",$AF$26:$AF$29)</f>
        <v>6.2998030099785653</v>
      </c>
      <c r="X25" s="200">
        <f>SUMPRODUCT($X$26:$X$29,$AF$26:$AF$29)/SUMIF($X$26:$X$29,"&lt;&gt;",$AF$26:$AF$29)</f>
        <v>6.6093020233485884</v>
      </c>
      <c r="Y25" s="200">
        <f>SUMPRODUCT($Y$26:$Y$29,$AF$26:$AF$29)/SUMIF($Y$26:$Y$29,"&lt;&gt;",$AF$26:$AF$29)</f>
        <v>6.5421675843361182</v>
      </c>
      <c r="Z25" s="200">
        <f>SUMPRODUCT($Z$26:$Z$29,$AF$26:$AF$29)/SUMIF($Z$26:$Z$29,"&lt;&gt;",$AF$26:$AF$29)</f>
        <v>6.5014252170326481</v>
      </c>
      <c r="AA25" s="200">
        <f>SUMPRODUCT($AA$26:$AA$29,$AF$26:$AF$29)/SUMIF($AA$26:$AA$29,"&lt;&gt;",$AF$26:$AF$29)</f>
        <v>6.5277549726842041</v>
      </c>
      <c r="AB25" s="275">
        <f>SUMPRODUCT($AB$26:$AB$29,$AF$26:$AF$29)/SUMIF($AB$26:$AB$29,"&lt;&gt;",$AF$26:$AF$29)</f>
        <v>6.6390381325574621</v>
      </c>
      <c r="AC25" s="207">
        <f>SUM($AC$26:$AC$29)</f>
        <v>6411000</v>
      </c>
      <c r="AD25" s="209">
        <f>SUMPRODUCT($AD$26:$AD$29,$AF$26:$AF$29)/SUMIF($AD$26:$AD$29,"&lt;&gt;",$AF$26:$AF$29)</f>
        <v>0.10198381085458162</v>
      </c>
      <c r="AE25" s="210">
        <f>SUMPRODUCT($AE$26:$AE$29,$AF$26:$AF$29)/SUMIF($AE$26:$AE$29,"&lt;&gt;",$AF$26:$AF$29)</f>
        <v>45351.999999999993</v>
      </c>
      <c r="AF25" s="207">
        <f>SUM($AF$26:$AF$29)</f>
        <v>433435.16275000002</v>
      </c>
      <c r="AG25" s="207">
        <f>SUM($AG$26:$AG$29)</f>
        <v>439292.01566706935</v>
      </c>
      <c r="AH25" s="207">
        <f>SUM($AH$26:$AH$29)</f>
        <v>10282.75383000002</v>
      </c>
      <c r="AI25" s="207">
        <f>SUM($AI$26:$AI$29)</f>
        <v>2122.2563680580506</v>
      </c>
      <c r="AJ25" s="207">
        <f>SUM($AJ$26:$AJ$29)</f>
        <v>12405.010198058069</v>
      </c>
      <c r="AK25" s="279"/>
      <c r="AL25" s="206">
        <f>SUMPRODUCT($AL$26:$AL$29,$AF$26:$AF$29)/SUMIF($AL$26:$AL$29,"&lt;&gt;",$AF$26:$AF$29)</f>
        <v>0.67169440121756707</v>
      </c>
      <c r="AM25" s="129">
        <f>SUMPRODUCT($AM$26:$AM$29,$AF$26:$AF$29)/SUMIF($AM$26:$AM$29,"&lt;&gt;",$AF$26:$AF$29)</f>
        <v>735.30173286050479</v>
      </c>
      <c r="AN25" s="199"/>
      <c r="AO25" s="199"/>
      <c r="AP25" s="199"/>
      <c r="AQ25" s="199"/>
      <c r="AR25" s="206">
        <f>SUMPRODUCT($AR$26:$AR$29,$AF$26:$AF$29)/SUMIF($AR$26:$AR$29,"&lt;&gt;",$AF$26:$AF$29)</f>
        <v>0.5781950667971042</v>
      </c>
      <c r="AS25" s="206">
        <f>SUMPRODUCT($AS$26:$AS$29,$AF$26:$AF$29)/SUMIF($AS$26:$AS$29,"&lt;&gt;",$AF$26:$AF$29)</f>
        <v>1.2718859442605295E-4</v>
      </c>
      <c r="AT25" s="206">
        <f>SUMPRODUCT($AT$26:$AT$29,$AF$26:$AF$29)/SUMIF($AT$26:$AT$29,"&lt;&gt;",$AF$26:$AF$29)</f>
        <v>0</v>
      </c>
      <c r="AU25" s="283">
        <f>SUMPRODUCT($AU$26:$AU$29,$AF$26:$AF$29)/SUMIF($AU$26:$AU$29,"&lt;&gt;",$AF$26:$AF$29)</f>
        <v>0</v>
      </c>
    </row>
    <row r="26" spans="2:47" x14ac:dyDescent="0.25">
      <c r="B26" s="262" t="s">
        <v>193</v>
      </c>
      <c r="C26" s="132" t="s">
        <v>383</v>
      </c>
      <c r="D26" s="132" t="s">
        <v>125</v>
      </c>
      <c r="E26" s="133">
        <v>5.73</v>
      </c>
      <c r="F26" s="133">
        <v>6.5</v>
      </c>
      <c r="G26" s="134">
        <v>233</v>
      </c>
      <c r="H26" s="134">
        <v>127</v>
      </c>
      <c r="I26" s="223">
        <v>52444</v>
      </c>
      <c r="J26" s="224">
        <v>1</v>
      </c>
      <c r="K26" s="134">
        <v>200000</v>
      </c>
      <c r="L26" s="134">
        <v>200000</v>
      </c>
      <c r="M26" s="266">
        <v>99.234424591064453</v>
      </c>
      <c r="N26" s="13">
        <v>45.32</v>
      </c>
      <c r="O26" s="13">
        <v>21.5015529149</v>
      </c>
      <c r="P26" s="38">
        <v>23.8748345738708</v>
      </c>
      <c r="Q26" s="13">
        <v>23.226353592575801</v>
      </c>
      <c r="R26" s="13">
        <v>47.790872189822899</v>
      </c>
      <c r="S26" s="13">
        <v>33.586058563897097</v>
      </c>
      <c r="T26" s="143">
        <v>23.87</v>
      </c>
      <c r="U26" s="143">
        <v>23.21</v>
      </c>
      <c r="V26" s="143">
        <v>22.59</v>
      </c>
      <c r="W26" s="270">
        <v>6.9960000000000004</v>
      </c>
      <c r="X26" s="133">
        <v>7.0289999999999999</v>
      </c>
      <c r="Y26" s="133">
        <v>7.0259999999999998</v>
      </c>
      <c r="Z26" s="133">
        <v>7.0270000000000001</v>
      </c>
      <c r="AA26" s="133">
        <v>6.9939999999999998</v>
      </c>
      <c r="AB26" s="274">
        <v>7.0119999999999996</v>
      </c>
      <c r="AC26" s="8">
        <v>1000000</v>
      </c>
      <c r="AD26" s="11">
        <v>1.27406E-3</v>
      </c>
      <c r="AE26" s="30">
        <v>45352</v>
      </c>
      <c r="AF26" s="8">
        <v>1274.06</v>
      </c>
      <c r="AG26" s="8">
        <v>1264.3061099449158</v>
      </c>
      <c r="AH26" s="8">
        <v>32.07999999999987</v>
      </c>
      <c r="AI26" s="8">
        <v>6.2368185</v>
      </c>
      <c r="AJ26" s="8">
        <v>38.316818499999869</v>
      </c>
      <c r="AK26" s="278"/>
      <c r="AL26" s="135">
        <v>0.56000000000000005</v>
      </c>
      <c r="AM26" s="134">
        <v>797</v>
      </c>
      <c r="AN26" s="132" t="s">
        <v>202</v>
      </c>
      <c r="AO26" s="132" t="s">
        <v>138</v>
      </c>
      <c r="AP26" s="132" t="s">
        <v>384</v>
      </c>
      <c r="AQ26" s="132" t="s">
        <v>241</v>
      </c>
      <c r="AR26" s="135">
        <v>1</v>
      </c>
      <c r="AS26" s="135">
        <v>0</v>
      </c>
      <c r="AT26" s="135">
        <v>0</v>
      </c>
      <c r="AU26" s="282">
        <v>0</v>
      </c>
    </row>
    <row r="27" spans="2:47" x14ac:dyDescent="0.25">
      <c r="B27" s="262" t="s">
        <v>187</v>
      </c>
      <c r="C27" s="132" t="s">
        <v>369</v>
      </c>
      <c r="D27" s="132" t="s">
        <v>125</v>
      </c>
      <c r="E27" s="133">
        <v>5.7270000000000003</v>
      </c>
      <c r="F27" s="133">
        <v>6.4219999999999997</v>
      </c>
      <c r="G27" s="134">
        <v>227</v>
      </c>
      <c r="H27" s="134">
        <v>133</v>
      </c>
      <c r="I27" s="223">
        <v>52779</v>
      </c>
      <c r="J27" s="224">
        <v>398</v>
      </c>
      <c r="K27" s="134">
        <v>283671</v>
      </c>
      <c r="L27" s="134">
        <v>625000</v>
      </c>
      <c r="M27" s="266">
        <v>100.62992858886719</v>
      </c>
      <c r="N27" s="13">
        <v>34.43</v>
      </c>
      <c r="O27" s="13">
        <v>21.5015529149</v>
      </c>
      <c r="P27" s="197">
        <v>1.15135842253885</v>
      </c>
      <c r="Q27" s="13">
        <v>4.6869763148258397</v>
      </c>
      <c r="R27" s="13">
        <v>21.055861993263299</v>
      </c>
      <c r="S27" s="13">
        <v>15.089128769538499</v>
      </c>
      <c r="T27" s="143">
        <v>1.1499999999999999</v>
      </c>
      <c r="U27" s="143">
        <v>4.21</v>
      </c>
      <c r="V27" s="143">
        <v>8.5500000000000007</v>
      </c>
      <c r="W27" s="270">
        <v>6.3159999999999998</v>
      </c>
      <c r="X27" s="133">
        <v>6.6</v>
      </c>
      <c r="Y27" s="133">
        <v>6.9580000000000002</v>
      </c>
      <c r="Z27" s="133">
        <v>6.9059999999999997</v>
      </c>
      <c r="AA27" s="133">
        <v>6.61</v>
      </c>
      <c r="AB27" s="274">
        <v>6.726</v>
      </c>
      <c r="AC27" s="8">
        <v>161000</v>
      </c>
      <c r="AD27" s="11">
        <v>3.8168750000000001E-2</v>
      </c>
      <c r="AE27" s="30">
        <v>45352</v>
      </c>
      <c r="AF27" s="8">
        <v>6145.1687499999998</v>
      </c>
      <c r="AG27" s="8">
        <v>6183.8789247903824</v>
      </c>
      <c r="AH27" s="8">
        <v>19.888329999999467</v>
      </c>
      <c r="AI27" s="8">
        <v>29.422734914299998</v>
      </c>
      <c r="AJ27" s="8">
        <v>49.311064914299465</v>
      </c>
      <c r="AK27" s="278"/>
      <c r="AL27" s="135">
        <v>0.6</v>
      </c>
      <c r="AM27" s="134">
        <v>769</v>
      </c>
      <c r="AN27" s="132" t="s">
        <v>202</v>
      </c>
      <c r="AO27" s="132" t="s">
        <v>119</v>
      </c>
      <c r="AP27" s="132" t="s">
        <v>370</v>
      </c>
      <c r="AQ27" s="132" t="s">
        <v>371</v>
      </c>
      <c r="AR27" s="135">
        <v>0.1734</v>
      </c>
      <c r="AS27" s="135">
        <v>3.0999999999999999E-3</v>
      </c>
      <c r="AT27" s="135">
        <v>0</v>
      </c>
      <c r="AU27" s="282">
        <v>0</v>
      </c>
    </row>
    <row r="28" spans="2:47" x14ac:dyDescent="0.25">
      <c r="B28" s="262" t="s">
        <v>145</v>
      </c>
      <c r="C28" s="132" t="s">
        <v>222</v>
      </c>
      <c r="D28" s="132" t="s">
        <v>125</v>
      </c>
      <c r="E28" s="133">
        <v>5.7460000000000004</v>
      </c>
      <c r="F28" s="133">
        <v>6.4109999999999996</v>
      </c>
      <c r="G28" s="134">
        <v>240</v>
      </c>
      <c r="H28" s="134">
        <v>120</v>
      </c>
      <c r="I28" s="223">
        <v>52963</v>
      </c>
      <c r="J28" s="224">
        <v>145</v>
      </c>
      <c r="K28" s="134">
        <v>323061</v>
      </c>
      <c r="L28" s="134">
        <v>719000</v>
      </c>
      <c r="M28" s="266">
        <v>101.32038879394531</v>
      </c>
      <c r="N28" s="13">
        <v>30.07</v>
      </c>
      <c r="O28" s="13">
        <v>19.162170316699999</v>
      </c>
      <c r="P28" s="197">
        <v>0.66412945596653306</v>
      </c>
      <c r="Q28" s="13">
        <v>19.172762649065501</v>
      </c>
      <c r="R28" s="13">
        <v>21.651920372950201</v>
      </c>
      <c r="S28" s="13">
        <v>17.872390723858299</v>
      </c>
      <c r="T28" s="143">
        <v>0.66</v>
      </c>
      <c r="U28" s="143">
        <v>0.71</v>
      </c>
      <c r="V28" s="143">
        <v>46.46</v>
      </c>
      <c r="W28" s="270">
        <v>6.3029999999999999</v>
      </c>
      <c r="X28" s="133">
        <v>6.6139999999999999</v>
      </c>
      <c r="Y28" s="133">
        <v>7.0350000000000001</v>
      </c>
      <c r="Z28" s="133">
        <v>6.6130000000000004</v>
      </c>
      <c r="AA28" s="133">
        <v>6.5460000000000003</v>
      </c>
      <c r="AB28" s="274">
        <v>6.6479999999999997</v>
      </c>
      <c r="AC28" s="8">
        <v>3100000</v>
      </c>
      <c r="AD28" s="11">
        <v>0.1163806</v>
      </c>
      <c r="AE28" s="30">
        <v>45352</v>
      </c>
      <c r="AF28" s="8">
        <v>360779.86</v>
      </c>
      <c r="AG28" s="8">
        <v>365543.55684225156</v>
      </c>
      <c r="AH28" s="8">
        <v>940.5710000000123</v>
      </c>
      <c r="AI28" s="8">
        <v>1732.0379971050004</v>
      </c>
      <c r="AJ28" s="8">
        <v>2672.6089971050128</v>
      </c>
      <c r="AK28" s="278"/>
      <c r="AL28" s="135">
        <v>0.67</v>
      </c>
      <c r="AM28" s="134">
        <v>738</v>
      </c>
      <c r="AN28" s="132" t="s">
        <v>202</v>
      </c>
      <c r="AO28" s="132" t="s">
        <v>127</v>
      </c>
      <c r="AP28" s="132" t="s">
        <v>223</v>
      </c>
      <c r="AQ28" s="132" t="s">
        <v>224</v>
      </c>
      <c r="AR28" s="135">
        <v>0.62960000000000005</v>
      </c>
      <c r="AS28" s="135">
        <v>1E-4</v>
      </c>
      <c r="AT28" s="135">
        <v>0</v>
      </c>
      <c r="AU28" s="282">
        <v>0</v>
      </c>
    </row>
    <row r="29" spans="2:47" x14ac:dyDescent="0.25">
      <c r="B29" s="262" t="s">
        <v>163</v>
      </c>
      <c r="C29" s="132" t="s">
        <v>289</v>
      </c>
      <c r="D29" s="132" t="s">
        <v>125</v>
      </c>
      <c r="E29" s="133">
        <v>5.7089999999999996</v>
      </c>
      <c r="F29" s="133">
        <v>6.4279999999999999</v>
      </c>
      <c r="G29" s="134">
        <v>243</v>
      </c>
      <c r="H29" s="134">
        <v>117</v>
      </c>
      <c r="I29" s="223">
        <v>52932</v>
      </c>
      <c r="J29" s="224">
        <v>21</v>
      </c>
      <c r="K29" s="134">
        <v>354704</v>
      </c>
      <c r="L29" s="134">
        <v>626000</v>
      </c>
      <c r="M29" s="266">
        <v>101.63130569458008</v>
      </c>
      <c r="N29" s="13">
        <v>29.49</v>
      </c>
      <c r="O29" s="13">
        <v>19.162170316699999</v>
      </c>
      <c r="P29" s="198">
        <v>79.270332014694603</v>
      </c>
      <c r="Q29" s="13">
        <v>41.872359724494103</v>
      </c>
      <c r="R29" s="13">
        <v>24.879929677267899</v>
      </c>
      <c r="S29" s="13">
        <v>19.235069761429699</v>
      </c>
      <c r="T29" s="143">
        <v>79.27</v>
      </c>
      <c r="U29" s="143">
        <v>4.32</v>
      </c>
      <c r="V29" s="143">
        <v>0.98</v>
      </c>
      <c r="W29" s="270">
        <v>6.2670000000000003</v>
      </c>
      <c r="X29" s="133">
        <v>6.5759999999999996</v>
      </c>
      <c r="Y29" s="133">
        <v>3.7679999999999998</v>
      </c>
      <c r="Z29" s="133">
        <v>5.8360000000000003</v>
      </c>
      <c r="AA29" s="133">
        <v>6.41</v>
      </c>
      <c r="AB29" s="274">
        <v>6.5739999999999998</v>
      </c>
      <c r="AC29" s="8">
        <v>2150000</v>
      </c>
      <c r="AD29" s="11">
        <v>3.0342359999999999E-2</v>
      </c>
      <c r="AE29" s="30">
        <v>45352</v>
      </c>
      <c r="AF29" s="8">
        <v>65236.074000000001</v>
      </c>
      <c r="AG29" s="8">
        <v>66300.273790082472</v>
      </c>
      <c r="AH29" s="8">
        <v>9290.2145000000073</v>
      </c>
      <c r="AI29" s="8">
        <v>354.55881753875002</v>
      </c>
      <c r="AJ29" s="8">
        <v>9644.7733175387566</v>
      </c>
      <c r="AK29" s="278"/>
      <c r="AL29" s="135">
        <v>0.69</v>
      </c>
      <c r="AM29" s="134">
        <v>716</v>
      </c>
      <c r="AN29" s="132" t="s">
        <v>202</v>
      </c>
      <c r="AO29" s="132" t="s">
        <v>207</v>
      </c>
      <c r="AP29" s="132" t="s">
        <v>290</v>
      </c>
      <c r="AQ29" s="132" t="s">
        <v>291</v>
      </c>
      <c r="AR29" s="135">
        <v>0.32380000000000003</v>
      </c>
      <c r="AS29" s="135">
        <v>0</v>
      </c>
      <c r="AT29" s="135">
        <v>0</v>
      </c>
      <c r="AU29" s="282">
        <v>0</v>
      </c>
    </row>
    <row r="30" spans="2:47" s="237" customFormat="1" x14ac:dyDescent="0.25">
      <c r="B30" s="263" t="s">
        <v>200</v>
      </c>
      <c r="C30" s="199"/>
      <c r="D30" s="199"/>
      <c r="E30" s="200">
        <f>SUMPRODUCT($E$31:$E$43,$AF$31:$AF$43)/SUMIF($E$31:$E$43,"&lt;&gt;",$AF$31:$AF$43)</f>
        <v>5.8331986244632832</v>
      </c>
      <c r="F30" s="200">
        <f>SUMPRODUCT($F$31:$F$43,$AF$31:$AF$43)/SUMIF($F$31:$F$43,"&lt;&gt;",$AF$31:$AF$43)</f>
        <v>6.5037864947026147</v>
      </c>
      <c r="G30" s="129">
        <f>SUMPRODUCT($G$31:$G$43,$AF$31:$AF$43)/SUMIF($G$31:$G$43,"&lt;&gt;",$AF$31:$AF$43)</f>
        <v>232.80099121705783</v>
      </c>
      <c r="H30" s="129">
        <f>SUMPRODUCT($H$31:$H$43,$AF$31:$AF$43)/SUMIF($H$31:$H$43,"&lt;&gt;",$AF$31:$AF$43)</f>
        <v>127.1949096229699</v>
      </c>
      <c r="I30" s="201">
        <f>SUMPRODUCT($I$31:$I$43,$AF$31:$AF$43)/SUMIF($I$31:$I$43,"&lt;&gt;",$AF$31:$AF$43)</f>
        <v>53504.096498699066</v>
      </c>
      <c r="J30" s="202">
        <f>SUM($J$31:$J$43)</f>
        <v>433</v>
      </c>
      <c r="K30" s="129">
        <f>SUMPRODUCT($K$31:$K$43,$AF$31:$AF$43)/SUMIF($K$31:$K$43,"&lt;&gt;",$AF$31:$AF$43)</f>
        <v>260367.79676226209</v>
      </c>
      <c r="L30" s="129">
        <f>SUMPRODUCT($L$31:$L$43,$AF$31:$AF$43)/SUMIF($L$31:$L$43,"&lt;&gt;",$AF$31:$AF$43)</f>
        <v>393866.55229622236</v>
      </c>
      <c r="M30" s="267">
        <f>SUMPRODUCT($M$31:$M$43,$AF$31:$AF$43)/SUMIF($M$31:$M$43,"&lt;&gt;",$AF$31:$AF$43)</f>
        <v>100.57577346256301</v>
      </c>
      <c r="N30" s="208">
        <f>SUMPRODUCT($N$31:$N$43,$AF$31:$AF$43)/SUMIF($N$31:$N$43,"&lt;&gt;",$AF$31:$AF$43)</f>
        <v>26.166616517008251</v>
      </c>
      <c r="O30" s="208">
        <f>SUMPRODUCT($O$31:$O$43,$AF$31:$AF$43)/SUMIF($O$31:$O$43,"&lt;&gt;",$AF$31:$AF$43)</f>
        <v>17.560712885872153</v>
      </c>
      <c r="P30" s="208">
        <f>SUMPRODUCT($P$31:$P$43,$AF$31:$AF$43)/SUMIF($P$31:$P$43,"&lt;&gt;",$AF$31:$AF$43)</f>
        <v>35.808372547472622</v>
      </c>
      <c r="Q30" s="208">
        <f>SUMPRODUCT($Q$31:$Q$43,$AF$31:$AF$43)/SUMIF($Q$31:$Q$43,"&lt;&gt;",$AF$31:$AF$43)</f>
        <v>42.748399452172649</v>
      </c>
      <c r="R30" s="208">
        <f>SUMPRODUCT($R$31:$R$43,$AF$31:$AF$43)/SUMIF($R$31:$R$43,"&lt;&gt;",$AF$31:$AF$43)</f>
        <v>33.123926258374098</v>
      </c>
      <c r="S30" s="208">
        <f>SUMPRODUCT($S$31:$S$43,$AF$31:$AF$43)/SUMIF($S$31:$S$43,"&lt;&gt;",$AF$31:$AF$43)</f>
        <v>26.941862791219101</v>
      </c>
      <c r="T30" s="208">
        <f>SUMPRODUCT($T$31:$T$43,$AF$31:$AF$43)/SUMIF($T$31:$T$43,"&lt;&gt;",$AF$31:$AF$43)</f>
        <v>35.807389476141672</v>
      </c>
      <c r="U30" s="208">
        <f>SUMPRODUCT($U$31:$U$43,$AF$31:$AF$43)/SUMIF($U$31:$U$43,"&lt;&gt;",$AF$31:$AF$43)</f>
        <v>5.0927702199472202</v>
      </c>
      <c r="V30" s="208">
        <f>SUMPRODUCT($V$31:$V$43,$AF$31:$AF$43)/SUMIF($V$31:$V$43,"&lt;&gt;",$AF$31:$AF$43)</f>
        <v>20.475432838410999</v>
      </c>
      <c r="W30" s="271">
        <f>SUMPRODUCT($W$31:$W$43,$AF$31:$AF$43)/SUMIF($W$31:$W$43,"&lt;&gt;",$AF$31:$AF$43)</f>
        <v>6.6744278221403137</v>
      </c>
      <c r="X30" s="200">
        <f>SUMPRODUCT($X$31:$X$43,$AF$31:$AF$43)/SUMIF($X$31:$X$43,"&lt;&gt;",$AF$31:$AF$43)</f>
        <v>6.8215957179515216</v>
      </c>
      <c r="Y30" s="200">
        <f>SUMPRODUCT($Y$31:$Y$43,$AF$31:$AF$43)/SUMIF($Y$31:$Y$43,"&lt;&gt;",$AF$31:$AF$43)</f>
        <v>6.3034241819520407</v>
      </c>
      <c r="Z30" s="200">
        <f>SUMPRODUCT($Z$31:$Z$43,$AF$31:$AF$43)/SUMIF($Z$31:$Z$43,"&lt;&gt;",$AF$31:$AF$43)</f>
        <v>6.3510262072853276</v>
      </c>
      <c r="AA30" s="200">
        <f>SUMPRODUCT($AA$31:$AA$43,$AF$31:$AF$43)/SUMIF($AA$31:$AA$43,"&lt;&gt;",$AF$31:$AF$43)</f>
        <v>6.5975099011587872</v>
      </c>
      <c r="AB30" s="275">
        <f>SUMPRODUCT($AB$31:$AB$43,$AF$31:$AF$43)/SUMIF($AB$31:$AB$43,"&lt;&gt;",$AF$31:$AF$43)</f>
        <v>6.6756225549189008</v>
      </c>
      <c r="AC30" s="207">
        <f>SUM($AC$31:$AC$43)</f>
        <v>19942831</v>
      </c>
      <c r="AD30" s="209">
        <f>SUMPRODUCT($AD$31:$AD$43,$AF$31:$AF$43)/SUMIF($AD$31:$AD$43,"&lt;&gt;",$AF$31:$AF$43)</f>
        <v>0.15482401221833686</v>
      </c>
      <c r="AE30" s="210">
        <f>SUMPRODUCT($AE$31:$AE$43,$AF$31:$AF$43)/SUMIF($AE$31:$AE$43,"&lt;&gt;",$AF$31:$AF$43)</f>
        <v>45352</v>
      </c>
      <c r="AF30" s="207">
        <f>SUM($AF$31:$AF$43)</f>
        <v>1167420.8087359299</v>
      </c>
      <c r="AG30" s="207">
        <f>SUM($AG$31:$AG$43)</f>
        <v>1174142.5079490701</v>
      </c>
      <c r="AH30" s="207">
        <f>SUM($AH$31:$AH$43)</f>
        <v>272697.30185798003</v>
      </c>
      <c r="AI30" s="207">
        <f>SUM($AI$31:$AI$43)</f>
        <v>7004.1800897319517</v>
      </c>
      <c r="AJ30" s="207">
        <f>SUM($AJ$31:$AJ$43)</f>
        <v>279701.48194771202</v>
      </c>
      <c r="AK30" s="279"/>
      <c r="AL30" s="206">
        <f>SUMPRODUCT($AL$31:$AL$43,$AF$31:$AF$43)/SUMIF($AL$31:$AL$43,"&lt;&gt;",$AF$31:$AF$43)</f>
        <v>0.62985525114554308</v>
      </c>
      <c r="AM30" s="129">
        <f>SUMPRODUCT($AM$31:$AM$43,$AF$31:$AF$43)/SUMIF($AM$31:$AM$43,"&lt;&gt;",$AF$31:$AF$43)</f>
        <v>757.97067093316275</v>
      </c>
      <c r="AN30" s="199"/>
      <c r="AO30" s="199"/>
      <c r="AP30" s="199"/>
      <c r="AQ30" s="199"/>
      <c r="AR30" s="206">
        <f>SUMPRODUCT($AR$31:$AR$43,$AF$31:$AF$43)/SUMIF($AR$31:$AR$43,"&lt;&gt;",$AF$31:$AF$43)</f>
        <v>0.16893421839310427</v>
      </c>
      <c r="AS30" s="206">
        <f>SUMPRODUCT($AS$31:$AS$43,$AF$31:$AF$43)/SUMIF($AS$31:$AS$43,"&lt;&gt;",$AF$31:$AF$43)</f>
        <v>0</v>
      </c>
      <c r="AT30" s="206">
        <f>SUMPRODUCT($AT$31:$AT$43,$AF$31:$AF$43)/SUMIF($AT$31:$AT$43,"&lt;&gt;",$AF$31:$AF$43)</f>
        <v>0</v>
      </c>
      <c r="AU30" s="283">
        <f>SUMPRODUCT($AU$31:$AU$43,$AF$31:$AF$43)/SUMIF($AU$31:$AU$43,"&lt;&gt;",$AF$31:$AF$43)</f>
        <v>0</v>
      </c>
    </row>
    <row r="31" spans="2:47" x14ac:dyDescent="0.25">
      <c r="B31" s="262" t="s">
        <v>189</v>
      </c>
      <c r="C31" s="132" t="s">
        <v>375</v>
      </c>
      <c r="D31" s="132" t="s">
        <v>125</v>
      </c>
      <c r="E31" s="133">
        <v>5.7969999999999997</v>
      </c>
      <c r="F31" s="133">
        <v>6.2549999999999999</v>
      </c>
      <c r="G31" s="134">
        <v>207</v>
      </c>
      <c r="H31" s="134">
        <v>153</v>
      </c>
      <c r="I31" s="223">
        <v>51683</v>
      </c>
      <c r="J31" s="224">
        <v>6</v>
      </c>
      <c r="K31" s="134">
        <v>109167</v>
      </c>
      <c r="L31" s="134">
        <v>182000</v>
      </c>
      <c r="M31" s="266">
        <v>101.22550964355469</v>
      </c>
      <c r="N31" s="13">
        <v>34.9</v>
      </c>
      <c r="O31" s="13">
        <v>12.0609634215</v>
      </c>
      <c r="P31" s="197">
        <v>8.1293252934280993</v>
      </c>
      <c r="Q31" s="13">
        <v>7.0351586499601604</v>
      </c>
      <c r="R31" s="13">
        <v>6.9234850187422401</v>
      </c>
      <c r="S31" s="13">
        <v>64.2352865116587</v>
      </c>
      <c r="T31" s="143">
        <v>8.1300000000000008</v>
      </c>
      <c r="U31" s="143">
        <v>6.46</v>
      </c>
      <c r="V31" s="143">
        <v>6.5</v>
      </c>
      <c r="W31" s="270">
        <v>6.5149999999999997</v>
      </c>
      <c r="X31" s="133">
        <v>7.0720000000000001</v>
      </c>
      <c r="Y31" s="133">
        <v>7.1479999999999997</v>
      </c>
      <c r="Z31" s="133">
        <v>7.1680000000000001</v>
      </c>
      <c r="AA31" s="133">
        <v>7.17</v>
      </c>
      <c r="AB31" s="274">
        <v>5.452</v>
      </c>
      <c r="AC31" s="8">
        <v>1252000</v>
      </c>
      <c r="AD31" s="11">
        <v>2.9699499999999998E-3</v>
      </c>
      <c r="AE31" s="30">
        <v>45352</v>
      </c>
      <c r="AF31" s="8">
        <v>3718.3773999999999</v>
      </c>
      <c r="AG31" s="8">
        <v>3763.9464736207578</v>
      </c>
      <c r="AH31" s="8">
        <v>36.408160000000422</v>
      </c>
      <c r="AI31" s="8">
        <v>18.138743242766669</v>
      </c>
      <c r="AJ31" s="8">
        <v>54.546903242767087</v>
      </c>
      <c r="AK31" s="278"/>
      <c r="AL31" s="135">
        <v>0.7</v>
      </c>
      <c r="AM31" s="134">
        <v>775</v>
      </c>
      <c r="AN31" s="132" t="s">
        <v>202</v>
      </c>
      <c r="AO31" s="132" t="s">
        <v>134</v>
      </c>
      <c r="AP31" s="132" t="s">
        <v>376</v>
      </c>
      <c r="AQ31" s="132" t="s">
        <v>377</v>
      </c>
      <c r="AR31" s="135">
        <v>0.80610000000000004</v>
      </c>
      <c r="AS31" s="135">
        <v>0</v>
      </c>
      <c r="AT31" s="135">
        <v>0</v>
      </c>
      <c r="AU31" s="282">
        <v>0</v>
      </c>
    </row>
    <row r="32" spans="2:47" x14ac:dyDescent="0.25">
      <c r="B32" s="262" t="s">
        <v>190</v>
      </c>
      <c r="C32" s="132" t="s">
        <v>378</v>
      </c>
      <c r="D32" s="132" t="s">
        <v>125</v>
      </c>
      <c r="E32" s="133">
        <v>5.8479999999999999</v>
      </c>
      <c r="F32" s="133">
        <v>6.5</v>
      </c>
      <c r="G32" s="134">
        <v>225</v>
      </c>
      <c r="H32" s="134">
        <v>135</v>
      </c>
      <c r="I32" s="223">
        <v>52291</v>
      </c>
      <c r="J32" s="224">
        <v>4</v>
      </c>
      <c r="K32" s="134">
        <v>357587</v>
      </c>
      <c r="L32" s="134">
        <v>417000</v>
      </c>
      <c r="M32" s="266">
        <v>99.370994567871094</v>
      </c>
      <c r="N32" s="13">
        <v>35.81</v>
      </c>
      <c r="O32" s="13">
        <v>21.5015529149</v>
      </c>
      <c r="P32" s="197">
        <v>10.1402767268477</v>
      </c>
      <c r="Q32" s="13">
        <v>93.527164671050997</v>
      </c>
      <c r="R32" s="13">
        <v>75.790533420252203</v>
      </c>
      <c r="S32" s="13">
        <v>51.0997191520078</v>
      </c>
      <c r="T32" s="143">
        <v>10.14</v>
      </c>
      <c r="U32" s="143">
        <v>0.81</v>
      </c>
      <c r="V32" s="143">
        <v>99.97</v>
      </c>
      <c r="W32" s="270">
        <v>6.94</v>
      </c>
      <c r="X32" s="133">
        <v>7.0369999999999999</v>
      </c>
      <c r="Y32" s="133">
        <v>7.11</v>
      </c>
      <c r="Z32" s="133">
        <v>6.65</v>
      </c>
      <c r="AA32" s="133">
        <v>6.6820000000000004</v>
      </c>
      <c r="AB32" s="274">
        <v>6.8360000000000003</v>
      </c>
      <c r="AC32" s="8">
        <v>500000</v>
      </c>
      <c r="AD32" s="11">
        <v>5.4138199999999997E-3</v>
      </c>
      <c r="AE32" s="30">
        <v>45352</v>
      </c>
      <c r="AF32" s="8">
        <v>2706.91</v>
      </c>
      <c r="AG32" s="8">
        <v>2689.8833890571591</v>
      </c>
      <c r="AH32" s="8">
        <v>30.430000000000128</v>
      </c>
      <c r="AI32" s="8">
        <v>13.339970266666667</v>
      </c>
      <c r="AJ32" s="8">
        <v>43.769970266666796</v>
      </c>
      <c r="AK32" s="278"/>
      <c r="AL32" s="135">
        <v>0.68</v>
      </c>
      <c r="AM32" s="134">
        <v>756</v>
      </c>
      <c r="AN32" s="132" t="s">
        <v>202</v>
      </c>
      <c r="AO32" s="132" t="s">
        <v>379</v>
      </c>
      <c r="AP32" s="132" t="s">
        <v>380</v>
      </c>
      <c r="AQ32" s="132" t="s">
        <v>381</v>
      </c>
      <c r="AR32" s="135">
        <v>0</v>
      </c>
      <c r="AS32" s="135">
        <v>0</v>
      </c>
      <c r="AT32" s="135">
        <v>0</v>
      </c>
      <c r="AU32" s="282">
        <v>0</v>
      </c>
    </row>
    <row r="33" spans="2:47" x14ac:dyDescent="0.25">
      <c r="B33" s="262" t="s">
        <v>147</v>
      </c>
      <c r="C33" s="132" t="s">
        <v>230</v>
      </c>
      <c r="D33" s="132" t="s">
        <v>125</v>
      </c>
      <c r="E33" s="133">
        <v>5.8220000000000001</v>
      </c>
      <c r="F33" s="133">
        <v>6.5</v>
      </c>
      <c r="G33" s="134">
        <v>249</v>
      </c>
      <c r="H33" s="134">
        <v>111</v>
      </c>
      <c r="I33" s="223">
        <v>52963</v>
      </c>
      <c r="J33" s="224">
        <v>17</v>
      </c>
      <c r="K33" s="134">
        <v>278209</v>
      </c>
      <c r="L33" s="134">
        <v>400000</v>
      </c>
      <c r="M33" s="266">
        <v>100.86654281616211</v>
      </c>
      <c r="N33" s="13">
        <v>25.98</v>
      </c>
      <c r="O33" s="13">
        <v>19.162170316699999</v>
      </c>
      <c r="P33" s="197">
        <v>0.42155734348052798</v>
      </c>
      <c r="Q33" s="13">
        <v>0.414895411922311</v>
      </c>
      <c r="R33" s="13">
        <v>8.3797930918507308</v>
      </c>
      <c r="S33" s="13">
        <v>4.4599782842154703</v>
      </c>
      <c r="T33" s="143">
        <v>0.42</v>
      </c>
      <c r="U33" s="143">
        <v>0.42</v>
      </c>
      <c r="V33" s="143">
        <v>0.4</v>
      </c>
      <c r="W33" s="270">
        <v>6.4790000000000001</v>
      </c>
      <c r="X33" s="133">
        <v>6.6550000000000002</v>
      </c>
      <c r="Y33" s="133">
        <v>7.0579999999999998</v>
      </c>
      <c r="Z33" s="133">
        <v>7.0579999999999998</v>
      </c>
      <c r="AA33" s="133">
        <v>6.9029999999999996</v>
      </c>
      <c r="AB33" s="274">
        <v>6.9829999999999997</v>
      </c>
      <c r="AC33" s="8">
        <v>5000000</v>
      </c>
      <c r="AD33" s="11">
        <v>4.8949189999999997E-2</v>
      </c>
      <c r="AE33" s="30">
        <v>45352</v>
      </c>
      <c r="AF33" s="8">
        <v>244745.94999999998</v>
      </c>
      <c r="AG33" s="8">
        <v>246866.77844757269</v>
      </c>
      <c r="AH33" s="8">
        <v>550.85000000003322</v>
      </c>
      <c r="AI33" s="8">
        <v>1190.0983080000001</v>
      </c>
      <c r="AJ33" s="8">
        <v>1740.9483080000332</v>
      </c>
      <c r="AK33" s="278"/>
      <c r="AL33" s="135">
        <v>0.69</v>
      </c>
      <c r="AM33" s="134">
        <v>759</v>
      </c>
      <c r="AN33" s="132" t="s">
        <v>202</v>
      </c>
      <c r="AO33" s="132" t="s">
        <v>231</v>
      </c>
      <c r="AP33" s="132" t="s">
        <v>232</v>
      </c>
      <c r="AQ33" s="132" t="s">
        <v>233</v>
      </c>
      <c r="AR33" s="135">
        <v>0.20079999999999998</v>
      </c>
      <c r="AS33" s="135">
        <v>0</v>
      </c>
      <c r="AT33" s="135">
        <v>0</v>
      </c>
      <c r="AU33" s="282">
        <v>0</v>
      </c>
    </row>
    <row r="34" spans="2:47" x14ac:dyDescent="0.25">
      <c r="B34" s="262" t="s">
        <v>165</v>
      </c>
      <c r="C34" s="132" t="s">
        <v>295</v>
      </c>
      <c r="D34" s="132" t="s">
        <v>125</v>
      </c>
      <c r="E34" s="133">
        <v>5.8079999999999998</v>
      </c>
      <c r="F34" s="133">
        <v>6.5659999999999998</v>
      </c>
      <c r="G34" s="134">
        <v>231</v>
      </c>
      <c r="H34" s="134">
        <v>129</v>
      </c>
      <c r="I34" s="223">
        <v>52566</v>
      </c>
      <c r="J34" s="224">
        <v>51</v>
      </c>
      <c r="K34" s="134">
        <v>250527</v>
      </c>
      <c r="L34" s="134">
        <v>624000</v>
      </c>
      <c r="M34" s="266">
        <v>100.94180297851563</v>
      </c>
      <c r="N34" s="13">
        <v>29.5</v>
      </c>
      <c r="O34" s="13">
        <v>19.162170316699999</v>
      </c>
      <c r="P34" s="197">
        <v>0.72484219389715698</v>
      </c>
      <c r="Q34" s="13">
        <v>2.21186740641296</v>
      </c>
      <c r="R34" s="13">
        <v>1.61583125725363</v>
      </c>
      <c r="S34" s="13">
        <v>7.5302506175981403</v>
      </c>
      <c r="T34" s="143">
        <v>0.72</v>
      </c>
      <c r="U34" s="143">
        <v>1.76</v>
      </c>
      <c r="V34" s="143">
        <v>4.12</v>
      </c>
      <c r="W34" s="270">
        <v>6.3890000000000002</v>
      </c>
      <c r="X34" s="133">
        <v>6.6429999999999998</v>
      </c>
      <c r="Y34" s="133">
        <v>7.01</v>
      </c>
      <c r="Z34" s="133">
        <v>6.9850000000000003</v>
      </c>
      <c r="AA34" s="133">
        <v>6.9950000000000001</v>
      </c>
      <c r="AB34" s="274">
        <v>6.89</v>
      </c>
      <c r="AC34" s="8">
        <v>1750000</v>
      </c>
      <c r="AD34" s="11">
        <v>3.1655330000000002E-2</v>
      </c>
      <c r="AE34" s="30">
        <v>45352</v>
      </c>
      <c r="AF34" s="8">
        <v>55396.827500000007</v>
      </c>
      <c r="AG34" s="8">
        <v>55918.556471398166</v>
      </c>
      <c r="AH34" s="8">
        <v>153.89499999999072</v>
      </c>
      <c r="AI34" s="8">
        <v>268.86549689999993</v>
      </c>
      <c r="AJ34" s="8">
        <v>422.76049689999064</v>
      </c>
      <c r="AK34" s="278"/>
      <c r="AL34" s="135">
        <v>0.65</v>
      </c>
      <c r="AM34" s="134">
        <v>773</v>
      </c>
      <c r="AN34" s="132" t="s">
        <v>202</v>
      </c>
      <c r="AO34" s="132" t="s">
        <v>296</v>
      </c>
      <c r="AP34" s="132" t="s">
        <v>111</v>
      </c>
      <c r="AQ34" s="132" t="s">
        <v>297</v>
      </c>
      <c r="AR34" s="135">
        <v>0.3372</v>
      </c>
      <c r="AS34" s="135">
        <v>0</v>
      </c>
      <c r="AT34" s="135">
        <v>0</v>
      </c>
      <c r="AU34" s="282">
        <v>0</v>
      </c>
    </row>
    <row r="35" spans="2:47" x14ac:dyDescent="0.25">
      <c r="B35" s="262" t="s">
        <v>161</v>
      </c>
      <c r="C35" s="132" t="s">
        <v>283</v>
      </c>
      <c r="D35" s="132" t="s">
        <v>125</v>
      </c>
      <c r="E35" s="133">
        <v>5.8310000000000004</v>
      </c>
      <c r="F35" s="133">
        <v>6.5</v>
      </c>
      <c r="G35" s="134">
        <v>257</v>
      </c>
      <c r="H35" s="134">
        <v>103</v>
      </c>
      <c r="I35" s="223">
        <v>53206</v>
      </c>
      <c r="J35" s="224">
        <v>19</v>
      </c>
      <c r="K35" s="134">
        <v>331454</v>
      </c>
      <c r="L35" s="134">
        <v>417000</v>
      </c>
      <c r="M35" s="266">
        <v>101.12393188476563</v>
      </c>
      <c r="N35" s="13">
        <v>25.1</v>
      </c>
      <c r="O35" s="13">
        <v>19.162170316699999</v>
      </c>
      <c r="P35" s="197">
        <v>1.2049495100915699</v>
      </c>
      <c r="Q35" s="13">
        <v>30.75351821988</v>
      </c>
      <c r="R35" s="13">
        <v>26.811701022058699</v>
      </c>
      <c r="S35" s="13">
        <v>17.219020571468</v>
      </c>
      <c r="T35" s="143">
        <v>1.2</v>
      </c>
      <c r="U35" s="143">
        <v>40.729999999999997</v>
      </c>
      <c r="V35" s="143">
        <v>43.3</v>
      </c>
      <c r="W35" s="270">
        <v>6.4809999999999999</v>
      </c>
      <c r="X35" s="133">
        <v>6.6239999999999997</v>
      </c>
      <c r="Y35" s="133">
        <v>6.98</v>
      </c>
      <c r="Z35" s="133">
        <v>6.335</v>
      </c>
      <c r="AA35" s="133">
        <v>6.4379999999999997</v>
      </c>
      <c r="AB35" s="274">
        <v>6.6680000000000001</v>
      </c>
      <c r="AC35" s="8">
        <v>1150000</v>
      </c>
      <c r="AD35" s="11">
        <v>6.7501000000000005E-2</v>
      </c>
      <c r="AE35" s="30">
        <v>45352</v>
      </c>
      <c r="AF35" s="8">
        <v>77626.150000000009</v>
      </c>
      <c r="AG35" s="8">
        <v>78498.615050766006</v>
      </c>
      <c r="AH35" s="8">
        <v>217.6259999999923</v>
      </c>
      <c r="AI35" s="8">
        <v>378.25588154666667</v>
      </c>
      <c r="AJ35" s="8">
        <v>595.88188154665897</v>
      </c>
      <c r="AK35" s="278"/>
      <c r="AL35" s="135">
        <v>0.67</v>
      </c>
      <c r="AM35" s="134">
        <v>763</v>
      </c>
      <c r="AN35" s="132" t="s">
        <v>202</v>
      </c>
      <c r="AO35" s="132" t="s">
        <v>115</v>
      </c>
      <c r="AP35" s="132" t="s">
        <v>284</v>
      </c>
      <c r="AQ35" s="132" t="s">
        <v>285</v>
      </c>
      <c r="AR35" s="135">
        <v>0.10589999999999999</v>
      </c>
      <c r="AS35" s="135">
        <v>0</v>
      </c>
      <c r="AT35" s="135">
        <v>0</v>
      </c>
      <c r="AU35" s="282">
        <v>0</v>
      </c>
    </row>
    <row r="36" spans="2:47" x14ac:dyDescent="0.25">
      <c r="B36" s="262" t="s">
        <v>188</v>
      </c>
      <c r="C36" s="132" t="s">
        <v>372</v>
      </c>
      <c r="D36" s="132" t="s">
        <v>125</v>
      </c>
      <c r="E36" s="133">
        <v>5.7949999999999999</v>
      </c>
      <c r="F36" s="133">
        <v>6.5</v>
      </c>
      <c r="G36" s="134">
        <v>230</v>
      </c>
      <c r="H36" s="134">
        <v>129</v>
      </c>
      <c r="I36" s="223">
        <v>52444</v>
      </c>
      <c r="J36" s="224">
        <v>7</v>
      </c>
      <c r="K36" s="134">
        <v>412351</v>
      </c>
      <c r="L36" s="134">
        <v>561000</v>
      </c>
      <c r="M36" s="266">
        <v>99.767147064208984</v>
      </c>
      <c r="N36" s="13">
        <v>27.56</v>
      </c>
      <c r="O36" s="13">
        <v>12.7627914286</v>
      </c>
      <c r="P36" s="260">
        <v>17.873945824416701</v>
      </c>
      <c r="Q36" s="13">
        <v>11.939514091053899</v>
      </c>
      <c r="R36" s="13">
        <v>10.808563160260199</v>
      </c>
      <c r="S36" s="13">
        <v>5.7677172466590099</v>
      </c>
      <c r="T36" s="143">
        <v>17.87</v>
      </c>
      <c r="U36" s="143">
        <v>4.97</v>
      </c>
      <c r="V36" s="143">
        <v>12.51</v>
      </c>
      <c r="W36" s="270">
        <v>6.6970000000000001</v>
      </c>
      <c r="X36" s="133">
        <v>6.7750000000000004</v>
      </c>
      <c r="Y36" s="133">
        <v>6.75</v>
      </c>
      <c r="Z36" s="133">
        <v>6.7789999999999999</v>
      </c>
      <c r="AA36" s="133">
        <v>6.7839999999999998</v>
      </c>
      <c r="AB36" s="274">
        <v>6.806</v>
      </c>
      <c r="AC36" s="8">
        <v>193000</v>
      </c>
      <c r="AD36" s="11">
        <v>2.4795049999999999E-2</v>
      </c>
      <c r="AE36" s="30">
        <v>45352</v>
      </c>
      <c r="AF36" s="8">
        <v>4785.4446499999995</v>
      </c>
      <c r="AG36" s="8">
        <v>4774.3016016418205</v>
      </c>
      <c r="AH36" s="8">
        <v>89.810620000000313</v>
      </c>
      <c r="AI36" s="8">
        <v>23.543420241375003</v>
      </c>
      <c r="AJ36" s="8">
        <v>113.35404024137532</v>
      </c>
      <c r="AK36" s="278"/>
      <c r="AL36" s="135">
        <v>0.59</v>
      </c>
      <c r="AM36" s="134">
        <v>788</v>
      </c>
      <c r="AN36" s="132" t="s">
        <v>123</v>
      </c>
      <c r="AO36" s="132" t="s">
        <v>373</v>
      </c>
      <c r="AP36" s="132" t="s">
        <v>374</v>
      </c>
      <c r="AQ36" s="132" t="s">
        <v>115</v>
      </c>
      <c r="AR36" s="135">
        <v>0.18739999999999998</v>
      </c>
      <c r="AS36" s="135">
        <v>0</v>
      </c>
      <c r="AT36" s="135">
        <v>0</v>
      </c>
      <c r="AU36" s="282">
        <v>0</v>
      </c>
    </row>
    <row r="37" spans="2:47" x14ac:dyDescent="0.25">
      <c r="B37" s="262" t="s">
        <v>182</v>
      </c>
      <c r="C37" s="132" t="s">
        <v>351</v>
      </c>
      <c r="D37" s="132" t="s">
        <v>125</v>
      </c>
      <c r="E37" s="133">
        <v>5.78</v>
      </c>
      <c r="F37" s="133">
        <v>6.5</v>
      </c>
      <c r="G37" s="134">
        <v>232</v>
      </c>
      <c r="H37" s="134">
        <v>128</v>
      </c>
      <c r="I37" s="223">
        <v>52413</v>
      </c>
      <c r="J37" s="224">
        <v>2</v>
      </c>
      <c r="K37" s="134">
        <v>277324</v>
      </c>
      <c r="L37" s="134">
        <v>311000</v>
      </c>
      <c r="M37" s="266">
        <v>98.169013977050781</v>
      </c>
      <c r="N37" s="13">
        <v>34.93</v>
      </c>
      <c r="O37" s="13">
        <v>21.5015529149</v>
      </c>
      <c r="P37" s="197">
        <v>0.60674109625922201</v>
      </c>
      <c r="Q37" s="13">
        <v>0.84932197510934104</v>
      </c>
      <c r="R37" s="13">
        <v>0.57347308355317805</v>
      </c>
      <c r="S37" s="13">
        <v>0.51239329574037695</v>
      </c>
      <c r="T37" s="143">
        <v>0.61</v>
      </c>
      <c r="U37" s="143">
        <v>1.35</v>
      </c>
      <c r="V37" s="143">
        <v>0.59</v>
      </c>
      <c r="W37" s="270">
        <v>7.3250000000000002</v>
      </c>
      <c r="X37" s="133">
        <v>7.1159999999999997</v>
      </c>
      <c r="Y37" s="133">
        <v>6.8730000000000002</v>
      </c>
      <c r="Z37" s="133">
        <v>6.875</v>
      </c>
      <c r="AA37" s="133">
        <v>6.8730000000000002</v>
      </c>
      <c r="AB37" s="274">
        <v>6.8719999999999999</v>
      </c>
      <c r="AC37" s="8">
        <v>2275000</v>
      </c>
      <c r="AD37" s="11">
        <v>7.6977199999999999E-3</v>
      </c>
      <c r="AE37" s="30">
        <v>45352</v>
      </c>
      <c r="AF37" s="8">
        <v>17512.312999999998</v>
      </c>
      <c r="AG37" s="8">
        <v>17191.664996674881</v>
      </c>
      <c r="AH37" s="8">
        <v>46.614749999999418</v>
      </c>
      <c r="AI37" s="8">
        <v>84.575501995833335</v>
      </c>
      <c r="AJ37" s="8">
        <v>131.19025199583274</v>
      </c>
      <c r="AK37" s="278"/>
      <c r="AL37" s="135">
        <v>0.76</v>
      </c>
      <c r="AM37" s="134">
        <v>785</v>
      </c>
      <c r="AN37" s="132" t="s">
        <v>278</v>
      </c>
      <c r="AO37" s="132" t="s">
        <v>352</v>
      </c>
      <c r="AP37" s="132" t="s">
        <v>353</v>
      </c>
      <c r="AQ37" s="132" t="s">
        <v>354</v>
      </c>
      <c r="AR37" s="135">
        <v>0.2495</v>
      </c>
      <c r="AS37" s="135">
        <v>0</v>
      </c>
      <c r="AT37" s="135">
        <v>0</v>
      </c>
      <c r="AU37" s="282">
        <v>0</v>
      </c>
    </row>
    <row r="38" spans="2:47" x14ac:dyDescent="0.25">
      <c r="B38" s="262" t="s">
        <v>181</v>
      </c>
      <c r="C38" s="132" t="s">
        <v>347</v>
      </c>
      <c r="D38" s="132" t="s">
        <v>125</v>
      </c>
      <c r="E38" s="133">
        <v>5.82</v>
      </c>
      <c r="F38" s="133">
        <v>6.5</v>
      </c>
      <c r="G38" s="134">
        <v>237</v>
      </c>
      <c r="H38" s="134">
        <v>123</v>
      </c>
      <c r="I38" s="223">
        <v>52628</v>
      </c>
      <c r="J38" s="224">
        <v>2</v>
      </c>
      <c r="K38" s="134">
        <v>205236</v>
      </c>
      <c r="L38" s="134">
        <v>241000</v>
      </c>
      <c r="M38" s="266">
        <v>98.630405426025391</v>
      </c>
      <c r="N38" s="13">
        <v>31.05</v>
      </c>
      <c r="O38" s="13">
        <v>21.5015529149</v>
      </c>
      <c r="P38" s="197">
        <v>7.4098124821841997E-3</v>
      </c>
      <c r="Q38" s="13">
        <v>7.0454736879832502E-3</v>
      </c>
      <c r="R38" s="13">
        <v>9.3956540503703501E-3</v>
      </c>
      <c r="S38" s="13">
        <v>8.1905690677786004E-3</v>
      </c>
      <c r="T38" s="143">
        <v>0.01</v>
      </c>
      <c r="U38" s="143">
        <v>0.01</v>
      </c>
      <c r="V38" s="143">
        <v>0.01</v>
      </c>
      <c r="W38" s="270">
        <v>7.1760000000000002</v>
      </c>
      <c r="X38" s="133">
        <v>7.1369999999999996</v>
      </c>
      <c r="Y38" s="133">
        <v>7.0839999999999996</v>
      </c>
      <c r="Z38" s="133">
        <v>7.0839999999999996</v>
      </c>
      <c r="AA38" s="133">
        <v>7.0839999999999996</v>
      </c>
      <c r="AB38" s="274">
        <v>7.0839999999999996</v>
      </c>
      <c r="AC38" s="8">
        <v>1000000</v>
      </c>
      <c r="AD38" s="11">
        <v>1.8075549999999999E-2</v>
      </c>
      <c r="AE38" s="30">
        <v>45352</v>
      </c>
      <c r="AF38" s="8">
        <v>18075.55</v>
      </c>
      <c r="AG38" s="8">
        <v>17827.988247983929</v>
      </c>
      <c r="AH38" s="8">
        <v>37.600000000002218</v>
      </c>
      <c r="AI38" s="8">
        <v>87.848777500000011</v>
      </c>
      <c r="AJ38" s="8">
        <v>125.44877750000222</v>
      </c>
      <c r="AK38" s="278"/>
      <c r="AL38" s="135">
        <v>0.76</v>
      </c>
      <c r="AM38" s="134">
        <v>795</v>
      </c>
      <c r="AN38" s="132" t="s">
        <v>348</v>
      </c>
      <c r="AO38" s="132" t="s">
        <v>349</v>
      </c>
      <c r="AP38" s="132" t="s">
        <v>350</v>
      </c>
      <c r="AQ38" s="132" t="s">
        <v>129</v>
      </c>
      <c r="AR38" s="135">
        <v>0</v>
      </c>
      <c r="AS38" s="135">
        <v>0</v>
      </c>
      <c r="AT38" s="135">
        <v>0</v>
      </c>
      <c r="AU38" s="282">
        <v>0</v>
      </c>
    </row>
    <row r="39" spans="2:47" x14ac:dyDescent="0.25">
      <c r="B39" s="262" t="s">
        <v>174</v>
      </c>
      <c r="C39" s="132" t="s">
        <v>326</v>
      </c>
      <c r="D39" s="132" t="s">
        <v>125</v>
      </c>
      <c r="E39" s="133">
        <v>5.83</v>
      </c>
      <c r="F39" s="133">
        <v>6.5</v>
      </c>
      <c r="G39" s="134">
        <v>249</v>
      </c>
      <c r="H39" s="134">
        <v>111</v>
      </c>
      <c r="I39" s="223">
        <v>52932</v>
      </c>
      <c r="J39" s="224">
        <v>4</v>
      </c>
      <c r="K39" s="134">
        <v>183333</v>
      </c>
      <c r="L39" s="134">
        <v>346000</v>
      </c>
      <c r="M39" s="266">
        <v>99.740139007568359</v>
      </c>
      <c r="N39" s="13">
        <v>35.06</v>
      </c>
      <c r="O39" s="13">
        <v>19.162170316699999</v>
      </c>
      <c r="P39" s="197">
        <v>5.1381492268001097</v>
      </c>
      <c r="Q39" s="13">
        <v>89.370552778030003</v>
      </c>
      <c r="R39" s="13">
        <v>67.834557339057895</v>
      </c>
      <c r="S39" s="13">
        <v>43.933637998481402</v>
      </c>
      <c r="T39" s="143">
        <v>5.14</v>
      </c>
      <c r="U39" s="143">
        <v>99.87</v>
      </c>
      <c r="V39" s="143">
        <v>2.23</v>
      </c>
      <c r="W39" s="270">
        <v>6.806</v>
      </c>
      <c r="X39" s="133">
        <v>7.0090000000000003</v>
      </c>
      <c r="Y39" s="133">
        <v>7.1660000000000004</v>
      </c>
      <c r="Z39" s="133">
        <v>5.8810000000000002</v>
      </c>
      <c r="AA39" s="133">
        <v>6.3159999999999998</v>
      </c>
      <c r="AB39" s="274">
        <v>6.6840000000000002</v>
      </c>
      <c r="AC39" s="8">
        <v>1080000</v>
      </c>
      <c r="AD39" s="11">
        <v>1.4528620000000001E-2</v>
      </c>
      <c r="AE39" s="30">
        <v>45352</v>
      </c>
      <c r="AF39" s="8">
        <v>15690.909600000001</v>
      </c>
      <c r="AG39" s="8">
        <v>15650.135046591889</v>
      </c>
      <c r="AH39" s="8">
        <v>99.035999999998253</v>
      </c>
      <c r="AI39" s="8">
        <v>76.712819039999999</v>
      </c>
      <c r="AJ39" s="8">
        <v>175.74881903999824</v>
      </c>
      <c r="AK39" s="278"/>
      <c r="AL39" s="135">
        <v>0.59</v>
      </c>
      <c r="AM39" s="134">
        <v>788</v>
      </c>
      <c r="AN39" s="132" t="s">
        <v>327</v>
      </c>
      <c r="AO39" s="132" t="s">
        <v>328</v>
      </c>
      <c r="AP39" s="132" t="s">
        <v>329</v>
      </c>
      <c r="AQ39" s="132" t="s">
        <v>285</v>
      </c>
      <c r="AR39" s="135">
        <v>1</v>
      </c>
      <c r="AS39" s="135">
        <v>0</v>
      </c>
      <c r="AT39" s="135">
        <v>0</v>
      </c>
      <c r="AU39" s="282">
        <v>0</v>
      </c>
    </row>
    <row r="40" spans="2:47" x14ac:dyDescent="0.25">
      <c r="B40" s="262" t="s">
        <v>148</v>
      </c>
      <c r="C40" s="132" t="s">
        <v>234</v>
      </c>
      <c r="D40" s="132" t="s">
        <v>125</v>
      </c>
      <c r="E40" s="133">
        <v>5.84</v>
      </c>
      <c r="F40" s="133">
        <v>6.5</v>
      </c>
      <c r="G40" s="134">
        <v>256</v>
      </c>
      <c r="H40" s="134">
        <v>104</v>
      </c>
      <c r="I40" s="223">
        <v>53175</v>
      </c>
      <c r="J40" s="224">
        <v>9</v>
      </c>
      <c r="K40" s="134">
        <v>283141</v>
      </c>
      <c r="L40" s="134">
        <v>417000</v>
      </c>
      <c r="M40" s="266">
        <v>101.46961212158203</v>
      </c>
      <c r="N40" s="13">
        <v>21.71</v>
      </c>
      <c r="O40" s="13">
        <v>19.162170316699999</v>
      </c>
      <c r="P40" s="197">
        <v>2.0949813335319498</v>
      </c>
      <c r="Q40" s="13">
        <v>39.686084531624601</v>
      </c>
      <c r="R40" s="13">
        <v>26.991285640251299</v>
      </c>
      <c r="S40" s="13">
        <v>31.765130559251102</v>
      </c>
      <c r="T40" s="143">
        <v>2.09</v>
      </c>
      <c r="U40" s="143">
        <v>2.06</v>
      </c>
      <c r="V40" s="143">
        <v>77.12</v>
      </c>
      <c r="W40" s="270">
        <v>6.5720000000000001</v>
      </c>
      <c r="X40" s="133">
        <v>6.6420000000000003</v>
      </c>
      <c r="Y40" s="133">
        <v>7.0410000000000004</v>
      </c>
      <c r="Z40" s="133">
        <v>6.008</v>
      </c>
      <c r="AA40" s="133">
        <v>6.42</v>
      </c>
      <c r="AB40" s="274">
        <v>6.2729999999999997</v>
      </c>
      <c r="AC40" s="8">
        <v>2500000</v>
      </c>
      <c r="AD40" s="11">
        <v>9.6721909999999994E-2</v>
      </c>
      <c r="AE40" s="30">
        <v>45352</v>
      </c>
      <c r="AF40" s="8">
        <v>241804.77499999999</v>
      </c>
      <c r="AG40" s="8">
        <v>245358.36728396415</v>
      </c>
      <c r="AH40" s="8">
        <v>863.97500000001685</v>
      </c>
      <c r="AI40" s="8">
        <v>1180.9879166666667</v>
      </c>
      <c r="AJ40" s="8">
        <v>2044.9629166666837</v>
      </c>
      <c r="AK40" s="278"/>
      <c r="AL40" s="135">
        <v>0.71</v>
      </c>
      <c r="AM40" s="134">
        <v>727</v>
      </c>
      <c r="AN40" s="132" t="s">
        <v>235</v>
      </c>
      <c r="AO40" s="132" t="s">
        <v>236</v>
      </c>
      <c r="AP40" s="132" t="s">
        <v>237</v>
      </c>
      <c r="AQ40" s="132" t="s">
        <v>238</v>
      </c>
      <c r="AR40" s="135">
        <v>0.2109</v>
      </c>
      <c r="AS40" s="135">
        <v>0</v>
      </c>
      <c r="AT40" s="135">
        <v>0</v>
      </c>
      <c r="AU40" s="282">
        <v>0</v>
      </c>
    </row>
    <row r="41" spans="2:47" x14ac:dyDescent="0.25">
      <c r="B41" s="262" t="s">
        <v>166</v>
      </c>
      <c r="C41" s="132" t="s">
        <v>298</v>
      </c>
      <c r="D41" s="132" t="s">
        <v>125</v>
      </c>
      <c r="E41" s="133">
        <v>5.7910000000000004</v>
      </c>
      <c r="F41" s="133">
        <v>6.5149999999999997</v>
      </c>
      <c r="G41" s="134">
        <v>243</v>
      </c>
      <c r="H41" s="134">
        <v>117</v>
      </c>
      <c r="I41" s="223">
        <v>53418</v>
      </c>
      <c r="J41" s="224">
        <v>64</v>
      </c>
      <c r="K41" s="134">
        <v>186316</v>
      </c>
      <c r="L41" s="134">
        <v>618000</v>
      </c>
      <c r="M41" s="266">
        <v>101.08776473999023</v>
      </c>
      <c r="N41" s="13">
        <v>37.270000000000003</v>
      </c>
      <c r="O41" s="13">
        <v>19.162170316699999</v>
      </c>
      <c r="P41" s="197">
        <v>1.28564204179532</v>
      </c>
      <c r="Q41" s="13">
        <v>1.25124591346276</v>
      </c>
      <c r="R41" s="13">
        <v>2.7589985083889501</v>
      </c>
      <c r="S41" s="13">
        <v>30.447421179829401</v>
      </c>
      <c r="T41" s="143">
        <v>1.29</v>
      </c>
      <c r="U41" s="143">
        <v>1.33</v>
      </c>
      <c r="V41" s="143">
        <v>1.1399999999999999</v>
      </c>
      <c r="W41" s="270">
        <v>6.149</v>
      </c>
      <c r="X41" s="133">
        <v>6.63</v>
      </c>
      <c r="Y41" s="133">
        <v>6.9960000000000004</v>
      </c>
      <c r="Z41" s="133">
        <v>6.9969999999999999</v>
      </c>
      <c r="AA41" s="133">
        <v>6.9710000000000001</v>
      </c>
      <c r="AB41" s="274">
        <v>6.343</v>
      </c>
      <c r="AC41" s="8">
        <v>1700000</v>
      </c>
      <c r="AD41" s="11">
        <v>3.1629089999999999E-2</v>
      </c>
      <c r="AE41" s="30">
        <v>45352</v>
      </c>
      <c r="AF41" s="8">
        <v>53769.452999999994</v>
      </c>
      <c r="AG41" s="8">
        <v>54354.338150619616</v>
      </c>
      <c r="AH41" s="8">
        <v>164.5940000000075</v>
      </c>
      <c r="AI41" s="8">
        <v>260.27672181416671</v>
      </c>
      <c r="AJ41" s="8">
        <v>424.8707218141742</v>
      </c>
      <c r="AK41" s="278"/>
      <c r="AL41" s="135">
        <v>0.49</v>
      </c>
      <c r="AM41" s="134">
        <v>771</v>
      </c>
      <c r="AN41" s="132" t="s">
        <v>202</v>
      </c>
      <c r="AO41" s="132" t="s">
        <v>299</v>
      </c>
      <c r="AP41" s="132" t="s">
        <v>300</v>
      </c>
      <c r="AQ41" s="132" t="s">
        <v>301</v>
      </c>
      <c r="AR41" s="135">
        <v>0.70530000000000004</v>
      </c>
      <c r="AS41" s="135">
        <v>0</v>
      </c>
      <c r="AT41" s="135">
        <v>0</v>
      </c>
      <c r="AU41" s="282">
        <v>0</v>
      </c>
    </row>
    <row r="42" spans="2:47" x14ac:dyDescent="0.25">
      <c r="B42" s="262" t="s">
        <v>175</v>
      </c>
      <c r="C42" s="132" t="s">
        <v>330</v>
      </c>
      <c r="D42" s="132" t="s">
        <v>125</v>
      </c>
      <c r="E42" s="133">
        <v>5.8150000000000004</v>
      </c>
      <c r="F42" s="133">
        <v>6.5369999999999999</v>
      </c>
      <c r="G42" s="134">
        <v>236</v>
      </c>
      <c r="H42" s="134">
        <v>124</v>
      </c>
      <c r="I42" s="223">
        <v>52994</v>
      </c>
      <c r="J42" s="224">
        <v>245</v>
      </c>
      <c r="K42" s="134">
        <v>280183</v>
      </c>
      <c r="L42" s="134">
        <v>625000</v>
      </c>
      <c r="M42" s="266">
        <v>100.86868286132813</v>
      </c>
      <c r="N42" s="13">
        <v>31.25</v>
      </c>
      <c r="O42" s="13">
        <v>19.162170316699999</v>
      </c>
      <c r="P42" s="197">
        <v>1.7025160563105499</v>
      </c>
      <c r="Q42" s="13">
        <v>19.332703648761601</v>
      </c>
      <c r="R42" s="13">
        <v>17.305100919444499</v>
      </c>
      <c r="S42" s="13">
        <v>18.067877123918699</v>
      </c>
      <c r="T42" s="143">
        <v>1.7</v>
      </c>
      <c r="U42" s="143">
        <v>6.67</v>
      </c>
      <c r="V42" s="143">
        <v>42.79</v>
      </c>
      <c r="W42" s="270">
        <v>6.367</v>
      </c>
      <c r="X42" s="133">
        <v>6.6479999999999997</v>
      </c>
      <c r="Y42" s="133">
        <v>6.9740000000000002</v>
      </c>
      <c r="Z42" s="133">
        <v>6.6440000000000001</v>
      </c>
      <c r="AA42" s="133">
        <v>6.6870000000000003</v>
      </c>
      <c r="AB42" s="274">
        <v>6.6710000000000003</v>
      </c>
      <c r="AC42" s="8">
        <v>300000</v>
      </c>
      <c r="AD42" s="11">
        <v>7.8261510000000006E-2</v>
      </c>
      <c r="AE42" s="30">
        <v>45352</v>
      </c>
      <c r="AF42" s="8">
        <v>23478.453000000001</v>
      </c>
      <c r="AG42" s="8">
        <v>23682.406297315978</v>
      </c>
      <c r="AH42" s="8">
        <v>82.541999999997955</v>
      </c>
      <c r="AI42" s="8">
        <v>114.1726549375</v>
      </c>
      <c r="AJ42" s="8">
        <v>196.71465493749795</v>
      </c>
      <c r="AK42" s="278"/>
      <c r="AL42" s="135">
        <v>0.7</v>
      </c>
      <c r="AM42" s="134">
        <v>750</v>
      </c>
      <c r="AN42" s="132" t="s">
        <v>202</v>
      </c>
      <c r="AO42" s="132" t="s">
        <v>116</v>
      </c>
      <c r="AP42" s="132" t="s">
        <v>132</v>
      </c>
      <c r="AQ42" s="132" t="s">
        <v>118</v>
      </c>
      <c r="AR42" s="135">
        <v>0.35340000000000005</v>
      </c>
      <c r="AS42" s="135">
        <v>0</v>
      </c>
      <c r="AT42" s="135">
        <v>0</v>
      </c>
      <c r="AU42" s="282">
        <v>0</v>
      </c>
    </row>
    <row r="43" spans="2:47" x14ac:dyDescent="0.25">
      <c r="B43" s="262" t="s">
        <v>140</v>
      </c>
      <c r="C43" s="132" t="s">
        <v>196</v>
      </c>
      <c r="D43" s="132" t="s">
        <v>125</v>
      </c>
      <c r="E43" s="133">
        <v>5.85</v>
      </c>
      <c r="F43" s="133">
        <v>6.5</v>
      </c>
      <c r="G43" s="134">
        <v>203</v>
      </c>
      <c r="H43" s="134">
        <v>157</v>
      </c>
      <c r="I43" s="223">
        <v>54393</v>
      </c>
      <c r="J43" s="224">
        <v>3</v>
      </c>
      <c r="K43" s="134">
        <v>236233</v>
      </c>
      <c r="L43" s="134">
        <v>310000</v>
      </c>
      <c r="M43" s="266">
        <v>99.866661071777344</v>
      </c>
      <c r="N43" s="13">
        <v>25.82</v>
      </c>
      <c r="O43" s="13">
        <v>14.501335167500001</v>
      </c>
      <c r="P43" s="260">
        <v>99.768041213032205</v>
      </c>
      <c r="Q43" s="13">
        <v>86.797209695489698</v>
      </c>
      <c r="R43" s="13">
        <v>63.731262348470302</v>
      </c>
      <c r="S43" s="13">
        <v>43.5215577172292</v>
      </c>
      <c r="T43" s="143">
        <v>99.77</v>
      </c>
      <c r="U43" s="143">
        <v>0.53</v>
      </c>
      <c r="V43" s="143">
        <v>0.25</v>
      </c>
      <c r="W43" s="270">
        <v>6.9589999999999996</v>
      </c>
      <c r="X43" s="133">
        <v>7.0880000000000001</v>
      </c>
      <c r="Y43" s="133">
        <v>4.9489999999999998</v>
      </c>
      <c r="Z43" s="133">
        <v>5.8940000000000001</v>
      </c>
      <c r="AA43" s="133">
        <v>6.4109999999999996</v>
      </c>
      <c r="AB43" s="274">
        <v>6.7279999999999998</v>
      </c>
      <c r="AC43" s="8">
        <v>1242831</v>
      </c>
      <c r="AD43" s="11">
        <v>0.32837103000000001</v>
      </c>
      <c r="AE43" s="30">
        <v>45352</v>
      </c>
      <c r="AF43" s="8">
        <v>408109.69558593002</v>
      </c>
      <c r="AG43" s="8">
        <v>407565.52649186295</v>
      </c>
      <c r="AH43" s="8">
        <v>270323.92032798001</v>
      </c>
      <c r="AI43" s="8">
        <v>3307.3638775803111</v>
      </c>
      <c r="AJ43" s="8">
        <v>273631.28420556034</v>
      </c>
      <c r="AK43" s="278"/>
      <c r="AL43" s="135">
        <v>0.54</v>
      </c>
      <c r="AM43" s="134">
        <v>767</v>
      </c>
      <c r="AN43" s="132" t="s">
        <v>121</v>
      </c>
      <c r="AO43" s="132" t="s">
        <v>197</v>
      </c>
      <c r="AP43" s="132" t="s">
        <v>198</v>
      </c>
      <c r="AQ43" s="132" t="s">
        <v>199</v>
      </c>
      <c r="AR43" s="135">
        <v>0</v>
      </c>
      <c r="AS43" s="135">
        <v>0</v>
      </c>
      <c r="AT43" s="135">
        <v>0</v>
      </c>
      <c r="AU43" s="282">
        <v>0</v>
      </c>
    </row>
    <row r="44" spans="2:47" s="237" customFormat="1" x14ac:dyDescent="0.25">
      <c r="B44" s="263" t="s">
        <v>205</v>
      </c>
      <c r="C44" s="199"/>
      <c r="D44" s="199"/>
      <c r="E44" s="200">
        <f>SUMPRODUCT($E$45:$E$51,$AF$45:$AF$51)/SUMIF($E$45:$E$51,"&lt;&gt;",$AF$45:$AF$51)</f>
        <v>5.9216267873817428</v>
      </c>
      <c r="F44" s="200">
        <f>SUMPRODUCT($F$45:$F$51,$AF$45:$AF$51)/SUMIF($F$45:$F$51,"&lt;&gt;",$AF$45:$AF$51)</f>
        <v>6.4223872410034941</v>
      </c>
      <c r="G44" s="129">
        <f>SUMPRODUCT($G$45:$G$51,$AF$45:$AF$51)/SUMIF($G$45:$G$51,"&lt;&gt;",$AF$45:$AF$51)</f>
        <v>195.73884110051489</v>
      </c>
      <c r="H44" s="129">
        <f>SUMPRODUCT($H$45:$H$51,$AF$45:$AF$51)/SUMIF($H$45:$H$51,"&lt;&gt;",$AF$45:$AF$51)</f>
        <v>164.26115889948511</v>
      </c>
      <c r="I44" s="201">
        <f>SUMPRODUCT($I$45:$I$51,$AF$45:$AF$51)/SUMIF($I$45:$I$51,"&lt;&gt;",$AF$45:$AF$51)</f>
        <v>51626.089961959733</v>
      </c>
      <c r="J44" s="202">
        <f>SUM($J$45:$J$51)</f>
        <v>771</v>
      </c>
      <c r="K44" s="129">
        <f>SUMPRODUCT($K$45:$K$51,$AF$45:$AF$51)/SUMIF($K$45:$K$51,"&lt;&gt;",$AF$45:$AF$51)</f>
        <v>294446.61176754656</v>
      </c>
      <c r="L44" s="129">
        <f>SUMPRODUCT($L$45:$L$51,$AF$45:$AF$51)/SUMIF($L$45:$L$51,"&lt;&gt;",$AF$45:$AF$51)</f>
        <v>531609.79644909734</v>
      </c>
      <c r="M44" s="267">
        <f>SUMPRODUCT($M$45:$M$51,$AF$45:$AF$51)/SUMIF($M$45:$M$51,"&lt;&gt;",$AF$45:$AF$51)</f>
        <v>101.60541506118655</v>
      </c>
      <c r="N44" s="208">
        <f>SUMPRODUCT($N$45:$N$51,$AF$45:$AF$51)/SUMIF($N$45:$N$51,"&lt;&gt;",$AF$45:$AF$51)</f>
        <v>23.074141179921277</v>
      </c>
      <c r="O44" s="208">
        <f>SUMPRODUCT($O$45:$O$51,$AF$45:$AF$51)/SUMIF($O$45:$O$51,"&lt;&gt;",$AF$45:$AF$51)</f>
        <v>25.502003393711032</v>
      </c>
      <c r="P44" s="208">
        <f>SUMPRODUCT($P$45:$P$51,$AF$45:$AF$51)/SUMIF($P$45:$P$51,"&lt;&gt;",$AF$45:$AF$51)</f>
        <v>4.3850017649919764</v>
      </c>
      <c r="Q44" s="208">
        <f>SUMPRODUCT($Q$45:$Q$51,$AF$45:$AF$51)/SUMIF($Q$45:$Q$51,"&lt;&gt;",$AF$45:$AF$51)</f>
        <v>5.5498889279351875</v>
      </c>
      <c r="R44" s="208">
        <f>SUMPRODUCT($R$45:$R$51,$AF$45:$AF$51)/SUMIF($R$45:$R$51,"&lt;&gt;",$AF$45:$AF$51)</f>
        <v>11.134844739033431</v>
      </c>
      <c r="S44" s="208">
        <f>SUMPRODUCT($S$45:$S$51,$AF$45:$AF$51)/SUMIF($S$45:$S$51,"&lt;&gt;",$AF$45:$AF$51)</f>
        <v>11.52855965979006</v>
      </c>
      <c r="T44" s="208">
        <f>SUMPRODUCT($T$45:$T$51,$AF$45:$AF$51)/SUMIF($T$45:$T$51,"&lt;&gt;",$AF$45:$AF$51)</f>
        <v>4.3862808343553175</v>
      </c>
      <c r="U44" s="208">
        <f>SUMPRODUCT($U$45:$U$51,$AF$45:$AF$51)/SUMIF($U$45:$U$51,"&lt;&gt;",$AF$45:$AF$51)</f>
        <v>9.2212851823816777</v>
      </c>
      <c r="V44" s="208">
        <f>SUMPRODUCT($V$45:$V$51,$AF$45:$AF$51)/SUMIF($V$45:$V$51,"&lt;&gt;",$AF$45:$AF$51)</f>
        <v>1.7832359147485162</v>
      </c>
      <c r="W44" s="271">
        <f>SUMPRODUCT($W$45:$W$51,$AF$45:$AF$51)/SUMIF($W$45:$W$51,"&lt;&gt;",$AF$45:$AF$51)</f>
        <v>6.5528814989996382</v>
      </c>
      <c r="X44" s="200">
        <f>SUMPRODUCT($X$45:$X$51,$AF$45:$AF$51)/SUMIF($X$45:$X$51,"&lt;&gt;",$AF$45:$AF$51)</f>
        <v>6.416051116274569</v>
      </c>
      <c r="Y44" s="200">
        <f>SUMPRODUCT($Y$45:$Y$51,$AF$45:$AF$51)/SUMIF($Y$45:$Y$51,"&lt;&gt;",$AF$45:$AF$51)</f>
        <v>7.009361648111021</v>
      </c>
      <c r="Z44" s="200">
        <f>SUMPRODUCT($Z$45:$Z$51,$AF$45:$AF$51)/SUMIF($Z$45:$Z$51,"&lt;&gt;",$AF$45:$AF$51)</f>
        <v>7.0034832148029027</v>
      </c>
      <c r="AA44" s="200">
        <f>SUMPRODUCT($AA$45:$AA$51,$AF$45:$AF$51)/SUMIF($AA$45:$AA$51,"&lt;&gt;",$AF$45:$AF$51)</f>
        <v>6.8501500739408936</v>
      </c>
      <c r="AB44" s="275">
        <f>SUMPRODUCT($AB$45:$AB$51,$AF$45:$AF$51)/SUMIF($AB$45:$AB$51,"&lt;&gt;",$AF$45:$AF$51)</f>
        <v>6.8452778720020735</v>
      </c>
      <c r="AC44" s="207">
        <f>SUM($AC$45:$AC$51)</f>
        <v>32016211</v>
      </c>
      <c r="AD44" s="209">
        <f>SUMPRODUCT($AD$45:$AD$51,$AF$45:$AF$51)/SUMIF($AD$45:$AD$51,"&lt;&gt;",$AF$45:$AF$51)</f>
        <v>8.016042766697408E-2</v>
      </c>
      <c r="AE44" s="210">
        <f>SUMPRODUCT($AE$45:$AE$51,$AF$45:$AF$51)/SUMIF($AE$45:$AE$51,"&lt;&gt;",$AF$45:$AF$51)</f>
        <v>45352.000000000007</v>
      </c>
      <c r="AF44" s="207">
        <f>SUM($AF$45:$AF$51)</f>
        <v>969533.30018806993</v>
      </c>
      <c r="AG44" s="207">
        <f>SUM($AG$45:$AG$51)</f>
        <v>985098.33381250792</v>
      </c>
      <c r="AH44" s="207">
        <f>SUM($AH$45:$AH$51)</f>
        <v>7969.5437079899466</v>
      </c>
      <c r="AI44" s="207">
        <f>SUM($AI$45:$AI$51)</f>
        <v>4823.6075825574817</v>
      </c>
      <c r="AJ44" s="207">
        <f>SUM($AJ$45:$AJ$51)</f>
        <v>12793.15129054743</v>
      </c>
      <c r="AK44" s="279"/>
      <c r="AL44" s="206">
        <f>SUMPRODUCT($AL$45:$AL$51,$AF$45:$AF$51)/SUMIF($AL$45:$AL$51,"&lt;&gt;",$AF$45:$AF$51)</f>
        <v>0.69324524778730123</v>
      </c>
      <c r="AM44" s="129">
        <f>SUMPRODUCT($AM$45:$AM$51,$AF$45:$AF$51)/SUMIF($AM$45:$AM$51,"&lt;&gt;",$AF$45:$AF$51)</f>
        <v>756.50583766773048</v>
      </c>
      <c r="AN44" s="199"/>
      <c r="AO44" s="199"/>
      <c r="AP44" s="199"/>
      <c r="AQ44" s="199"/>
      <c r="AR44" s="206">
        <f>SUMPRODUCT($AR$45:$AR$51,$AF$45:$AF$51)/SUMIF($AR$45:$AR$51,"&lt;&gt;",$AF$45:$AF$51)</f>
        <v>0.30705309056149377</v>
      </c>
      <c r="AS44" s="206">
        <f>SUMPRODUCT($AS$45:$AS$51,$AF$45:$AF$51)/SUMIF($AS$45:$AS$51,"&lt;&gt;",$AF$45:$AF$51)</f>
        <v>6.061672937833963E-3</v>
      </c>
      <c r="AT44" s="206">
        <f>SUMPRODUCT($AT$45:$AT$51,$AF$45:$AF$51)/SUMIF($AT$45:$AT$51,"&lt;&gt;",$AF$45:$AF$51)</f>
        <v>0</v>
      </c>
      <c r="AU44" s="283">
        <f>SUMPRODUCT($AU$45:$AU$51,$AF$45:$AF$51)/SUMIF($AU$45:$AU$51,"&lt;&gt;",$AF$45:$AF$51)</f>
        <v>0</v>
      </c>
    </row>
    <row r="45" spans="2:47" x14ac:dyDescent="0.25">
      <c r="B45" s="262" t="s">
        <v>159</v>
      </c>
      <c r="C45" s="132" t="s">
        <v>274</v>
      </c>
      <c r="D45" s="132" t="s">
        <v>125</v>
      </c>
      <c r="E45" s="133">
        <v>5.9349999999999996</v>
      </c>
      <c r="F45" s="133">
        <v>6.4909999999999997</v>
      </c>
      <c r="G45" s="134">
        <v>191</v>
      </c>
      <c r="H45" s="134">
        <v>169</v>
      </c>
      <c r="I45" s="223">
        <v>51683</v>
      </c>
      <c r="J45" s="224">
        <v>437</v>
      </c>
      <c r="K45" s="134">
        <v>269984</v>
      </c>
      <c r="L45" s="134">
        <v>637000</v>
      </c>
      <c r="M45" s="266">
        <v>101.72985458374023</v>
      </c>
      <c r="N45" s="13">
        <v>23.21</v>
      </c>
      <c r="O45" s="13">
        <v>14.501335167500001</v>
      </c>
      <c r="P45" s="197">
        <v>3.4761342535630799</v>
      </c>
      <c r="Q45" s="13">
        <v>7.7740386242646098</v>
      </c>
      <c r="R45" s="13">
        <v>7.9361783980096297</v>
      </c>
      <c r="S45" s="13">
        <v>9.1991948900194203</v>
      </c>
      <c r="T45" s="143">
        <v>3.48</v>
      </c>
      <c r="U45" s="143">
        <v>10.130000000000001</v>
      </c>
      <c r="V45" s="143">
        <v>9.57</v>
      </c>
      <c r="W45" s="270">
        <v>6.4729999999999999</v>
      </c>
      <c r="X45" s="133">
        <v>6.7510000000000003</v>
      </c>
      <c r="Y45" s="133">
        <v>7.0490000000000004</v>
      </c>
      <c r="Z45" s="133">
        <v>6.9409999999999998</v>
      </c>
      <c r="AA45" s="133">
        <v>6.9370000000000003</v>
      </c>
      <c r="AB45" s="274">
        <v>6.9029999999999996</v>
      </c>
      <c r="AC45" s="8">
        <v>1600000</v>
      </c>
      <c r="AD45" s="11">
        <v>5.682185E-2</v>
      </c>
      <c r="AE45" s="30">
        <v>45352</v>
      </c>
      <c r="AF45" s="8">
        <v>90914.96</v>
      </c>
      <c r="AG45" s="8">
        <v>92487.656602865609</v>
      </c>
      <c r="AH45" s="8">
        <v>543.66399999999931</v>
      </c>
      <c r="AI45" s="8">
        <v>452.33911119999993</v>
      </c>
      <c r="AJ45" s="8">
        <v>996.00311119999924</v>
      </c>
      <c r="AK45" s="278"/>
      <c r="AL45" s="135">
        <v>0.71</v>
      </c>
      <c r="AM45" s="134">
        <v>759</v>
      </c>
      <c r="AN45" s="132" t="s">
        <v>202</v>
      </c>
      <c r="AO45" s="132" t="s">
        <v>116</v>
      </c>
      <c r="AP45" s="132" t="s">
        <v>275</v>
      </c>
      <c r="AQ45" s="132" t="s">
        <v>276</v>
      </c>
      <c r="AR45" s="135">
        <v>0.60740000000000005</v>
      </c>
      <c r="AS45" s="135">
        <v>1.6E-2</v>
      </c>
      <c r="AT45" s="135">
        <v>0</v>
      </c>
      <c r="AU45" s="282">
        <v>0</v>
      </c>
    </row>
    <row r="46" spans="2:47" x14ac:dyDescent="0.25">
      <c r="B46" s="262" t="s">
        <v>168</v>
      </c>
      <c r="C46" s="132" t="s">
        <v>307</v>
      </c>
      <c r="D46" s="132" t="s">
        <v>125</v>
      </c>
      <c r="E46" s="133">
        <v>5.9020000000000001</v>
      </c>
      <c r="F46" s="133">
        <v>6.6289999999999996</v>
      </c>
      <c r="G46" s="134">
        <v>247</v>
      </c>
      <c r="H46" s="134">
        <v>113</v>
      </c>
      <c r="I46" s="223">
        <v>53022</v>
      </c>
      <c r="J46" s="224">
        <v>14</v>
      </c>
      <c r="K46" s="134">
        <v>282571</v>
      </c>
      <c r="L46" s="134">
        <v>506000</v>
      </c>
      <c r="M46" s="266">
        <v>101.3383903503418</v>
      </c>
      <c r="N46" s="13">
        <v>28.42</v>
      </c>
      <c r="O46" s="13">
        <v>19.162170316699999</v>
      </c>
      <c r="P46" s="198">
        <v>66.283279728290296</v>
      </c>
      <c r="Q46" s="13">
        <v>31.428639522809299</v>
      </c>
      <c r="R46" s="13">
        <v>26.776718169104399</v>
      </c>
      <c r="S46" s="13">
        <v>14.745141894142501</v>
      </c>
      <c r="T46" s="143">
        <v>66.28</v>
      </c>
      <c r="U46" s="143">
        <v>4.29</v>
      </c>
      <c r="V46" s="143">
        <v>0.08</v>
      </c>
      <c r="W46" s="270">
        <v>6.3520000000000003</v>
      </c>
      <c r="X46" s="133">
        <v>6.6230000000000002</v>
      </c>
      <c r="Y46" s="133">
        <v>4.835</v>
      </c>
      <c r="Z46" s="133">
        <v>6.258</v>
      </c>
      <c r="AA46" s="133">
        <v>6.4029999999999996</v>
      </c>
      <c r="AB46" s="274">
        <v>6.742</v>
      </c>
      <c r="AC46" s="8">
        <v>1020000</v>
      </c>
      <c r="AD46" s="11">
        <v>3.8146489999999998E-2</v>
      </c>
      <c r="AE46" s="30">
        <v>45352</v>
      </c>
      <c r="AF46" s="8">
        <v>38909.419799999996</v>
      </c>
      <c r="AG46" s="8">
        <v>39430.179719977175</v>
      </c>
      <c r="AH46" s="8">
        <v>3771.011400000004</v>
      </c>
      <c r="AI46" s="8">
        <v>209.91658745199999</v>
      </c>
      <c r="AJ46" s="8">
        <v>3980.9279874520039</v>
      </c>
      <c r="AK46" s="278"/>
      <c r="AL46" s="135">
        <v>0.6</v>
      </c>
      <c r="AM46" s="134">
        <v>763</v>
      </c>
      <c r="AN46" s="132" t="s">
        <v>202</v>
      </c>
      <c r="AO46" s="132" t="s">
        <v>308</v>
      </c>
      <c r="AP46" s="132" t="s">
        <v>117</v>
      </c>
      <c r="AQ46" s="132" t="s">
        <v>309</v>
      </c>
      <c r="AR46" s="135">
        <v>0.57719999999999994</v>
      </c>
      <c r="AS46" s="135">
        <v>0</v>
      </c>
      <c r="AT46" s="135">
        <v>0</v>
      </c>
      <c r="AU46" s="282">
        <v>0</v>
      </c>
    </row>
    <row r="47" spans="2:47" x14ac:dyDescent="0.25">
      <c r="B47" s="262" t="s">
        <v>141</v>
      </c>
      <c r="C47" s="132" t="s">
        <v>201</v>
      </c>
      <c r="D47" s="132" t="s">
        <v>125</v>
      </c>
      <c r="E47" s="133">
        <v>5.9240000000000004</v>
      </c>
      <c r="F47" s="133">
        <v>6.35</v>
      </c>
      <c r="G47" s="134">
        <v>190</v>
      </c>
      <c r="H47" s="134">
        <v>170</v>
      </c>
      <c r="I47" s="223">
        <v>51380</v>
      </c>
      <c r="J47" s="224">
        <v>64</v>
      </c>
      <c r="K47" s="134">
        <v>266635</v>
      </c>
      <c r="L47" s="134">
        <v>524000</v>
      </c>
      <c r="M47" s="266">
        <v>101.9951286315918</v>
      </c>
      <c r="N47" s="13">
        <v>20.8</v>
      </c>
      <c r="O47" s="13">
        <v>31.706916589399999</v>
      </c>
      <c r="P47" s="197">
        <v>1.0674994656533401</v>
      </c>
      <c r="Q47" s="13">
        <v>5.2305526747856197</v>
      </c>
      <c r="R47" s="13">
        <v>14.7571931694116</v>
      </c>
      <c r="S47" s="13">
        <v>14.114123218095401</v>
      </c>
      <c r="T47" s="143">
        <v>1.07</v>
      </c>
      <c r="U47" s="143">
        <v>12.93</v>
      </c>
      <c r="V47" s="143">
        <v>1.19</v>
      </c>
      <c r="W47" s="270">
        <v>6.5359999999999996</v>
      </c>
      <c r="X47" s="133">
        <v>6.1349999999999998</v>
      </c>
      <c r="Y47" s="133">
        <v>7.1040000000000001</v>
      </c>
      <c r="Z47" s="133">
        <v>7.0030000000000001</v>
      </c>
      <c r="AA47" s="133">
        <v>6.7320000000000002</v>
      </c>
      <c r="AB47" s="274">
        <v>6.7519999999999998</v>
      </c>
      <c r="AC47" s="8">
        <v>5150000</v>
      </c>
      <c r="AD47" s="11">
        <v>0.10830525000000001</v>
      </c>
      <c r="AE47" s="30">
        <v>45352</v>
      </c>
      <c r="AF47" s="8">
        <v>557772.03749999998</v>
      </c>
      <c r="AG47" s="8">
        <v>568900.30711917544</v>
      </c>
      <c r="AH47" s="8">
        <v>2201.8309999999492</v>
      </c>
      <c r="AI47" s="8">
        <v>2764.4043308283335</v>
      </c>
      <c r="AJ47" s="8">
        <v>4966.2353308282827</v>
      </c>
      <c r="AK47" s="278"/>
      <c r="AL47" s="135">
        <v>0.7</v>
      </c>
      <c r="AM47" s="134">
        <v>758</v>
      </c>
      <c r="AN47" s="132" t="s">
        <v>202</v>
      </c>
      <c r="AO47" s="132" t="s">
        <v>203</v>
      </c>
      <c r="AP47" s="132" t="s">
        <v>126</v>
      </c>
      <c r="AQ47" s="132" t="s">
        <v>204</v>
      </c>
      <c r="AR47" s="135">
        <v>0.35210000000000002</v>
      </c>
      <c r="AS47" s="135">
        <v>4.0999999999999995E-3</v>
      </c>
      <c r="AT47" s="135">
        <v>0</v>
      </c>
      <c r="AU47" s="282">
        <v>0</v>
      </c>
    </row>
    <row r="48" spans="2:47" x14ac:dyDescent="0.25">
      <c r="B48" s="262" t="s">
        <v>155</v>
      </c>
      <c r="C48" s="132" t="s">
        <v>259</v>
      </c>
      <c r="D48" s="132" t="s">
        <v>125</v>
      </c>
      <c r="E48" s="133">
        <v>5.8979999999999997</v>
      </c>
      <c r="F48" s="133">
        <v>6.5309999999999997</v>
      </c>
      <c r="G48" s="134">
        <v>213</v>
      </c>
      <c r="H48" s="134">
        <v>147</v>
      </c>
      <c r="I48" s="223">
        <v>52688</v>
      </c>
      <c r="J48" s="224">
        <v>243</v>
      </c>
      <c r="K48" s="134">
        <v>325051</v>
      </c>
      <c r="L48" s="134">
        <v>624000</v>
      </c>
      <c r="M48" s="266">
        <v>101.39543914794922</v>
      </c>
      <c r="N48" s="13">
        <v>26.87</v>
      </c>
      <c r="O48" s="13">
        <v>19.162170316699999</v>
      </c>
      <c r="P48" s="197">
        <v>5.5095754119349696</v>
      </c>
      <c r="Q48" s="13">
        <v>3.77369312404364</v>
      </c>
      <c r="R48" s="13">
        <v>3.9218328006496699</v>
      </c>
      <c r="S48" s="13">
        <v>11.7283849722699</v>
      </c>
      <c r="T48" s="143">
        <v>5.51</v>
      </c>
      <c r="U48" s="143">
        <v>4.62</v>
      </c>
      <c r="V48" s="143">
        <v>1.1399999999999999</v>
      </c>
      <c r="W48" s="270">
        <v>6.431</v>
      </c>
      <c r="X48" s="133">
        <v>6.6660000000000004</v>
      </c>
      <c r="Y48" s="133">
        <v>7.0209999999999999</v>
      </c>
      <c r="Z48" s="133">
        <v>7.0590000000000002</v>
      </c>
      <c r="AA48" s="133">
        <v>7.056</v>
      </c>
      <c r="AB48" s="274">
        <v>6.8689999999999998</v>
      </c>
      <c r="AC48" s="8">
        <v>2172275</v>
      </c>
      <c r="AD48" s="11">
        <v>6.2615649999999995E-2</v>
      </c>
      <c r="AE48" s="30">
        <v>45352</v>
      </c>
      <c r="AF48" s="8">
        <v>136018.41110375</v>
      </c>
      <c r="AG48" s="8">
        <v>137916.46526071022</v>
      </c>
      <c r="AH48" s="8">
        <v>989.62332175000518</v>
      </c>
      <c r="AI48" s="8">
        <v>673.39448920133248</v>
      </c>
      <c r="AJ48" s="8">
        <v>1663.0178109513377</v>
      </c>
      <c r="AK48" s="278"/>
      <c r="AL48" s="135">
        <v>0.73</v>
      </c>
      <c r="AM48" s="134">
        <v>761</v>
      </c>
      <c r="AN48" s="132" t="s">
        <v>202</v>
      </c>
      <c r="AO48" s="132" t="s">
        <v>260</v>
      </c>
      <c r="AP48" s="132" t="s">
        <v>261</v>
      </c>
      <c r="AQ48" s="132" t="s">
        <v>120</v>
      </c>
      <c r="AR48" s="135">
        <v>0.17370000000000002</v>
      </c>
      <c r="AS48" s="135">
        <v>1.5700000000000002E-2</v>
      </c>
      <c r="AT48" s="135">
        <v>0</v>
      </c>
      <c r="AU48" s="282">
        <v>0</v>
      </c>
    </row>
    <row r="49" spans="2:47" x14ac:dyDescent="0.25">
      <c r="B49" s="262" t="s">
        <v>184</v>
      </c>
      <c r="C49" s="132" t="s">
        <v>358</v>
      </c>
      <c r="D49" s="132" t="s">
        <v>125</v>
      </c>
      <c r="E49" s="133">
        <v>5.915</v>
      </c>
      <c r="F49" s="133">
        <v>6.5</v>
      </c>
      <c r="G49" s="134">
        <v>221</v>
      </c>
      <c r="H49" s="134">
        <v>139</v>
      </c>
      <c r="I49" s="223">
        <v>52140</v>
      </c>
      <c r="J49" s="224">
        <v>8</v>
      </c>
      <c r="K49" s="134">
        <v>342486</v>
      </c>
      <c r="L49" s="134">
        <v>465000</v>
      </c>
      <c r="M49" s="266">
        <v>100.64052581787109</v>
      </c>
      <c r="N49" s="13">
        <v>23.78</v>
      </c>
      <c r="O49" s="13">
        <v>21.5015529149</v>
      </c>
      <c r="P49" s="197">
        <v>0.32343820419810099</v>
      </c>
      <c r="Q49" s="13">
        <v>0.75277399930034905</v>
      </c>
      <c r="R49" s="13">
        <v>0.73446902797695801</v>
      </c>
      <c r="S49" s="13">
        <v>7.0147568006621004</v>
      </c>
      <c r="T49" s="143">
        <v>0.32</v>
      </c>
      <c r="U49" s="143">
        <v>0.38</v>
      </c>
      <c r="V49" s="143">
        <v>1.55</v>
      </c>
      <c r="W49" s="270">
        <v>6.609</v>
      </c>
      <c r="X49" s="133">
        <v>6.65</v>
      </c>
      <c r="Y49" s="133">
        <v>6.9589999999999996</v>
      </c>
      <c r="Z49" s="133">
        <v>6.9539999999999997</v>
      </c>
      <c r="AA49" s="133">
        <v>6.9550000000000001</v>
      </c>
      <c r="AB49" s="274">
        <v>6.875</v>
      </c>
      <c r="AC49" s="8">
        <v>500000</v>
      </c>
      <c r="AD49" s="11">
        <v>3.2939749999999997E-2</v>
      </c>
      <c r="AE49" s="30">
        <v>45352</v>
      </c>
      <c r="AF49" s="8">
        <v>16469.875</v>
      </c>
      <c r="AG49" s="8">
        <v>16575.368801546098</v>
      </c>
      <c r="AH49" s="8">
        <v>43.040000000001136</v>
      </c>
      <c r="AI49" s="8">
        <v>81.394910187500003</v>
      </c>
      <c r="AJ49" s="8">
        <v>124.43491018750115</v>
      </c>
      <c r="AK49" s="278"/>
      <c r="AL49" s="135">
        <v>0.61</v>
      </c>
      <c r="AM49" s="134">
        <v>770</v>
      </c>
      <c r="AN49" s="132" t="s">
        <v>123</v>
      </c>
      <c r="AO49" s="132" t="s">
        <v>359</v>
      </c>
      <c r="AP49" s="132" t="s">
        <v>360</v>
      </c>
      <c r="AQ49" s="132" t="s">
        <v>361</v>
      </c>
      <c r="AR49" s="135">
        <v>0</v>
      </c>
      <c r="AS49" s="135">
        <v>0</v>
      </c>
      <c r="AT49" s="135">
        <v>0</v>
      </c>
      <c r="AU49" s="282">
        <v>0</v>
      </c>
    </row>
    <row r="50" spans="2:47" x14ac:dyDescent="0.25">
      <c r="B50" s="262" t="s">
        <v>183</v>
      </c>
      <c r="C50" s="132" t="s">
        <v>355</v>
      </c>
      <c r="D50" s="132" t="s">
        <v>125</v>
      </c>
      <c r="E50" s="133">
        <v>5.86</v>
      </c>
      <c r="F50" s="133">
        <v>6.5</v>
      </c>
      <c r="G50" s="134">
        <v>271</v>
      </c>
      <c r="H50" s="134">
        <v>89</v>
      </c>
      <c r="I50" s="223">
        <v>53601</v>
      </c>
      <c r="J50" s="224">
        <v>4</v>
      </c>
      <c r="K50" s="134">
        <v>266410</v>
      </c>
      <c r="L50" s="134">
        <v>361000</v>
      </c>
      <c r="M50" s="266">
        <v>99.658164978027344</v>
      </c>
      <c r="N50" s="13">
        <v>30.2</v>
      </c>
      <c r="O50" s="13">
        <v>19.162170316699999</v>
      </c>
      <c r="P50" s="197">
        <v>0.138062299283714</v>
      </c>
      <c r="Q50" s="13">
        <v>0.136760259249424</v>
      </c>
      <c r="R50" s="13">
        <v>4.4441427805018598</v>
      </c>
      <c r="S50" s="13">
        <v>5.4322508500470503</v>
      </c>
      <c r="T50" s="143">
        <v>0.14000000000000001</v>
      </c>
      <c r="U50" s="143">
        <v>0.14000000000000001</v>
      </c>
      <c r="V50" s="143">
        <v>0.14000000000000001</v>
      </c>
      <c r="W50" s="270">
        <v>6.8890000000000002</v>
      </c>
      <c r="X50" s="133">
        <v>6.9870000000000001</v>
      </c>
      <c r="Y50" s="133">
        <v>7.1280000000000001</v>
      </c>
      <c r="Z50" s="133">
        <v>7.1280000000000001</v>
      </c>
      <c r="AA50" s="133">
        <v>7.1</v>
      </c>
      <c r="AB50" s="274">
        <v>7.093</v>
      </c>
      <c r="AC50" s="8">
        <v>300000</v>
      </c>
      <c r="AD50" s="11">
        <v>5.7987410000000003E-2</v>
      </c>
      <c r="AE50" s="30">
        <v>45352</v>
      </c>
      <c r="AF50" s="8">
        <v>17396.223000000002</v>
      </c>
      <c r="AG50" s="8">
        <v>17336.75661728554</v>
      </c>
      <c r="AH50" s="8">
        <v>30.209999999998573</v>
      </c>
      <c r="AI50" s="8">
        <v>85.099081150000004</v>
      </c>
      <c r="AJ50" s="8">
        <v>115.30908114999858</v>
      </c>
      <c r="AK50" s="278"/>
      <c r="AL50" s="135">
        <v>0.41</v>
      </c>
      <c r="AM50" s="134">
        <v>733</v>
      </c>
      <c r="AN50" s="132" t="s">
        <v>356</v>
      </c>
      <c r="AO50" s="132" t="s">
        <v>128</v>
      </c>
      <c r="AP50" s="132" t="s">
        <v>130</v>
      </c>
      <c r="AQ50" s="132" t="s">
        <v>357</v>
      </c>
      <c r="AR50" s="135">
        <v>0</v>
      </c>
      <c r="AS50" s="135">
        <v>0</v>
      </c>
      <c r="AT50" s="135">
        <v>0</v>
      </c>
      <c r="AU50" s="282">
        <v>0</v>
      </c>
    </row>
    <row r="51" spans="2:47" x14ac:dyDescent="0.25">
      <c r="B51" s="262" t="s">
        <v>157</v>
      </c>
      <c r="C51" s="132" t="s">
        <v>266</v>
      </c>
      <c r="D51" s="132" t="s">
        <v>125</v>
      </c>
      <c r="E51" s="133">
        <v>5.9450000000000003</v>
      </c>
      <c r="F51" s="133">
        <v>6.5</v>
      </c>
      <c r="G51" s="134">
        <v>174</v>
      </c>
      <c r="H51" s="134">
        <v>186</v>
      </c>
      <c r="I51" s="223">
        <v>50649</v>
      </c>
      <c r="J51" s="224">
        <v>1</v>
      </c>
      <c r="K51" s="134">
        <v>417000</v>
      </c>
      <c r="L51" s="134">
        <v>417000</v>
      </c>
      <c r="M51" s="266">
        <v>100.35628509521484</v>
      </c>
      <c r="N51" s="13">
        <v>26.61</v>
      </c>
      <c r="O51" s="13">
        <v>15.010369826</v>
      </c>
      <c r="P51" s="197">
        <v>3.3688483470661897E-2</v>
      </c>
      <c r="Q51" s="13">
        <v>5.0249872071061998E-2</v>
      </c>
      <c r="R51" s="13">
        <v>1.59050425442732</v>
      </c>
      <c r="S51" s="13">
        <v>0.79856205143341596</v>
      </c>
      <c r="T51" s="143">
        <v>0.03</v>
      </c>
      <c r="U51" s="143">
        <v>0.03</v>
      </c>
      <c r="V51" s="143">
        <v>0.08</v>
      </c>
      <c r="W51" s="270">
        <v>6.859</v>
      </c>
      <c r="X51" s="133">
        <v>7.0449999999999999</v>
      </c>
      <c r="Y51" s="133">
        <v>7.2359999999999998</v>
      </c>
      <c r="Z51" s="133">
        <v>7.2359999999999998</v>
      </c>
      <c r="AA51" s="133">
        <v>7.2190000000000003</v>
      </c>
      <c r="AB51" s="274">
        <v>7.2270000000000003</v>
      </c>
      <c r="AC51" s="8">
        <v>21273936</v>
      </c>
      <c r="AD51" s="11">
        <v>5.2671200000000001E-3</v>
      </c>
      <c r="AE51" s="30">
        <v>45352</v>
      </c>
      <c r="AF51" s="8">
        <v>112052.37378432001</v>
      </c>
      <c r="AG51" s="8">
        <v>112451.59969094796</v>
      </c>
      <c r="AH51" s="8">
        <v>390.16398623998941</v>
      </c>
      <c r="AI51" s="8">
        <v>557.05907253831606</v>
      </c>
      <c r="AJ51" s="8">
        <v>947.22305877830547</v>
      </c>
      <c r="AK51" s="278"/>
      <c r="AL51" s="135">
        <v>0.69</v>
      </c>
      <c r="AM51" s="134">
        <v>741</v>
      </c>
      <c r="AN51" s="132" t="s">
        <v>123</v>
      </c>
      <c r="AO51" s="132" t="s">
        <v>112</v>
      </c>
      <c r="AP51" s="132" t="s">
        <v>267</v>
      </c>
      <c r="AQ51" s="132" t="s">
        <v>268</v>
      </c>
      <c r="AR51" s="135">
        <v>0</v>
      </c>
      <c r="AS51" s="135">
        <v>0</v>
      </c>
      <c r="AT51" s="135">
        <v>0</v>
      </c>
      <c r="AU51" s="282">
        <v>0</v>
      </c>
    </row>
    <row r="52" spans="2:47" s="237" customFormat="1" x14ac:dyDescent="0.25">
      <c r="B52" s="263" t="s">
        <v>221</v>
      </c>
      <c r="C52" s="199"/>
      <c r="D52" s="199"/>
      <c r="E52" s="200">
        <f>SUMPRODUCT($E$53:$E$57,$AF$53:$AF$57)/SUMIF($E$53:$E$57,"&lt;&gt;",$AF$53:$AF$57)</f>
        <v>5.985948525645246</v>
      </c>
      <c r="F52" s="200">
        <f>SUMPRODUCT($F$53:$F$57,$AF$53:$AF$57)/SUMIF($F$53:$F$57,"&lt;&gt;",$AF$53:$AF$57)</f>
        <v>6.5476233152350991</v>
      </c>
      <c r="G52" s="129">
        <f>SUMPRODUCT($G$53:$G$57,$AF$53:$AF$57)/SUMIF($G$53:$G$57,"&lt;&gt;",$AF$53:$AF$57)</f>
        <v>194.05468218320451</v>
      </c>
      <c r="H52" s="129">
        <f>SUMPRODUCT($H$53:$H$57,$AF$53:$AF$57)/SUMIF($H$53:$H$57,"&lt;&gt;",$AF$53:$AF$57)</f>
        <v>165.94531781679549</v>
      </c>
      <c r="I52" s="201">
        <f>SUMPRODUCT($I$53:$I$57,$AF$53:$AF$57)/SUMIF($I$53:$I$57,"&lt;&gt;",$AF$53:$AF$57)</f>
        <v>51304.750184537894</v>
      </c>
      <c r="J52" s="202">
        <f>SUM($J$53:$J$57)</f>
        <v>148</v>
      </c>
      <c r="K52" s="129">
        <f>SUMPRODUCT($K$53:$K$57,$AF$53:$AF$57)/SUMIF($K$53:$K$57,"&lt;&gt;",$AF$53:$AF$57)</f>
        <v>282714.14414708788</v>
      </c>
      <c r="L52" s="129">
        <f>SUMPRODUCT($L$53:$L$57,$AF$53:$AF$57)/SUMIF($L$53:$L$57,"&lt;&gt;",$AF$53:$AF$57)</f>
        <v>350585.27693596069</v>
      </c>
      <c r="M52" s="267">
        <f>SUMPRODUCT($M$53:$M$57,$AF$53:$AF$57)/SUMIF($M$53:$M$57,"&lt;&gt;",$AF$53:$AF$57)</f>
        <v>100.34334940963348</v>
      </c>
      <c r="N52" s="208">
        <f>SUMPRODUCT($N$53:$N$57,$AF$53:$AF$57)/SUMIF($N$53:$N$57,"&lt;&gt;",$AF$53:$AF$57)</f>
        <v>22.35307171016267</v>
      </c>
      <c r="O52" s="208">
        <f>SUMPRODUCT($O$53:$O$57,$AF$53:$AF$57)/SUMIF($O$53:$O$57,"&lt;&gt;",$AF$53:$AF$57)</f>
        <v>15.391428138251955</v>
      </c>
      <c r="P52" s="208">
        <f>SUMPRODUCT($P$53:$P$57,$AF$53:$AF$57)/SUMIF($P$53:$P$57,"&lt;&gt;",$AF$53:$AF$57)</f>
        <v>2.5788211051071834</v>
      </c>
      <c r="Q52" s="208">
        <f>SUMPRODUCT($Q$53:$Q$57,$AF$53:$AF$57)/SUMIF($Q$53:$Q$57,"&lt;&gt;",$AF$53:$AF$57)</f>
        <v>2.1249160898198824</v>
      </c>
      <c r="R52" s="208">
        <f>SUMPRODUCT($R$53:$R$57,$AF$53:$AF$57)/SUMIF($R$53:$R$57,"&lt;&gt;",$AF$53:$AF$57)</f>
        <v>2.0031999059923105</v>
      </c>
      <c r="S52" s="208">
        <f>SUMPRODUCT($S$53:$S$57,$AF$53:$AF$57)/SUMIF($S$53:$S$57,"&lt;&gt;",$AF$53:$AF$57)</f>
        <v>9.0126107063091023</v>
      </c>
      <c r="T52" s="208">
        <f>SUMPRODUCT($T$53:$T$57,$AF$53:$AF$57)/SUMIF($T$53:$T$57,"&lt;&gt;",$AF$53:$AF$57)</f>
        <v>2.5793031790323591</v>
      </c>
      <c r="U52" s="208">
        <f>SUMPRODUCT($U$53:$U$57,$AF$53:$AF$57)/SUMIF($U$53:$U$57,"&lt;&gt;",$AF$53:$AF$57)</f>
        <v>1.7045663060014415</v>
      </c>
      <c r="V52" s="208">
        <f>SUMPRODUCT($V$53:$V$57,$AF$53:$AF$57)/SUMIF($V$53:$V$57,"&lt;&gt;",$AF$53:$AF$57)</f>
        <v>2.0402814957579412</v>
      </c>
      <c r="W52" s="271">
        <f>SUMPRODUCT($W$53:$W$57,$AF$53:$AF$57)/SUMIF($W$53:$W$57,"&lt;&gt;",$AF$53:$AF$57)</f>
        <v>6.9112851872858352</v>
      </c>
      <c r="X52" s="200">
        <f>SUMPRODUCT($X$53:$X$57,$AF$53:$AF$57)/SUMIF($X$53:$X$57,"&lt;&gt;",$AF$53:$AF$57)</f>
        <v>7.0071446044010308</v>
      </c>
      <c r="Y52" s="200">
        <f>SUMPRODUCT($Y$53:$Y$57,$AF$53:$AF$57)/SUMIF($Y$53:$Y$57,"&lt;&gt;",$AF$53:$AF$57)</f>
        <v>7.1909703111179084</v>
      </c>
      <c r="Z52" s="200">
        <f>SUMPRODUCT($Z$53:$Z$57,$AF$53:$AF$57)/SUMIF($Z$53:$Z$57,"&lt;&gt;",$AF$53:$AF$57)</f>
        <v>7.1731695131786086</v>
      </c>
      <c r="AA52" s="200">
        <f>SUMPRODUCT($AA$53:$AA$57,$AF$53:$AF$57)/SUMIF($AA$53:$AA$57,"&lt;&gt;",$AF$53:$AF$57)</f>
        <v>7.169127732860094</v>
      </c>
      <c r="AB52" s="275">
        <f>SUMPRODUCT($AB$53:$AB$57,$AF$53:$AF$57)/SUMIF($AB$53:$AB$57,"&lt;&gt;",$AF$53:$AF$57)</f>
        <v>7.0632740447745377</v>
      </c>
      <c r="AC52" s="207">
        <f>SUM($AC$53:$AC$57)</f>
        <v>46199527</v>
      </c>
      <c r="AD52" s="209">
        <f>SUMPRODUCT($AD$53:$AD$57,$AF$53:$AF$57)/SUMIF($AD$53:$AD$57,"&lt;&gt;",$AF$53:$AF$57)</f>
        <v>3.5380868476434707E-2</v>
      </c>
      <c r="AE52" s="210">
        <f>SUMPRODUCT($AE$53:$AE$57,$AF$53:$AF$57)/SUMIF($AE$53:$AE$57,"&lt;&gt;",$AF$53:$AF$57)</f>
        <v>45352</v>
      </c>
      <c r="AF52" s="207">
        <f>SUM($AF$53:$AF$57)</f>
        <v>798304.13409562991</v>
      </c>
      <c r="AG52" s="207">
        <f>SUM($AG$53:$AG$57)</f>
        <v>801045.10662712692</v>
      </c>
      <c r="AH52" s="207">
        <f>SUM($AH$53:$AH$57)</f>
        <v>4167.2161269200542</v>
      </c>
      <c r="AI52" s="207">
        <f>SUM($AI$53:$AI$57)</f>
        <v>4002.9331153744124</v>
      </c>
      <c r="AJ52" s="207">
        <f>SUM($AJ$53:$AJ$57)</f>
        <v>8170.1492422944666</v>
      </c>
      <c r="AK52" s="279"/>
      <c r="AL52" s="206">
        <f>SUMPRODUCT($AL$53:$AL$57,$AF$53:$AF$57)/SUMIF($AL$53:$AL$57,"&lt;&gt;",$AF$53:$AF$57)</f>
        <v>0.62050694220182245</v>
      </c>
      <c r="AM52" s="129">
        <f>SUMPRODUCT($AM$53:$AM$57,$AF$53:$AF$57)/SUMIF($AM$53:$AM$57,"&lt;&gt;",$AF$53:$AF$57)</f>
        <v>739.64190395023093</v>
      </c>
      <c r="AN52" s="199"/>
      <c r="AO52" s="199"/>
      <c r="AP52" s="199"/>
      <c r="AQ52" s="199"/>
      <c r="AR52" s="206">
        <f>SUMPRODUCT($AR$53:$AR$57,$AF$53:$AF$57)/SUMIF($AR$53:$AR$57,"&lt;&gt;",$AF$53:$AF$57)</f>
        <v>0.27911763970716513</v>
      </c>
      <c r="AS52" s="206">
        <f>SUMPRODUCT($AS$53:$AS$57,$AF$53:$AF$57)/SUMIF($AS$53:$AS$57,"&lt;&gt;",$AF$53:$AF$57)</f>
        <v>3.2353791414671556E-5</v>
      </c>
      <c r="AT52" s="206">
        <f>SUMPRODUCT($AT$53:$AT$57,$AF$53:$AF$57)/SUMIF($AT$53:$AT$57,"&lt;&gt;",$AF$53:$AF$57)</f>
        <v>0</v>
      </c>
      <c r="AU52" s="283">
        <f>SUMPRODUCT($AU$53:$AU$57,$AF$53:$AF$57)/SUMIF($AU$53:$AU$57,"&lt;&gt;",$AF$53:$AF$57)</f>
        <v>2.0625542026853111E-3</v>
      </c>
    </row>
    <row r="53" spans="2:47" x14ac:dyDescent="0.25">
      <c r="B53" s="262" t="s">
        <v>178</v>
      </c>
      <c r="C53" s="132" t="s">
        <v>336</v>
      </c>
      <c r="D53" s="132" t="s">
        <v>125</v>
      </c>
      <c r="E53" s="133">
        <v>6</v>
      </c>
      <c r="F53" s="133">
        <v>6.5</v>
      </c>
      <c r="G53" s="134">
        <v>208</v>
      </c>
      <c r="H53" s="134">
        <v>152</v>
      </c>
      <c r="I53" s="223">
        <v>51714</v>
      </c>
      <c r="J53" s="224">
        <v>6</v>
      </c>
      <c r="K53" s="134">
        <v>231085</v>
      </c>
      <c r="L53" s="134">
        <v>351000</v>
      </c>
      <c r="M53" s="266">
        <v>101.72831344604492</v>
      </c>
      <c r="N53" s="13">
        <v>25.46</v>
      </c>
      <c r="O53" s="13">
        <v>12.0609634215</v>
      </c>
      <c r="P53" s="197">
        <v>1.1313495852227601E-2</v>
      </c>
      <c r="Q53" s="13">
        <v>9.5868627384421094E-3</v>
      </c>
      <c r="R53" s="13">
        <v>9.10640277507202E-3</v>
      </c>
      <c r="S53" s="13">
        <v>0.292329738690011</v>
      </c>
      <c r="T53" s="143">
        <v>0.01</v>
      </c>
      <c r="U53" s="143">
        <v>0.01</v>
      </c>
      <c r="V53" s="143">
        <v>0.01</v>
      </c>
      <c r="W53" s="270">
        <v>6.5010000000000003</v>
      </c>
      <c r="X53" s="133">
        <v>6.8869999999999996</v>
      </c>
      <c r="Y53" s="133">
        <v>7.16</v>
      </c>
      <c r="Z53" s="133">
        <v>7.16</v>
      </c>
      <c r="AA53" s="133">
        <v>7.16</v>
      </c>
      <c r="AB53" s="274">
        <v>7.1550000000000002</v>
      </c>
      <c r="AC53" s="8">
        <v>1176894</v>
      </c>
      <c r="AD53" s="11">
        <v>1.7146620000000001E-2</v>
      </c>
      <c r="AE53" s="30">
        <v>45352</v>
      </c>
      <c r="AF53" s="8">
        <v>20179.754198280003</v>
      </c>
      <c r="AG53" s="8">
        <v>20528.523603467689</v>
      </c>
      <c r="AH53" s="8">
        <v>52.560086039998176</v>
      </c>
      <c r="AI53" s="8">
        <v>101.1615714216</v>
      </c>
      <c r="AJ53" s="8">
        <v>153.72165746159817</v>
      </c>
      <c r="AK53" s="278"/>
      <c r="AL53" s="135">
        <v>0.55000000000000004</v>
      </c>
      <c r="AM53" s="134">
        <v>766</v>
      </c>
      <c r="AN53" s="132" t="s">
        <v>137</v>
      </c>
      <c r="AO53" s="132" t="s">
        <v>337</v>
      </c>
      <c r="AP53" s="132" t="s">
        <v>338</v>
      </c>
      <c r="AQ53" s="132" t="s">
        <v>339</v>
      </c>
      <c r="AR53" s="135">
        <v>0.25319999999999998</v>
      </c>
      <c r="AS53" s="135">
        <v>0</v>
      </c>
      <c r="AT53" s="135">
        <v>0</v>
      </c>
      <c r="AU53" s="282">
        <v>0</v>
      </c>
    </row>
    <row r="54" spans="2:47" x14ac:dyDescent="0.25">
      <c r="B54" s="262" t="s">
        <v>164</v>
      </c>
      <c r="C54" s="132" t="s">
        <v>292</v>
      </c>
      <c r="D54" s="132" t="s">
        <v>125</v>
      </c>
      <c r="E54" s="133">
        <v>5.98</v>
      </c>
      <c r="F54" s="133">
        <v>6.4909999999999997</v>
      </c>
      <c r="G54" s="134">
        <v>188</v>
      </c>
      <c r="H54" s="134">
        <v>172</v>
      </c>
      <c r="I54" s="223">
        <v>51380</v>
      </c>
      <c r="J54" s="224">
        <v>135</v>
      </c>
      <c r="K54" s="134">
        <v>298435</v>
      </c>
      <c r="L54" s="134">
        <v>626000</v>
      </c>
      <c r="M54" s="266">
        <v>101.5996208190918</v>
      </c>
      <c r="N54" s="13">
        <v>21.2</v>
      </c>
      <c r="O54" s="13">
        <v>31.706916589399999</v>
      </c>
      <c r="P54" s="197">
        <v>0.56509417788369598</v>
      </c>
      <c r="Q54" s="13">
        <v>3.1613742221718</v>
      </c>
      <c r="R54" s="13">
        <v>6.7537892363765097</v>
      </c>
      <c r="S54" s="13">
        <v>12.0139922623303</v>
      </c>
      <c r="T54" s="143">
        <v>0.56999999999999995</v>
      </c>
      <c r="U54" s="143">
        <v>8.18</v>
      </c>
      <c r="V54" s="143">
        <v>0.54</v>
      </c>
      <c r="W54" s="270">
        <v>6.5529999999999999</v>
      </c>
      <c r="X54" s="133">
        <v>6.2009999999999996</v>
      </c>
      <c r="Y54" s="133">
        <v>7.093</v>
      </c>
      <c r="Z54" s="133">
        <v>7.0369999999999999</v>
      </c>
      <c r="AA54" s="133">
        <v>6.9539999999999997</v>
      </c>
      <c r="AB54" s="274">
        <v>6.819</v>
      </c>
      <c r="AC54" s="8">
        <v>560000</v>
      </c>
      <c r="AD54" s="11">
        <v>0.11530430999999999</v>
      </c>
      <c r="AE54" s="30">
        <v>45352</v>
      </c>
      <c r="AF54" s="8">
        <v>64570.413599999993</v>
      </c>
      <c r="AG54" s="8">
        <v>65603.295378919269</v>
      </c>
      <c r="AH54" s="8">
        <v>228.69840000000474</v>
      </c>
      <c r="AI54" s="8">
        <v>322.91557480000006</v>
      </c>
      <c r="AJ54" s="8">
        <v>551.61397480000483</v>
      </c>
      <c r="AK54" s="278"/>
      <c r="AL54" s="135">
        <v>0.7</v>
      </c>
      <c r="AM54" s="134">
        <v>750</v>
      </c>
      <c r="AN54" s="132" t="s">
        <v>202</v>
      </c>
      <c r="AO54" s="132" t="s">
        <v>293</v>
      </c>
      <c r="AP54" s="132" t="s">
        <v>139</v>
      </c>
      <c r="AQ54" s="132" t="s">
        <v>294</v>
      </c>
      <c r="AR54" s="135">
        <v>0.40840000000000004</v>
      </c>
      <c r="AS54" s="135">
        <v>4.0000000000000002E-4</v>
      </c>
      <c r="AT54" s="135">
        <v>0</v>
      </c>
      <c r="AU54" s="282">
        <v>2.5499999999999998E-2</v>
      </c>
    </row>
    <row r="55" spans="2:47" x14ac:dyDescent="0.25">
      <c r="B55" s="262" t="s">
        <v>149</v>
      </c>
      <c r="C55" s="132" t="s">
        <v>239</v>
      </c>
      <c r="D55" s="132" t="s">
        <v>125</v>
      </c>
      <c r="E55" s="133">
        <v>5.9950000000000001</v>
      </c>
      <c r="F55" s="133">
        <v>6.6959999999999997</v>
      </c>
      <c r="G55" s="134">
        <v>251</v>
      </c>
      <c r="H55" s="134">
        <v>109</v>
      </c>
      <c r="I55" s="223">
        <v>52994</v>
      </c>
      <c r="J55" s="224">
        <v>2</v>
      </c>
      <c r="K55" s="134">
        <v>430224</v>
      </c>
      <c r="L55" s="134">
        <v>450000</v>
      </c>
      <c r="M55" s="266">
        <v>99.089771270751953</v>
      </c>
      <c r="N55" s="13">
        <v>23.73</v>
      </c>
      <c r="O55" s="13">
        <v>19.162170316699999</v>
      </c>
      <c r="P55" s="197">
        <v>3.74947011277622</v>
      </c>
      <c r="Q55" s="13">
        <v>5.28394717264257</v>
      </c>
      <c r="R55" s="13">
        <v>4.5336954086615604</v>
      </c>
      <c r="S55" s="13">
        <v>4.0636901848874398</v>
      </c>
      <c r="T55" s="143">
        <v>3.75</v>
      </c>
      <c r="U55" s="143">
        <v>3.72</v>
      </c>
      <c r="V55" s="143">
        <v>8.31</v>
      </c>
      <c r="W55" s="270">
        <v>7.1059999999999999</v>
      </c>
      <c r="X55" s="133">
        <v>7.1230000000000002</v>
      </c>
      <c r="Y55" s="133">
        <v>7.181</v>
      </c>
      <c r="Z55" s="133">
        <v>7.1749999999999998</v>
      </c>
      <c r="AA55" s="133">
        <v>7.1779999999999999</v>
      </c>
      <c r="AB55" s="274">
        <v>7.18</v>
      </c>
      <c r="AC55" s="8">
        <v>2900000</v>
      </c>
      <c r="AD55" s="11">
        <v>6.5979549999999998E-2</v>
      </c>
      <c r="AE55" s="30">
        <v>45352</v>
      </c>
      <c r="AF55" s="8">
        <v>191340.69500000001</v>
      </c>
      <c r="AG55" s="8">
        <v>189599.05702336715</v>
      </c>
      <c r="AH55" s="8">
        <v>960.53800000002047</v>
      </c>
      <c r="AI55" s="8">
        <v>960.70490986250013</v>
      </c>
      <c r="AJ55" s="8">
        <v>1921.2429098625207</v>
      </c>
      <c r="AK55" s="278"/>
      <c r="AL55" s="135">
        <v>0.51</v>
      </c>
      <c r="AM55" s="134">
        <v>722</v>
      </c>
      <c r="AN55" s="132" t="s">
        <v>240</v>
      </c>
      <c r="AO55" s="132" t="s">
        <v>138</v>
      </c>
      <c r="AP55" s="132" t="s">
        <v>241</v>
      </c>
      <c r="AQ55" s="132" t="s">
        <v>242</v>
      </c>
      <c r="AR55" s="135">
        <v>1</v>
      </c>
      <c r="AS55" s="135">
        <v>0</v>
      </c>
      <c r="AT55" s="135">
        <v>0</v>
      </c>
      <c r="AU55" s="282">
        <v>0</v>
      </c>
    </row>
    <row r="56" spans="2:47" x14ac:dyDescent="0.25">
      <c r="B56" s="262" t="s">
        <v>152</v>
      </c>
      <c r="C56" s="132" t="s">
        <v>248</v>
      </c>
      <c r="D56" s="132" t="s">
        <v>125</v>
      </c>
      <c r="E56" s="133">
        <v>6.05</v>
      </c>
      <c r="F56" s="133">
        <v>6.5</v>
      </c>
      <c r="G56" s="134">
        <v>172</v>
      </c>
      <c r="H56" s="134">
        <v>188</v>
      </c>
      <c r="I56" s="223">
        <v>50618</v>
      </c>
      <c r="J56" s="224">
        <v>1</v>
      </c>
      <c r="K56" s="134">
        <v>250000</v>
      </c>
      <c r="L56" s="134">
        <v>250000</v>
      </c>
      <c r="M56" s="266">
        <v>100.81143188476563</v>
      </c>
      <c r="N56" s="13">
        <v>24.81</v>
      </c>
      <c r="O56" s="13">
        <v>12.957252673099999</v>
      </c>
      <c r="P56" s="197">
        <v>8.9376601712931603E-4</v>
      </c>
      <c r="Q56" s="13">
        <v>-1.13997853712355E-4</v>
      </c>
      <c r="R56" s="13">
        <v>-8.5259211690669207E-6</v>
      </c>
      <c r="S56" s="13">
        <v>34.6029729434199</v>
      </c>
      <c r="T56" s="143">
        <v>0</v>
      </c>
      <c r="U56" s="143">
        <v>0</v>
      </c>
      <c r="V56" s="143">
        <v>0</v>
      </c>
      <c r="W56" s="270">
        <v>6.891</v>
      </c>
      <c r="X56" s="133">
        <v>7.1109999999999998</v>
      </c>
      <c r="Y56" s="133">
        <v>7.3010000000000002</v>
      </c>
      <c r="Z56" s="133"/>
      <c r="AA56" s="133"/>
      <c r="AB56" s="274">
        <v>6.6769999999999996</v>
      </c>
      <c r="AC56" s="8">
        <v>21606070</v>
      </c>
      <c r="AD56" s="11">
        <v>7.2571099999999998E-3</v>
      </c>
      <c r="AE56" s="30">
        <v>45352</v>
      </c>
      <c r="AF56" s="8">
        <v>156797.62665769999</v>
      </c>
      <c r="AG56" s="8">
        <v>158069.93259495634</v>
      </c>
      <c r="AH56" s="8">
        <v>551.38690640000493</v>
      </c>
      <c r="AI56" s="8">
        <v>793.30127671900414</v>
      </c>
      <c r="AJ56" s="8">
        <v>1344.688183119009</v>
      </c>
      <c r="AK56" s="278"/>
      <c r="AL56" s="135">
        <v>0.36</v>
      </c>
      <c r="AM56" s="134">
        <v>762</v>
      </c>
      <c r="AN56" s="132" t="s">
        <v>249</v>
      </c>
      <c r="AO56" s="132" t="s">
        <v>128</v>
      </c>
      <c r="AP56" s="132" t="s">
        <v>250</v>
      </c>
      <c r="AQ56" s="132" t="s">
        <v>251</v>
      </c>
      <c r="AR56" s="135">
        <v>0</v>
      </c>
      <c r="AS56" s="135">
        <v>0</v>
      </c>
      <c r="AT56" s="135">
        <v>0</v>
      </c>
      <c r="AU56" s="282">
        <v>0</v>
      </c>
    </row>
    <row r="57" spans="2:47" x14ac:dyDescent="0.25">
      <c r="B57" s="262" t="s">
        <v>144</v>
      </c>
      <c r="C57" s="132" t="s">
        <v>216</v>
      </c>
      <c r="D57" s="132" t="s">
        <v>125</v>
      </c>
      <c r="E57" s="133">
        <v>5.9539999999999997</v>
      </c>
      <c r="F57" s="133">
        <v>6.5030000000000001</v>
      </c>
      <c r="G57" s="134">
        <v>174</v>
      </c>
      <c r="H57" s="134">
        <v>186</v>
      </c>
      <c r="I57" s="223">
        <v>50679</v>
      </c>
      <c r="J57" s="224">
        <v>4</v>
      </c>
      <c r="K57" s="134">
        <v>219585</v>
      </c>
      <c r="L57" s="134">
        <v>293000</v>
      </c>
      <c r="M57" s="266">
        <v>100.50043106079102</v>
      </c>
      <c r="N57" s="13">
        <v>20.61</v>
      </c>
      <c r="O57" s="13">
        <v>11.762373414500001</v>
      </c>
      <c r="P57" s="197">
        <v>3.5696351331140099</v>
      </c>
      <c r="Q57" s="13">
        <v>1.3162773811078601</v>
      </c>
      <c r="R57" s="13">
        <v>0.80840803564349295</v>
      </c>
      <c r="S57" s="13">
        <v>0.57453330259232804</v>
      </c>
      <c r="T57" s="143">
        <v>3.57</v>
      </c>
      <c r="U57" s="143">
        <v>0.33</v>
      </c>
      <c r="V57" s="143">
        <v>0.01</v>
      </c>
      <c r="W57" s="270">
        <v>6.9039999999999999</v>
      </c>
      <c r="X57" s="133">
        <v>7.0510000000000002</v>
      </c>
      <c r="Y57" s="133">
        <v>7.1680000000000001</v>
      </c>
      <c r="Z57" s="133">
        <v>7.1970000000000001</v>
      </c>
      <c r="AA57" s="133">
        <v>7.2030000000000003</v>
      </c>
      <c r="AB57" s="274">
        <v>7.2060000000000004</v>
      </c>
      <c r="AC57" s="8">
        <v>19956563</v>
      </c>
      <c r="AD57" s="11">
        <v>1.8310549999999998E-2</v>
      </c>
      <c r="AE57" s="30">
        <v>45352</v>
      </c>
      <c r="AF57" s="8">
        <v>365415.64463964995</v>
      </c>
      <c r="AG57" s="8">
        <v>367244.29802641645</v>
      </c>
      <c r="AH57" s="8">
        <v>2374.0327344800257</v>
      </c>
      <c r="AI57" s="8">
        <v>1824.8497825713084</v>
      </c>
      <c r="AJ57" s="8">
        <v>4198.8825170513337</v>
      </c>
      <c r="AK57" s="278"/>
      <c r="AL57" s="135">
        <v>0.78</v>
      </c>
      <c r="AM57" s="134">
        <v>736</v>
      </c>
      <c r="AN57" s="132" t="s">
        <v>217</v>
      </c>
      <c r="AO57" s="132" t="s">
        <v>218</v>
      </c>
      <c r="AP57" s="132" t="s">
        <v>219</v>
      </c>
      <c r="AQ57" s="132" t="s">
        <v>220</v>
      </c>
      <c r="AR57" s="135">
        <v>0</v>
      </c>
      <c r="AS57" s="135">
        <v>0</v>
      </c>
      <c r="AT57" s="135">
        <v>0</v>
      </c>
      <c r="AU57" s="282">
        <v>0</v>
      </c>
    </row>
    <row r="58" spans="2:47" s="237" customFormat="1" x14ac:dyDescent="0.25">
      <c r="B58" s="263" t="s">
        <v>210</v>
      </c>
      <c r="C58" s="199"/>
      <c r="D58" s="199"/>
      <c r="E58" s="200">
        <f>SUMPRODUCT($E$59:$E$68,$AF$59:$AF$68)/SUMIF($E$59:$E$68,"&lt;&gt;",$AF$59:$AF$68)</f>
        <v>6.0849774572316369</v>
      </c>
      <c r="F58" s="200">
        <f>SUMPRODUCT($F$59:$F$68,$AF$59:$AF$68)/SUMIF($F$59:$F$68,"&lt;&gt;",$AF$59:$AF$68)</f>
        <v>6.5087836411947846</v>
      </c>
      <c r="G58" s="129">
        <f>SUMPRODUCT($G$59:$G$68,$AF$59:$AF$68)/SUMIF($G$59:$G$68,"&lt;&gt;",$AF$59:$AF$68)</f>
        <v>174.41613626379137</v>
      </c>
      <c r="H58" s="129">
        <f>SUMPRODUCT($H$59:$H$68,$AF$59:$AF$68)/SUMIF($H$59:$H$68,"&lt;&gt;",$AF$59:$AF$68)</f>
        <v>185.5838637362086</v>
      </c>
      <c r="I58" s="201">
        <f>SUMPRODUCT($I$59:$I$68,$AF$59:$AF$68)/SUMIF($I$59:$I$68,"&lt;&gt;",$AF$59:$AF$68)</f>
        <v>50694.92736454033</v>
      </c>
      <c r="J58" s="202">
        <f>SUM($J$59:$J$68)</f>
        <v>22</v>
      </c>
      <c r="K58" s="129">
        <f>SUMPRODUCT($K$59:$K$68,$AF$59:$AF$68)/SUMIF($K$59:$K$68,"&lt;&gt;",$AF$59:$AF$68)</f>
        <v>239024.06108126097</v>
      </c>
      <c r="L58" s="129">
        <f>SUMPRODUCT($L$59:$L$68,$AF$59:$AF$68)/SUMIF($L$59:$L$68,"&lt;&gt;",$AF$59:$AF$68)</f>
        <v>287637.05559775978</v>
      </c>
      <c r="M58" s="267">
        <f>SUMPRODUCT($M$59:$M$68,$AF$59:$AF$68)/SUMIF($M$59:$M$68,"&lt;&gt;",$AF$59:$AF$68)</f>
        <v>100.85200806572651</v>
      </c>
      <c r="N58" s="208">
        <f>SUMPRODUCT($N$59:$N$68,$AF$59:$AF$68)/SUMIF($N$59:$N$68,"&lt;&gt;",$AF$59:$AF$68)</f>
        <v>22.114660084895821</v>
      </c>
      <c r="O58" s="208">
        <f>SUMPRODUCT($O$59:$O$68,$AF$59:$AF$68)/SUMIF($O$59:$O$68,"&lt;&gt;",$AF$59:$AF$68)</f>
        <v>12.138961156706085</v>
      </c>
      <c r="P58" s="208">
        <f>SUMPRODUCT($P$59:$P$68,$AF$59:$AF$68)/SUMIF($P$59:$P$68,"&lt;&gt;",$AF$59:$AF$68)</f>
        <v>2.6057696153356251</v>
      </c>
      <c r="Q58" s="208">
        <f>SUMPRODUCT($Q$59:$Q$68,$AF$59:$AF$68)/SUMIF($Q$59:$Q$68,"&lt;&gt;",$AF$59:$AF$68)</f>
        <v>3.9941447946331019</v>
      </c>
      <c r="R58" s="208">
        <f>SUMPRODUCT($R$59:$R$68,$AF$59:$AF$68)/SUMIF($R$59:$R$68,"&lt;&gt;",$AF$59:$AF$68)</f>
        <v>7.8633865279336659</v>
      </c>
      <c r="S58" s="208">
        <f>SUMPRODUCT($S$59:$S$68,$AF$59:$AF$68)/SUMIF($S$59:$S$68,"&lt;&gt;",$AF$59:$AF$68)</f>
        <v>5.3919667999517138</v>
      </c>
      <c r="T58" s="208">
        <f>SUMPRODUCT($T$59:$T$68,$AF$59:$AF$68)/SUMIF($T$59:$T$68,"&lt;&gt;",$AF$59:$AF$68)</f>
        <v>2.6057701660122774</v>
      </c>
      <c r="U58" s="208">
        <f>SUMPRODUCT($U$59:$U$68,$AF$59:$AF$68)/SUMIF($U$59:$U$68,"&lt;&gt;",$AF$59:$AF$68)</f>
        <v>3.3062774952126226</v>
      </c>
      <c r="V58" s="208">
        <f>SUMPRODUCT($V$59:$V$68,$AF$59:$AF$68)/SUMIF($V$59:$V$68,"&lt;&gt;",$AF$59:$AF$68)</f>
        <v>5.2610888051023785</v>
      </c>
      <c r="W58" s="271">
        <f>SUMPRODUCT($W$59:$W$68,$AF$59:$AF$68)/SUMIF($W$59:$W$68,"&lt;&gt;",$AF$59:$AF$68)</f>
        <v>6.9112241567224908</v>
      </c>
      <c r="X58" s="200">
        <f>SUMPRODUCT($X$59:$X$68,$AF$59:$AF$68)/SUMIF($X$59:$X$68,"&lt;&gt;",$AF$59:$AF$68)</f>
        <v>7.1071860690294564</v>
      </c>
      <c r="Y58" s="200">
        <f>SUMPRODUCT($Y$59:$Y$68,$AF$59:$AF$68)/SUMIF($Y$59:$Y$68,"&lt;&gt;",$AF$59:$AF$68)</f>
        <v>7.2341065232024455</v>
      </c>
      <c r="Z58" s="200">
        <f>SUMPRODUCT($Z$59:$Z$68,$AF$59:$AF$68)/SUMIF($Z$59:$Z$68,"&lt;&gt;",$AF$59:$AF$68)</f>
        <v>7.2163605949671554</v>
      </c>
      <c r="AA58" s="200">
        <f>SUMPRODUCT($AA$59:$AA$68,$AF$59:$AF$68)/SUMIF($AA$59:$AA$68,"&lt;&gt;",$AF$59:$AF$68)</f>
        <v>7.138650334879947</v>
      </c>
      <c r="AB58" s="275">
        <f>SUMPRODUCT($AB$59:$AB$68,$AF$59:$AF$68)/SUMIF($AB$59:$AB$68,"&lt;&gt;",$AF$59:$AF$68)</f>
        <v>7.2011336886335071</v>
      </c>
      <c r="AC58" s="207">
        <f>SUM($AC$59:$AC$68)</f>
        <v>188279496</v>
      </c>
      <c r="AD58" s="209">
        <f>SUMPRODUCT($AD$59:$AD$68,$AF$59:$AF$68)/SUMIF($AD$59:$AD$68,"&lt;&gt;",$AF$59:$AF$68)</f>
        <v>1.7238284501071195E-2</v>
      </c>
      <c r="AE58" s="210">
        <f>SUMPRODUCT($AE$59:$AE$68,$AF$59:$AF$68)/SUMIF($AE$59:$AE$68,"&lt;&gt;",$AF$59:$AF$68)</f>
        <v>45352</v>
      </c>
      <c r="AF58" s="207">
        <f>SUM($AF$59:$AF$68)</f>
        <v>1748469.0674572298</v>
      </c>
      <c r="AG58" s="207">
        <f>SUM($AG$59:$AG$68)</f>
        <v>1763366.1649386985</v>
      </c>
      <c r="AH58" s="207">
        <f>SUM($AH$59:$AH$68)</f>
        <v>14306.688116039941</v>
      </c>
      <c r="AI58" s="207">
        <f>SUM($AI$59:$AI$68)</f>
        <v>8938.690204534576</v>
      </c>
      <c r="AJ58" s="207">
        <f>SUM($AJ$59:$AJ$68)</f>
        <v>23245.378320574517</v>
      </c>
      <c r="AK58" s="279"/>
      <c r="AL58" s="206">
        <f>SUMPRODUCT($AL$59:$AL$68,$AF$59:$AF$68)/SUMIF($AL$59:$AL$68,"&lt;&gt;",$AF$59:$AF$68)</f>
        <v>0.76540594896290315</v>
      </c>
      <c r="AM58" s="129">
        <f>SUMPRODUCT($AM$59:$AM$68,$AF$59:$AF$68)/SUMIF($AM$59:$AM$68,"&lt;&gt;",$AF$59:$AF$68)</f>
        <v>741.55891010562266</v>
      </c>
      <c r="AN58" s="199"/>
      <c r="AO58" s="199"/>
      <c r="AP58" s="199"/>
      <c r="AQ58" s="199"/>
      <c r="AR58" s="206">
        <f>SUMPRODUCT($AR$59:$AR$68,$AF$59:$AF$68)/SUMIF($AR$59:$AR$68,"&lt;&gt;",$AF$59:$AF$68)</f>
        <v>0.59419375870408297</v>
      </c>
      <c r="AS58" s="206">
        <f>SUMPRODUCT($AS$59:$AS$68,$AF$59:$AF$68)/SUMIF($AS$59:$AS$68,"&lt;&gt;",$AF$59:$AF$68)</f>
        <v>0</v>
      </c>
      <c r="AT58" s="206">
        <f>SUMPRODUCT($AT$59:$AT$68,$AF$59:$AF$68)/SUMIF($AT$59:$AT$68,"&lt;&gt;",$AF$59:$AF$68)</f>
        <v>0</v>
      </c>
      <c r="AU58" s="283">
        <f>SUMPRODUCT($AU$59:$AU$68,$AF$59:$AF$68)/SUMIF($AU$59:$AU$68,"&lt;&gt;",$AF$59:$AF$68)</f>
        <v>0</v>
      </c>
    </row>
    <row r="59" spans="2:47" x14ac:dyDescent="0.25">
      <c r="B59" s="262" t="s">
        <v>162</v>
      </c>
      <c r="C59" s="132" t="s">
        <v>286</v>
      </c>
      <c r="D59" s="132" t="s">
        <v>125</v>
      </c>
      <c r="E59" s="133">
        <v>6.1440000000000001</v>
      </c>
      <c r="F59" s="133">
        <v>6.6539999999999999</v>
      </c>
      <c r="G59" s="134">
        <v>202</v>
      </c>
      <c r="H59" s="134">
        <v>158</v>
      </c>
      <c r="I59" s="223">
        <v>51561</v>
      </c>
      <c r="J59" s="224">
        <v>4</v>
      </c>
      <c r="K59" s="134">
        <v>331955</v>
      </c>
      <c r="L59" s="134">
        <v>412000</v>
      </c>
      <c r="M59" s="266">
        <v>100.13597869873047</v>
      </c>
      <c r="N59" s="13">
        <v>15.45</v>
      </c>
      <c r="O59" s="13">
        <v>12.0609634215</v>
      </c>
      <c r="P59" s="197">
        <v>-5.7093611889769101E-3</v>
      </c>
      <c r="Q59" s="13">
        <v>1.0685301398138901E-4</v>
      </c>
      <c r="R59" s="13">
        <v>-2.4718286727454198E-3</v>
      </c>
      <c r="S59" s="13">
        <v>-3.5496605787832501E-3</v>
      </c>
      <c r="T59" s="143">
        <v>-0.01</v>
      </c>
      <c r="U59" s="143">
        <v>0</v>
      </c>
      <c r="V59" s="143">
        <v>0</v>
      </c>
      <c r="W59" s="270">
        <v>7.0830000000000002</v>
      </c>
      <c r="X59" s="133">
        <v>7.1340000000000003</v>
      </c>
      <c r="Y59" s="133"/>
      <c r="Z59" s="133">
        <v>7.2919999999999998</v>
      </c>
      <c r="AA59" s="133"/>
      <c r="AB59" s="274"/>
      <c r="AC59" s="8">
        <v>1000000</v>
      </c>
      <c r="AD59" s="11">
        <v>7.7269119999999997E-2</v>
      </c>
      <c r="AE59" s="30">
        <v>45352</v>
      </c>
      <c r="AF59" s="8">
        <v>77269.119999999995</v>
      </c>
      <c r="AG59" s="8">
        <v>77374.189543896471</v>
      </c>
      <c r="AH59" s="8">
        <v>206.9100000000046</v>
      </c>
      <c r="AI59" s="8">
        <v>396.67727359999998</v>
      </c>
      <c r="AJ59" s="8">
        <v>603.58727360000455</v>
      </c>
      <c r="AK59" s="278"/>
      <c r="AL59" s="135">
        <v>0.59</v>
      </c>
      <c r="AM59" s="134">
        <v>775</v>
      </c>
      <c r="AN59" s="132" t="s">
        <v>202</v>
      </c>
      <c r="AO59" s="132" t="s">
        <v>287</v>
      </c>
      <c r="AP59" s="132" t="s">
        <v>288</v>
      </c>
      <c r="AQ59" s="132" t="s">
        <v>208</v>
      </c>
      <c r="AR59" s="135">
        <v>0</v>
      </c>
      <c r="AS59" s="135">
        <v>0</v>
      </c>
      <c r="AT59" s="135">
        <v>0</v>
      </c>
      <c r="AU59" s="282">
        <v>0</v>
      </c>
    </row>
    <row r="60" spans="2:47" x14ac:dyDescent="0.25">
      <c r="B60" s="262" t="s">
        <v>154</v>
      </c>
      <c r="C60" s="132" t="s">
        <v>255</v>
      </c>
      <c r="D60" s="132" t="s">
        <v>125</v>
      </c>
      <c r="E60" s="133">
        <v>6.0759999999999996</v>
      </c>
      <c r="F60" s="133">
        <v>6.5</v>
      </c>
      <c r="G60" s="134">
        <v>174</v>
      </c>
      <c r="H60" s="134">
        <v>186</v>
      </c>
      <c r="I60" s="223">
        <v>50679</v>
      </c>
      <c r="J60" s="224">
        <v>2</v>
      </c>
      <c r="K60" s="134">
        <v>224528</v>
      </c>
      <c r="L60" s="134">
        <v>235000</v>
      </c>
      <c r="M60" s="266">
        <v>100.65879058837891</v>
      </c>
      <c r="N60" s="13">
        <v>26.73</v>
      </c>
      <c r="O60" s="13">
        <v>11.762373414500001</v>
      </c>
      <c r="P60" s="197">
        <v>0.81084079117438301</v>
      </c>
      <c r="Q60" s="13">
        <v>1.0858308614625101</v>
      </c>
      <c r="R60" s="13">
        <v>13.6555555967446</v>
      </c>
      <c r="S60" s="13">
        <v>7.5833516388316697</v>
      </c>
      <c r="T60" s="143">
        <v>0.81</v>
      </c>
      <c r="U60" s="143">
        <v>1.23</v>
      </c>
      <c r="V60" s="143">
        <v>1.22</v>
      </c>
      <c r="W60" s="270">
        <v>6.8609999999999998</v>
      </c>
      <c r="X60" s="133">
        <v>7.1449999999999996</v>
      </c>
      <c r="Y60" s="133">
        <v>7.3090000000000002</v>
      </c>
      <c r="Z60" s="133">
        <v>7.3049999999999997</v>
      </c>
      <c r="AA60" s="133">
        <v>7.1130000000000004</v>
      </c>
      <c r="AB60" s="274">
        <v>7.2119999999999997</v>
      </c>
      <c r="AC60" s="8">
        <v>27753362</v>
      </c>
      <c r="AD60" s="11">
        <v>5.1320100000000002E-3</v>
      </c>
      <c r="AE60" s="30">
        <v>45352</v>
      </c>
      <c r="AF60" s="8">
        <v>142430.53131762001</v>
      </c>
      <c r="AG60" s="8">
        <v>143368.85025291855</v>
      </c>
      <c r="AH60" s="8">
        <v>588.92634163999298</v>
      </c>
      <c r="AI60" s="8">
        <v>724.15518728138636</v>
      </c>
      <c r="AJ60" s="8">
        <v>1313.0815289213792</v>
      </c>
      <c r="AK60" s="278"/>
      <c r="AL60" s="135">
        <v>0.7</v>
      </c>
      <c r="AM60" s="134">
        <v>743</v>
      </c>
      <c r="AN60" s="132" t="s">
        <v>202</v>
      </c>
      <c r="AO60" s="132" t="s">
        <v>256</v>
      </c>
      <c r="AP60" s="132" t="s">
        <v>257</v>
      </c>
      <c r="AQ60" s="132" t="s">
        <v>258</v>
      </c>
      <c r="AR60" s="135">
        <v>0.90890000000000004</v>
      </c>
      <c r="AS60" s="135">
        <v>0</v>
      </c>
      <c r="AT60" s="135">
        <v>0</v>
      </c>
      <c r="AU60" s="282">
        <v>0</v>
      </c>
    </row>
    <row r="61" spans="2:47" x14ac:dyDescent="0.25">
      <c r="B61" s="262" t="s">
        <v>142</v>
      </c>
      <c r="C61" s="132" t="s">
        <v>206</v>
      </c>
      <c r="D61" s="132" t="s">
        <v>125</v>
      </c>
      <c r="E61" s="133">
        <v>6.0810000000000004</v>
      </c>
      <c r="F61" s="133">
        <v>6.5069999999999997</v>
      </c>
      <c r="G61" s="134">
        <v>173</v>
      </c>
      <c r="H61" s="134">
        <v>187</v>
      </c>
      <c r="I61" s="223">
        <v>50679</v>
      </c>
      <c r="J61" s="224">
        <v>5</v>
      </c>
      <c r="K61" s="134">
        <v>206328</v>
      </c>
      <c r="L61" s="134">
        <v>272000</v>
      </c>
      <c r="M61" s="266">
        <v>101.312255859375</v>
      </c>
      <c r="N61" s="13">
        <v>20.37</v>
      </c>
      <c r="O61" s="13">
        <v>11.762373414500001</v>
      </c>
      <c r="P61" s="197">
        <v>0.74528029499013604</v>
      </c>
      <c r="Q61" s="13">
        <v>1.99231947142682</v>
      </c>
      <c r="R61" s="13">
        <v>2.3452267710627801</v>
      </c>
      <c r="S61" s="13">
        <v>2.26865155786858</v>
      </c>
      <c r="T61" s="143">
        <v>0.75</v>
      </c>
      <c r="U61" s="143">
        <v>2.8</v>
      </c>
      <c r="V61" s="143">
        <v>2.42</v>
      </c>
      <c r="W61" s="270">
        <v>6.7949999999999999</v>
      </c>
      <c r="X61" s="133">
        <v>7</v>
      </c>
      <c r="Y61" s="133">
        <v>7.2169999999999996</v>
      </c>
      <c r="Z61" s="133">
        <v>7.1950000000000003</v>
      </c>
      <c r="AA61" s="133">
        <v>7.1890000000000001</v>
      </c>
      <c r="AB61" s="274">
        <v>7.19</v>
      </c>
      <c r="AC61" s="8">
        <v>25986475</v>
      </c>
      <c r="AD61" s="11">
        <v>1.901253E-2</v>
      </c>
      <c r="AE61" s="30">
        <v>45352</v>
      </c>
      <c r="AF61" s="8">
        <v>494068.63553174998</v>
      </c>
      <c r="AG61" s="8">
        <v>500552.08015084954</v>
      </c>
      <c r="AH61" s="8">
        <v>2029.8035622499815</v>
      </c>
      <c r="AI61" s="8">
        <v>2513.9788401088449</v>
      </c>
      <c r="AJ61" s="8">
        <v>4543.7824023588264</v>
      </c>
      <c r="AK61" s="278"/>
      <c r="AL61" s="135">
        <v>0.75</v>
      </c>
      <c r="AM61" s="134">
        <v>723</v>
      </c>
      <c r="AN61" s="132" t="s">
        <v>202</v>
      </c>
      <c r="AO61" s="132" t="s">
        <v>207</v>
      </c>
      <c r="AP61" s="132" t="s">
        <v>208</v>
      </c>
      <c r="AQ61" s="132" t="s">
        <v>209</v>
      </c>
      <c r="AR61" s="135">
        <v>1</v>
      </c>
      <c r="AS61" s="135">
        <v>0</v>
      </c>
      <c r="AT61" s="135">
        <v>0</v>
      </c>
      <c r="AU61" s="282">
        <v>0</v>
      </c>
    </row>
    <row r="62" spans="2:47" x14ac:dyDescent="0.25">
      <c r="B62" s="262" t="s">
        <v>151</v>
      </c>
      <c r="C62" s="132" t="s">
        <v>243</v>
      </c>
      <c r="D62" s="132" t="s">
        <v>125</v>
      </c>
      <c r="E62" s="133">
        <v>6.0780000000000003</v>
      </c>
      <c r="F62" s="133">
        <v>6.5</v>
      </c>
      <c r="G62" s="134">
        <v>174</v>
      </c>
      <c r="H62" s="134">
        <v>186</v>
      </c>
      <c r="I62" s="223">
        <v>50649</v>
      </c>
      <c r="J62" s="224">
        <v>2</v>
      </c>
      <c r="K62" s="134">
        <v>190814</v>
      </c>
      <c r="L62" s="134">
        <v>218000</v>
      </c>
      <c r="M62" s="266">
        <v>100.58757019042969</v>
      </c>
      <c r="N62" s="13">
        <v>24.16</v>
      </c>
      <c r="O62" s="13">
        <v>11.762373414500001</v>
      </c>
      <c r="P62" s="197">
        <v>5.38500305962142E-3</v>
      </c>
      <c r="Q62" s="13">
        <v>5.2363127814203398E-3</v>
      </c>
      <c r="R62" s="13">
        <v>5.4105769857315496E-3</v>
      </c>
      <c r="S62" s="13">
        <v>5.7007907736772402E-3</v>
      </c>
      <c r="T62" s="143">
        <v>0.01</v>
      </c>
      <c r="U62" s="143">
        <v>0.01</v>
      </c>
      <c r="V62" s="143">
        <v>0.01</v>
      </c>
      <c r="W62" s="270">
        <v>6.9470000000000001</v>
      </c>
      <c r="X62" s="133">
        <v>7.1669999999999998</v>
      </c>
      <c r="Y62" s="133">
        <v>7.3339999999999996</v>
      </c>
      <c r="Z62" s="133">
        <v>7.3339999999999996</v>
      </c>
      <c r="AA62" s="133">
        <v>7.3339999999999996</v>
      </c>
      <c r="AB62" s="274">
        <v>7.3339999999999996</v>
      </c>
      <c r="AC62" s="8">
        <v>19042676</v>
      </c>
      <c r="AD62" s="11">
        <v>8.5706700000000007E-3</v>
      </c>
      <c r="AE62" s="30">
        <v>45352</v>
      </c>
      <c r="AF62" s="8">
        <v>163208.49191292003</v>
      </c>
      <c r="AG62" s="8">
        <v>164167.45635965018</v>
      </c>
      <c r="AH62" s="8">
        <v>564.42491663998442</v>
      </c>
      <c r="AI62" s="8">
        <v>829.50982374172156</v>
      </c>
      <c r="AJ62" s="8">
        <v>1393.934740381706</v>
      </c>
      <c r="AK62" s="278"/>
      <c r="AL62" s="135">
        <v>0.77</v>
      </c>
      <c r="AM62" s="134">
        <v>740</v>
      </c>
      <c r="AN62" s="132" t="s">
        <v>244</v>
      </c>
      <c r="AO62" s="132" t="s">
        <v>245</v>
      </c>
      <c r="AP62" s="132" t="s">
        <v>246</v>
      </c>
      <c r="AQ62" s="132" t="s">
        <v>247</v>
      </c>
      <c r="AR62" s="135">
        <v>0</v>
      </c>
      <c r="AS62" s="135">
        <v>0</v>
      </c>
      <c r="AT62" s="135">
        <v>0</v>
      </c>
      <c r="AU62" s="282">
        <v>0</v>
      </c>
    </row>
    <row r="63" spans="2:47" x14ac:dyDescent="0.25">
      <c r="B63" s="262" t="s">
        <v>156</v>
      </c>
      <c r="C63" s="132" t="s">
        <v>262</v>
      </c>
      <c r="D63" s="132" t="s">
        <v>125</v>
      </c>
      <c r="E63" s="133">
        <v>6.0759999999999996</v>
      </c>
      <c r="F63" s="133">
        <v>6.5</v>
      </c>
      <c r="G63" s="134">
        <v>175</v>
      </c>
      <c r="H63" s="134">
        <v>185</v>
      </c>
      <c r="I63" s="223">
        <v>50679</v>
      </c>
      <c r="J63" s="224">
        <v>1</v>
      </c>
      <c r="K63" s="134">
        <v>241000</v>
      </c>
      <c r="L63" s="134">
        <v>241000</v>
      </c>
      <c r="M63" s="266">
        <v>100.43116760253906</v>
      </c>
      <c r="N63" s="13">
        <v>26.67</v>
      </c>
      <c r="O63" s="13">
        <v>12.957252673099999</v>
      </c>
      <c r="P63" s="197">
        <v>0.25393701472555802</v>
      </c>
      <c r="Q63" s="13">
        <v>0.24961686694698901</v>
      </c>
      <c r="R63" s="13">
        <v>0.35339077194009899</v>
      </c>
      <c r="S63" s="13">
        <v>0.59195308073455299</v>
      </c>
      <c r="T63" s="143">
        <v>0.25</v>
      </c>
      <c r="U63" s="143">
        <v>0.25</v>
      </c>
      <c r="V63" s="143">
        <v>0.25</v>
      </c>
      <c r="W63" s="270">
        <v>6.9160000000000004</v>
      </c>
      <c r="X63" s="133">
        <v>7.157</v>
      </c>
      <c r="Y63" s="133">
        <v>7.335</v>
      </c>
      <c r="Z63" s="133">
        <v>7.335</v>
      </c>
      <c r="AA63" s="133">
        <v>7.3339999999999996</v>
      </c>
      <c r="AB63" s="274">
        <v>7.3310000000000004</v>
      </c>
      <c r="AC63" s="8">
        <v>25002074</v>
      </c>
      <c r="AD63" s="11">
        <v>5.3465300000000004E-3</v>
      </c>
      <c r="AE63" s="30">
        <v>45352</v>
      </c>
      <c r="AF63" s="8">
        <v>133674.33870322001</v>
      </c>
      <c r="AG63" s="8">
        <v>134250.69914461664</v>
      </c>
      <c r="AH63" s="8">
        <v>486.04031855999773</v>
      </c>
      <c r="AI63" s="8">
        <v>679.29871911361283</v>
      </c>
      <c r="AJ63" s="8">
        <v>1165.3390376736106</v>
      </c>
      <c r="AK63" s="278"/>
      <c r="AL63" s="135">
        <v>0.85</v>
      </c>
      <c r="AM63" s="134">
        <v>791</v>
      </c>
      <c r="AN63" s="132" t="s">
        <v>244</v>
      </c>
      <c r="AO63" s="132" t="s">
        <v>263</v>
      </c>
      <c r="AP63" s="132" t="s">
        <v>264</v>
      </c>
      <c r="AQ63" s="132" t="s">
        <v>265</v>
      </c>
      <c r="AR63" s="135">
        <v>0</v>
      </c>
      <c r="AS63" s="135">
        <v>0</v>
      </c>
      <c r="AT63" s="135">
        <v>0</v>
      </c>
      <c r="AU63" s="282">
        <v>0</v>
      </c>
    </row>
    <row r="64" spans="2:47" x14ac:dyDescent="0.25">
      <c r="B64" s="262" t="s">
        <v>143</v>
      </c>
      <c r="C64" s="132" t="s">
        <v>211</v>
      </c>
      <c r="D64" s="132" t="s">
        <v>125</v>
      </c>
      <c r="E64" s="133">
        <v>6.0750000000000002</v>
      </c>
      <c r="F64" s="133">
        <v>6.5</v>
      </c>
      <c r="G64" s="134">
        <v>172</v>
      </c>
      <c r="H64" s="134">
        <v>188</v>
      </c>
      <c r="I64" s="223">
        <v>50618</v>
      </c>
      <c r="J64" s="224">
        <v>3</v>
      </c>
      <c r="K64" s="134">
        <v>269998</v>
      </c>
      <c r="L64" s="134">
        <v>359000</v>
      </c>
      <c r="M64" s="266">
        <v>100.84714126586914</v>
      </c>
      <c r="N64" s="13">
        <v>19.309999999999999</v>
      </c>
      <c r="O64" s="13">
        <v>12.957252673099999</v>
      </c>
      <c r="P64" s="197">
        <v>0.433068529778047</v>
      </c>
      <c r="Q64" s="13">
        <v>4.79719601172149</v>
      </c>
      <c r="R64" s="13">
        <v>5.4268302973362896</v>
      </c>
      <c r="S64" s="13">
        <v>3.1618069306819701</v>
      </c>
      <c r="T64" s="143">
        <v>0.43</v>
      </c>
      <c r="U64" s="143">
        <v>0.31</v>
      </c>
      <c r="V64" s="143">
        <v>13.06</v>
      </c>
      <c r="W64" s="270">
        <v>7.0110000000000001</v>
      </c>
      <c r="X64" s="133">
        <v>7.1260000000000003</v>
      </c>
      <c r="Y64" s="133">
        <v>7.3150000000000004</v>
      </c>
      <c r="Z64" s="133">
        <v>7.2549999999999999</v>
      </c>
      <c r="AA64" s="133">
        <v>7.2460000000000004</v>
      </c>
      <c r="AB64" s="274">
        <v>7.2779999999999996</v>
      </c>
      <c r="AC64" s="8">
        <v>16786252</v>
      </c>
      <c r="AD64" s="11">
        <v>2.1924220000000001E-2</v>
      </c>
      <c r="AE64" s="30">
        <v>45352</v>
      </c>
      <c r="AF64" s="8">
        <v>368025.48182344</v>
      </c>
      <c r="AG64" s="8">
        <v>371143.17754888011</v>
      </c>
      <c r="AH64" s="8">
        <v>1427.5028700799669</v>
      </c>
      <c r="AI64" s="8">
        <v>1870.3557350109452</v>
      </c>
      <c r="AJ64" s="8">
        <v>3297.8586050909121</v>
      </c>
      <c r="AK64" s="278"/>
      <c r="AL64" s="135">
        <v>0.79</v>
      </c>
      <c r="AM64" s="134">
        <v>713</v>
      </c>
      <c r="AN64" s="132" t="s">
        <v>212</v>
      </c>
      <c r="AO64" s="132" t="s">
        <v>213</v>
      </c>
      <c r="AP64" s="132" t="s">
        <v>214</v>
      </c>
      <c r="AQ64" s="132" t="s">
        <v>215</v>
      </c>
      <c r="AR64" s="135">
        <v>0.20559999999999998</v>
      </c>
      <c r="AS64" s="135">
        <v>0</v>
      </c>
      <c r="AT64" s="135">
        <v>0</v>
      </c>
      <c r="AU64" s="282">
        <v>0</v>
      </c>
    </row>
    <row r="65" spans="2:47" x14ac:dyDescent="0.25">
      <c r="B65" s="262" t="s">
        <v>167</v>
      </c>
      <c r="C65" s="132" t="s">
        <v>302</v>
      </c>
      <c r="D65" s="132" t="s">
        <v>125</v>
      </c>
      <c r="E65" s="133">
        <v>6.08</v>
      </c>
      <c r="F65" s="133">
        <v>6.5</v>
      </c>
      <c r="G65" s="134">
        <v>174</v>
      </c>
      <c r="H65" s="134">
        <v>186</v>
      </c>
      <c r="I65" s="223">
        <v>50649</v>
      </c>
      <c r="J65" s="224">
        <v>1</v>
      </c>
      <c r="K65" s="134">
        <v>417000</v>
      </c>
      <c r="L65" s="134">
        <v>417000</v>
      </c>
      <c r="M65" s="266">
        <v>100.57480621337891</v>
      </c>
      <c r="N65" s="13">
        <v>30.16</v>
      </c>
      <c r="O65" s="13">
        <v>11.762373414500001</v>
      </c>
      <c r="P65" s="198">
        <v>91.365097260925893</v>
      </c>
      <c r="Q65" s="13">
        <v>91.2062306495027</v>
      </c>
      <c r="R65" s="13">
        <v>95.486833804331795</v>
      </c>
      <c r="S65" s="13">
        <v>80.298313051407305</v>
      </c>
      <c r="T65" s="143">
        <v>91.37</v>
      </c>
      <c r="U65" s="143">
        <v>98.61</v>
      </c>
      <c r="V65" s="143">
        <v>43.3</v>
      </c>
      <c r="W65" s="270">
        <v>6.827</v>
      </c>
      <c r="X65" s="133">
        <v>7.1680000000000001</v>
      </c>
      <c r="Y65" s="133">
        <v>4.4240000000000004</v>
      </c>
      <c r="Z65" s="133">
        <v>4.4400000000000004</v>
      </c>
      <c r="AA65" s="133">
        <v>3.8959999999999999</v>
      </c>
      <c r="AB65" s="274">
        <v>5.2210000000000001</v>
      </c>
      <c r="AC65" s="8">
        <v>12045629</v>
      </c>
      <c r="AD65" s="11">
        <v>2.4484900000000002E-3</v>
      </c>
      <c r="AE65" s="30">
        <v>45352</v>
      </c>
      <c r="AF65" s="8">
        <v>29493.602150210001</v>
      </c>
      <c r="AG65" s="8">
        <v>29663.133207918661</v>
      </c>
      <c r="AH65" s="8">
        <v>6803.3712591999983</v>
      </c>
      <c r="AI65" s="8">
        <v>183.90466527434401</v>
      </c>
      <c r="AJ65" s="8">
        <v>6987.275924474342</v>
      </c>
      <c r="AK65" s="278"/>
      <c r="AL65" s="135">
        <v>0.7</v>
      </c>
      <c r="AM65" s="134">
        <v>723</v>
      </c>
      <c r="AN65" s="132" t="s">
        <v>303</v>
      </c>
      <c r="AO65" s="132" t="s">
        <v>304</v>
      </c>
      <c r="AP65" s="132" t="s">
        <v>305</v>
      </c>
      <c r="AQ65" s="132" t="s">
        <v>306</v>
      </c>
      <c r="AR65" s="135">
        <v>1</v>
      </c>
      <c r="AS65" s="135">
        <v>0</v>
      </c>
      <c r="AT65" s="135">
        <v>0</v>
      </c>
      <c r="AU65" s="282">
        <v>0</v>
      </c>
    </row>
    <row r="66" spans="2:47" x14ac:dyDescent="0.25">
      <c r="B66" s="262" t="s">
        <v>173</v>
      </c>
      <c r="C66" s="132" t="s">
        <v>323</v>
      </c>
      <c r="D66" s="132" t="s">
        <v>125</v>
      </c>
      <c r="E66" s="133">
        <v>6.06</v>
      </c>
      <c r="F66" s="133">
        <v>6.5</v>
      </c>
      <c r="G66" s="134">
        <v>172</v>
      </c>
      <c r="H66" s="134">
        <v>188</v>
      </c>
      <c r="I66" s="223">
        <v>50587</v>
      </c>
      <c r="J66" s="224">
        <v>1</v>
      </c>
      <c r="K66" s="134">
        <v>139000</v>
      </c>
      <c r="L66" s="134">
        <v>139000</v>
      </c>
      <c r="M66" s="266">
        <v>100.90427017211914</v>
      </c>
      <c r="N66" s="13">
        <v>32.31</v>
      </c>
      <c r="O66" s="13">
        <v>12.957252673099999</v>
      </c>
      <c r="P66" s="197">
        <v>3.16303205046276E-2</v>
      </c>
      <c r="Q66" s="13">
        <v>3.6831438366258198E-2</v>
      </c>
      <c r="R66" s="13">
        <v>3.5781843681359497E-2</v>
      </c>
      <c r="S66" s="13">
        <v>0.84146597312068105</v>
      </c>
      <c r="T66" s="143">
        <v>0.03</v>
      </c>
      <c r="U66" s="143">
        <v>0.04</v>
      </c>
      <c r="V66" s="143">
        <v>0.04</v>
      </c>
      <c r="W66" s="270">
        <v>6.6929999999999996</v>
      </c>
      <c r="X66" s="133">
        <v>7.0949999999999998</v>
      </c>
      <c r="Y66" s="133">
        <v>7.2949999999999999</v>
      </c>
      <c r="Z66" s="133">
        <v>7.2949999999999999</v>
      </c>
      <c r="AA66" s="133">
        <v>7.2949999999999999</v>
      </c>
      <c r="AB66" s="274">
        <v>7.2839999999999998</v>
      </c>
      <c r="AC66" s="8">
        <v>21549592</v>
      </c>
      <c r="AD66" s="11">
        <v>1.39459E-3</v>
      </c>
      <c r="AE66" s="30">
        <v>45352</v>
      </c>
      <c r="AF66" s="8">
        <v>30052.845507279999</v>
      </c>
      <c r="AG66" s="8">
        <v>30324.60442507538</v>
      </c>
      <c r="AH66" s="8">
        <v>106.45498447999861</v>
      </c>
      <c r="AI66" s="8">
        <v>152.30446748338798</v>
      </c>
      <c r="AJ66" s="8">
        <v>258.7594519633866</v>
      </c>
      <c r="AK66" s="278"/>
      <c r="AL66" s="135">
        <v>0.64</v>
      </c>
      <c r="AM66" s="134">
        <v>748</v>
      </c>
      <c r="AN66" s="132" t="s">
        <v>324</v>
      </c>
      <c r="AO66" s="132" t="s">
        <v>128</v>
      </c>
      <c r="AP66" s="132" t="s">
        <v>139</v>
      </c>
      <c r="AQ66" s="132" t="s">
        <v>325</v>
      </c>
      <c r="AR66" s="135">
        <v>0</v>
      </c>
      <c r="AS66" s="135">
        <v>0</v>
      </c>
      <c r="AT66" s="135">
        <v>0</v>
      </c>
      <c r="AU66" s="282">
        <v>0</v>
      </c>
    </row>
    <row r="67" spans="2:47" x14ac:dyDescent="0.25">
      <c r="B67" s="262" t="s">
        <v>146</v>
      </c>
      <c r="C67" s="132" t="s">
        <v>226</v>
      </c>
      <c r="D67" s="132" t="s">
        <v>125</v>
      </c>
      <c r="E67" s="133">
        <v>6.1029999999999998</v>
      </c>
      <c r="F67" s="133">
        <v>6.5</v>
      </c>
      <c r="G67" s="134">
        <v>173</v>
      </c>
      <c r="H67" s="134">
        <v>187</v>
      </c>
      <c r="I67" s="223">
        <v>50649</v>
      </c>
      <c r="J67" s="224">
        <v>2</v>
      </c>
      <c r="K67" s="134">
        <v>272499</v>
      </c>
      <c r="L67" s="134">
        <v>300000</v>
      </c>
      <c r="M67" s="266">
        <v>100.74744415283203</v>
      </c>
      <c r="N67" s="13">
        <v>22</v>
      </c>
      <c r="O67" s="13">
        <v>11.762373414500001</v>
      </c>
      <c r="P67" s="197">
        <v>3.36336967478544</v>
      </c>
      <c r="Q67" s="13">
        <v>3.9904781521364998</v>
      </c>
      <c r="R67" s="13">
        <v>19.8654275991364</v>
      </c>
      <c r="S67" s="13">
        <v>12.0246683545131</v>
      </c>
      <c r="T67" s="143">
        <v>3.36</v>
      </c>
      <c r="U67" s="143">
        <v>3.31</v>
      </c>
      <c r="V67" s="143">
        <v>5.28</v>
      </c>
      <c r="W67" s="270">
        <v>6.9850000000000003</v>
      </c>
      <c r="X67" s="133">
        <v>7.173</v>
      </c>
      <c r="Y67" s="133">
        <v>7.3019999999999996</v>
      </c>
      <c r="Z67" s="133">
        <v>7.2930000000000001</v>
      </c>
      <c r="AA67" s="133">
        <v>7.0270000000000001</v>
      </c>
      <c r="AB67" s="274">
        <v>7.1689999999999996</v>
      </c>
      <c r="AC67" s="8">
        <v>21116365</v>
      </c>
      <c r="AD67" s="11">
        <v>1.323064E-2</v>
      </c>
      <c r="AE67" s="30">
        <v>45352</v>
      </c>
      <c r="AF67" s="8">
        <v>279383.02342360001</v>
      </c>
      <c r="AG67" s="8">
        <v>281471.25549618504</v>
      </c>
      <c r="AH67" s="8">
        <v>1773.9858236500145</v>
      </c>
      <c r="AI67" s="8">
        <v>1429.9176895299724</v>
      </c>
      <c r="AJ67" s="8">
        <v>3203.9035131799869</v>
      </c>
      <c r="AK67" s="278"/>
      <c r="AL67" s="135">
        <v>0.81</v>
      </c>
      <c r="AM67" s="134">
        <v>788</v>
      </c>
      <c r="AN67" s="132" t="s">
        <v>227</v>
      </c>
      <c r="AO67" s="132" t="s">
        <v>228</v>
      </c>
      <c r="AP67" s="132" t="s">
        <v>229</v>
      </c>
      <c r="AQ67" s="132" t="s">
        <v>124</v>
      </c>
      <c r="AR67" s="135">
        <v>1</v>
      </c>
      <c r="AS67" s="135">
        <v>0</v>
      </c>
      <c r="AT67" s="135">
        <v>0</v>
      </c>
      <c r="AU67" s="282">
        <v>0</v>
      </c>
    </row>
    <row r="68" spans="2:47" x14ac:dyDescent="0.25">
      <c r="B68" s="262" t="s">
        <v>172</v>
      </c>
      <c r="C68" s="132" t="s">
        <v>319</v>
      </c>
      <c r="D68" s="132" t="s">
        <v>125</v>
      </c>
      <c r="E68" s="133">
        <v>6.1029999999999998</v>
      </c>
      <c r="F68" s="133">
        <v>6.5</v>
      </c>
      <c r="G68" s="134">
        <v>174</v>
      </c>
      <c r="H68" s="134">
        <v>186</v>
      </c>
      <c r="I68" s="223">
        <v>50649</v>
      </c>
      <c r="J68" s="224">
        <v>1</v>
      </c>
      <c r="K68" s="134">
        <v>98000</v>
      </c>
      <c r="L68" s="134">
        <v>98000</v>
      </c>
      <c r="M68" s="266">
        <v>100.60824203491211</v>
      </c>
      <c r="N68" s="13">
        <v>31.75</v>
      </c>
      <c r="O68" s="13">
        <v>11.762373414500001</v>
      </c>
      <c r="P68" s="197">
        <v>7.88425793356389</v>
      </c>
      <c r="Q68" s="13">
        <v>7.7419883434599601</v>
      </c>
      <c r="R68" s="13">
        <v>7.5392760128165399</v>
      </c>
      <c r="S68" s="13">
        <v>7.4601646465863301</v>
      </c>
      <c r="T68" s="143">
        <v>7.88</v>
      </c>
      <c r="U68" s="143">
        <v>7.74</v>
      </c>
      <c r="V68" s="143">
        <v>7.6</v>
      </c>
      <c r="W68" s="270">
        <v>6.7990000000000004</v>
      </c>
      <c r="X68" s="133">
        <v>7.1829999999999998</v>
      </c>
      <c r="Y68" s="133">
        <v>7.2439999999999998</v>
      </c>
      <c r="Z68" s="133">
        <v>7.2460000000000004</v>
      </c>
      <c r="AA68" s="133">
        <v>7.2489999999999997</v>
      </c>
      <c r="AB68" s="274">
        <v>7.25</v>
      </c>
      <c r="AC68" s="8">
        <v>17997071</v>
      </c>
      <c r="AD68" s="11">
        <v>1.7148899999999999E-3</v>
      </c>
      <c r="AE68" s="30">
        <v>45352</v>
      </c>
      <c r="AF68" s="8">
        <v>30862.99708719</v>
      </c>
      <c r="AG68" s="8">
        <v>31050.718808707992</v>
      </c>
      <c r="AH68" s="8">
        <v>319.26803954000053</v>
      </c>
      <c r="AI68" s="8">
        <v>158.58780339036099</v>
      </c>
      <c r="AJ68" s="8">
        <v>477.85584293036152</v>
      </c>
      <c r="AK68" s="278"/>
      <c r="AL68" s="135">
        <v>0.85</v>
      </c>
      <c r="AM68" s="134">
        <v>674</v>
      </c>
      <c r="AN68" s="132" t="s">
        <v>227</v>
      </c>
      <c r="AO68" s="132" t="s">
        <v>320</v>
      </c>
      <c r="AP68" s="132" t="s">
        <v>321</v>
      </c>
      <c r="AQ68" s="132" t="s">
        <v>322</v>
      </c>
      <c r="AR68" s="135">
        <v>1</v>
      </c>
      <c r="AS68" s="135">
        <v>0</v>
      </c>
      <c r="AT68" s="135">
        <v>0</v>
      </c>
      <c r="AU68" s="282">
        <v>0</v>
      </c>
    </row>
    <row r="69" spans="2:47" s="237" customFormat="1" x14ac:dyDescent="0.25">
      <c r="B69" s="263" t="s">
        <v>366</v>
      </c>
      <c r="C69" s="199"/>
      <c r="D69" s="199"/>
      <c r="E69" s="226">
        <f>SUMPRODUCT($E$70:$E$70,$AF$70:$AF$70)/SUMIF($E$70:$E$70,"&lt;&gt;",$AF$70:$AF$70)</f>
        <v>6.3250000000000002</v>
      </c>
      <c r="F69" s="226">
        <f>SUMPRODUCT($F$70:$F$70,$AF$70:$AF$70)/SUMIF($F$70:$F$70,"&lt;&gt;",$AF$70:$AF$70)</f>
        <v>6.75</v>
      </c>
      <c r="G69" s="136">
        <f>SUMPRODUCT($G$70:$G$70,$AF$70:$AF$70)/SUMIF($G$70:$G$70,"&lt;&gt;",$AF$70:$AF$70)</f>
        <v>203</v>
      </c>
      <c r="H69" s="136">
        <f>SUMPRODUCT($H$70:$H$70,$AF$70:$AF$70)/SUMIF($H$70:$H$70,"&lt;&gt;",$AF$70:$AF$70)</f>
        <v>157</v>
      </c>
      <c r="I69" s="227">
        <f>SUMPRODUCT($I$70:$I$70,$AF$70:$AF$70)/SUMIF($I$70:$I$70,"&lt;&gt;",$AF$70:$AF$70)</f>
        <v>51533</v>
      </c>
      <c r="J69" s="136">
        <f>SUM($J$70:$J$70)</f>
        <v>3</v>
      </c>
      <c r="K69" s="136">
        <f>SUMPRODUCT($K$70:$K$70,$AF$70:$AF$70)/SUMIF($K$70:$K$70,"&lt;&gt;",$AF$70:$AF$70)</f>
        <v>212266</v>
      </c>
      <c r="L69" s="136">
        <f>SUMPRODUCT($L$70:$L$70,$AF$70:$AF$70)/SUMIF($L$70:$L$70,"&lt;&gt;",$AF$70:$AF$70)</f>
        <v>263000</v>
      </c>
      <c r="M69" s="286">
        <f>SUMPRODUCT($M$70:$M$70,$AF$70:$AF$70)/SUMIF($M$70:$M$70,"&lt;&gt;",$AF$70:$AF$70)</f>
        <v>99.796260833740234</v>
      </c>
      <c r="N69" s="228">
        <f>SUMPRODUCT($N$70:$N$70,$AF$70:$AF$70)/SUMIF($N$70:$N$70,"&lt;&gt;",$AF$70:$AF$70)</f>
        <v>28.75</v>
      </c>
      <c r="O69" s="228">
        <f>SUMPRODUCT($O$70:$O$70,$AF$70:$AF$70)/SUMIF($O$70:$O$70,"&lt;&gt;",$AF$70:$AF$70)</f>
        <v>12.0609634215</v>
      </c>
      <c r="P69" s="228">
        <f>SUMPRODUCT($P$70:$P$70,$AF$70:$AF$70)/SUMIF($P$70:$P$70,"&lt;&gt;",$AF$70:$AF$70)</f>
        <v>-1.45650401051078E-4</v>
      </c>
      <c r="Q69" s="228">
        <f>SUMPRODUCT($Q$70:$Q$70,$AF$70:$AF$70)/SUMIF($Q$70:$Q$70,"&lt;&gt;",$AF$70:$AF$70)</f>
        <v>-3.3695234513686501E-5</v>
      </c>
      <c r="R69" s="228">
        <f>SUMPRODUCT($R$70:$R$70,$AF$70:$AF$70)/SUMIF($R$70:$R$70,"&lt;&gt;",$AF$70:$AF$70)</f>
        <v>-9.68870799145094E-6</v>
      </c>
      <c r="S69" s="228">
        <f>SUMPRODUCT($S$70:$S$70,$AF$70:$AF$70)/SUMIF($S$70:$S$70,"&lt;&gt;",$AF$70:$AF$70)</f>
        <v>2.12166361812649E-5</v>
      </c>
      <c r="T69" s="228">
        <f>SUMPRODUCT($T$70:$T$70,$AF$70:$AF$70)/SUMIF($T$70:$T$70,"&lt;&gt;",$AF$70:$AF$70)</f>
        <v>0</v>
      </c>
      <c r="U69" s="228">
        <f>SUMPRODUCT($U$70:$U$70,$AF$70:$AF$70)/SUMIF($U$70:$U$70,"&lt;&gt;",$AF$70:$AF$70)</f>
        <v>0</v>
      </c>
      <c r="V69" s="228">
        <f>SUMPRODUCT($V$70:$V$70,$AF$70:$AF$70)/SUMIF($V$70:$V$70,"&lt;&gt;",$AF$70:$AF$70)</f>
        <v>0</v>
      </c>
      <c r="W69" s="287">
        <f>SUMPRODUCT($W$70:$W$70,$AF$70:$AF$70)/SUMIF($W$70:$W$70,"&lt;&gt;",$AF$70:$AF$70)</f>
        <v>7.08</v>
      </c>
      <c r="X69" s="226">
        <f>SUMPRODUCT($X$70:$X$70,$AF$70:$AF$70)/SUMIF($X$70:$X$70,"&lt;&gt;",$AF$70:$AF$70)</f>
        <v>7.28</v>
      </c>
      <c r="Y69" s="226"/>
      <c r="Z69" s="226"/>
      <c r="AA69" s="226"/>
      <c r="AB69" s="285">
        <f>SUMPRODUCT($AB$70:$AB$70,$AF$70:$AF$70)/SUMIF($AB$70:$AB$70,"&lt;&gt;",$AF$70:$AF$70)</f>
        <v>7.3810000000000002</v>
      </c>
      <c r="AC69" s="207">
        <f>SUM($AC$70:$AC$70)</f>
        <v>2000000</v>
      </c>
      <c r="AD69" s="229">
        <f>SUMPRODUCT($AD$70:$AD$70,$AF$70:$AF$70)/SUMIF($AD$70:$AD$70,"&lt;&gt;",$AF$70:$AF$70)</f>
        <v>8.2009200000000004E-3</v>
      </c>
      <c r="AE69" s="230">
        <f>SUMPRODUCT($AE$70:$AE$70,$AF$70:$AF$70)/SUMIF($AE$70:$AE$70,"&lt;&gt;",$AF$70:$AF$70)</f>
        <v>45352</v>
      </c>
      <c r="AF69" s="231">
        <f>SUM($AF$70:$AF$70)</f>
        <v>16401.84</v>
      </c>
      <c r="AG69" s="231">
        <f>SUM($AG$70:$AG$70)</f>
        <v>16368.423027932738</v>
      </c>
      <c r="AH69" s="231">
        <f>SUM($AH$70:$AH$70)</f>
        <v>43.220000000000063</v>
      </c>
      <c r="AI69" s="231">
        <f>SUM($AI$70:$AI$70)</f>
        <v>86.679170416666679</v>
      </c>
      <c r="AJ69" s="231">
        <f>SUM($AJ$70:$AJ$70)</f>
        <v>129.89917041666675</v>
      </c>
      <c r="AK69" s="288"/>
      <c r="AL69" s="232">
        <f>SUMPRODUCT($AL$70:$AL$70,$AF$70:$AF$70)/SUMIF($AL$70:$AL$70,"&lt;&gt;",$AF$70:$AF$70)</f>
        <v>0.72</v>
      </c>
      <c r="AM69" s="136">
        <f>SUMPRODUCT($AM$70:$AM$70,$AF$70:$AF$70)/SUMIF($AM$70:$AM$70,"&lt;&gt;",$AF$70:$AF$70)</f>
        <v>778</v>
      </c>
      <c r="AN69" s="199"/>
      <c r="AO69" s="199"/>
      <c r="AP69" s="199"/>
      <c r="AQ69" s="199"/>
      <c r="AR69" s="232">
        <f>SUMPRODUCT($AR$70:$AR$70,$AF$70:$AF$70)/SUMIF($AR$70:$AR$70,"&lt;&gt;",$AF$70:$AF$70)</f>
        <v>0</v>
      </c>
      <c r="AS69" s="232">
        <f>SUMPRODUCT($AS$70:$AS$70,$AF$70:$AF$70)/SUMIF($AS$70:$AS$70,"&lt;&gt;",$AF$70:$AF$70)</f>
        <v>0</v>
      </c>
      <c r="AT69" s="232">
        <f>SUMPRODUCT($AT$70:$AT$70,$AF$70:$AF$70)/SUMIF($AT$70:$AT$70,"&lt;&gt;",$AF$70:$AF$70)</f>
        <v>0</v>
      </c>
      <c r="AU69" s="289">
        <f>SUMPRODUCT($AU$70:$AU$70,$AF$70:$AF$70)/SUMIF($AU$70:$AU$70,"&lt;&gt;",$AF$70:$AF$70)</f>
        <v>0</v>
      </c>
    </row>
    <row r="70" spans="2:47" ht="15.75" thickBot="1" x14ac:dyDescent="0.3">
      <c r="B70" s="262" t="s">
        <v>185</v>
      </c>
      <c r="C70" s="132" t="s">
        <v>362</v>
      </c>
      <c r="D70" s="132" t="s">
        <v>125</v>
      </c>
      <c r="E70" s="133">
        <v>6.3250000000000002</v>
      </c>
      <c r="F70" s="133">
        <v>6.75</v>
      </c>
      <c r="G70" s="134">
        <v>203</v>
      </c>
      <c r="H70" s="134">
        <v>157</v>
      </c>
      <c r="I70" s="223">
        <v>51533</v>
      </c>
      <c r="J70" s="224">
        <v>3</v>
      </c>
      <c r="K70" s="134">
        <v>212266</v>
      </c>
      <c r="L70" s="134">
        <v>263000</v>
      </c>
      <c r="M70" s="266">
        <v>99.796260833740234</v>
      </c>
      <c r="N70" s="13">
        <v>28.75</v>
      </c>
      <c r="O70" s="13">
        <v>12.0609634215</v>
      </c>
      <c r="P70" s="197">
        <v>-1.45650401051078E-4</v>
      </c>
      <c r="Q70" s="13">
        <v>-3.3695234513686501E-5</v>
      </c>
      <c r="R70" s="13">
        <v>-9.68870799145094E-6</v>
      </c>
      <c r="S70" s="13">
        <v>2.12166361812649E-5</v>
      </c>
      <c r="T70" s="143">
        <v>0</v>
      </c>
      <c r="U70" s="143">
        <v>0</v>
      </c>
      <c r="V70" s="143">
        <v>0</v>
      </c>
      <c r="W70" s="270">
        <v>7.08</v>
      </c>
      <c r="X70" s="133">
        <v>7.28</v>
      </c>
      <c r="Y70" s="133"/>
      <c r="Z70" s="133"/>
      <c r="AA70" s="133"/>
      <c r="AB70" s="274">
        <v>7.3810000000000002</v>
      </c>
      <c r="AC70" s="8">
        <v>2000000</v>
      </c>
      <c r="AD70" s="11">
        <v>8.2009200000000004E-3</v>
      </c>
      <c r="AE70" s="30">
        <v>45352</v>
      </c>
      <c r="AF70" s="8">
        <v>16401.84</v>
      </c>
      <c r="AG70" s="8">
        <v>16368.423027932738</v>
      </c>
      <c r="AH70" s="8">
        <v>43.220000000000063</v>
      </c>
      <c r="AI70" s="8">
        <v>86.679170416666679</v>
      </c>
      <c r="AJ70" s="8">
        <v>129.89917041666675</v>
      </c>
      <c r="AK70" s="278"/>
      <c r="AL70" s="135">
        <v>0.72</v>
      </c>
      <c r="AM70" s="134">
        <v>778</v>
      </c>
      <c r="AN70" s="132" t="s">
        <v>123</v>
      </c>
      <c r="AO70" s="132" t="s">
        <v>363</v>
      </c>
      <c r="AP70" s="132" t="s">
        <v>364</v>
      </c>
      <c r="AQ70" s="132" t="s">
        <v>365</v>
      </c>
      <c r="AR70" s="135">
        <v>0</v>
      </c>
      <c r="AS70" s="135">
        <v>0</v>
      </c>
      <c r="AT70" s="135">
        <v>0</v>
      </c>
      <c r="AU70" s="282">
        <v>0</v>
      </c>
    </row>
    <row r="71" spans="2:47" ht="15.75" thickBot="1" x14ac:dyDescent="0.3">
      <c r="B71" s="290" t="s">
        <v>103</v>
      </c>
      <c r="C71" s="291"/>
      <c r="D71" s="291"/>
      <c r="E71" s="292">
        <f>($E$9 * $AF$9 +$E$11 * $AF$11 +$E$13 * $AF$13 +$E$15 * $AF$15 +$E$18 * $AF$18 +$E$23 * $AF$23 +$E$25 * $AF$25 +$E$30 * $AF$30 +$E$44 * $AF$44 +$E$52 * $AF$52 +$E$58 * $AF$58 +$E$69 * $AF$69 )/($AF$9 +$AF$11 +$AF$13 +$AF$15 +$AF$18 +$AF$23 +$AF$25 +$AF$30 +$AF$44 +$AF$52 +$AF$58 +$AF$69 )</f>
        <v>5.8855673906068882</v>
      </c>
      <c r="F71" s="292">
        <f>($F$9 * $AF$9 +$F$11 * $AF$11 +$F$13 * $AF$13 +$F$15 * $AF$15 +$F$18 * $AF$18 +$F$23 * $AF$23 +$F$25 * $AF$25 +$F$30 * $AF$30 +$F$44 * $AF$44 +$F$52 * $AF$52 +$F$58 * $AF$58 +$F$69 * $AF$69 )/($AF$9 +$AF$11 +$AF$13 +$AF$15 +$AF$18 +$AF$23 +$AF$25 +$AF$30 +$AF$44 +$AF$52 +$AF$58 +$AF$69 )</f>
        <v>6.4508540922217739</v>
      </c>
      <c r="G71" s="293">
        <f>($G$9 * $AF$9 +$G$11 * $AF$11 +$G$13 * $AF$13 +$G$15 * $AF$15 +$G$18 * $AF$18 +$G$23 * $AF$23 +$G$25 * $AF$25 +$G$30 * $AF$30 +$G$44 * $AF$44 +$G$52 * $AF$52 +$G$58 * $AF$58 +$G$69 * $AF$69 )/($AF$9 +$AF$11 +$AF$13 +$AF$15 +$AF$18 +$AF$23 +$AF$25 +$AF$30 +$AF$44 +$AF$52 +$AF$58 +$AF$69 )</f>
        <v>201.32176577119634</v>
      </c>
      <c r="H71" s="293">
        <f>($H$9 * $AF$9 +$H$11 * $AF$11 +$H$13 * $AF$13 +$H$15 * $AF$15 +$H$18 * $AF$18 +$H$23 * $AF$23 +$H$25 * $AF$25 +$H$30 * $AF$30 +$H$44 * $AF$44 +$H$52 * $AF$52 +$H$58 * $AF$58 +$H$69 * $AF$69 )/($AF$9 +$AF$11 +$AF$13 +$AF$15 +$AF$18 +$AF$23 +$AF$25 +$AF$30 +$AF$44 +$AF$52 +$AF$58 +$AF$69 )</f>
        <v>158.677376730878</v>
      </c>
      <c r="I71" s="294">
        <f>($I$9 * $AF$9 +$I$11 * $AF$11 +$I$13 * $AF$13 +$I$15 * $AF$15 +$I$18 * $AF$18 +$I$23 * $AF$23 +$I$25 * $AF$25 +$I$30 * $AF$30 +$I$44 * $AF$44 +$I$52 * $AF$52 +$I$58 * $AF$58 +$I$69 * $AF$69 )/($AF$9 +$AF$11 +$AF$13 +$AF$15 +$AF$18 +$AF$23 +$AF$25 +$AF$30 +$AF$44 +$AF$52 +$AF$58 +$AF$69 )</f>
        <v>51802.507527574489</v>
      </c>
      <c r="J71" s="295">
        <f>($J$9 +$J$11 +$J$13 +$J$15 +$J$18 +$J$23 +$J$25 +$J$30 +$J$44 +$J$52 +$J$58 +$J$69 )</f>
        <v>2063</v>
      </c>
      <c r="K71" s="293">
        <f>($K$9 * $AF$9 +$K$11 * $AF$11 +$K$13 * $AF$13 +$K$15 * $AF$15 +$K$18 * $AF$18 +$K$23 * $AF$23 +$K$25 * $AF$25 +$K$30 * $AF$30 +$K$44 * $AF$44 +$K$52 * $AF$52 +$K$58 * $AF$58 +$K$69 * $AF$69 )/($AF$9 +$AF$11 +$AF$13 +$AF$15 +$AF$18 +$AF$23 +$AF$25 +$AF$30 +$AF$44 +$AF$52 +$AF$58 +$AF$69 )</f>
        <v>266280.02434705861</v>
      </c>
      <c r="L71" s="293">
        <f>($L$9 * $AF$9 +$L$11 * $AF$11 +$L$13 * $AF$13 +$L$15 * $AF$15 +$L$18 * $AF$18 +$L$23 * $AF$23 +$L$25 * $AF$25 +$L$30 * $AF$30 +$L$44 * $AF$44 +$L$52 * $AF$52 +$L$58 * $AF$58 +$L$69 * $AF$69 )/($AF$9 +$AF$11 +$AF$13 +$AF$15 +$AF$18 +$AF$23 +$AF$25 +$AF$30 +$AF$44 +$AF$52 +$AF$58 +$AF$69 )</f>
        <v>398651.40631879785</v>
      </c>
      <c r="M71" s="296">
        <f>($M$9 * $AF$9 +$M$11 * $AF$11 +$M$13 * $AF$13 +$M$15 * $AF$15 +$M$18 * $AF$18 +$M$23 * $AF$23 +$M$25 * $AF$25 +$M$30 * $AF$30 +$M$44 * $AF$44 +$M$52 * $AF$52 +$M$58 * $AF$58 +$M$69 * $AF$69 )/($AF$9 +$AF$11 +$AF$13 +$AF$15 +$AF$18 +$AF$23 +$AF$25 +$AF$30 +$AF$44 +$AF$52 +$AF$58 +$AF$69 )</f>
        <v>100.87732175646619</v>
      </c>
      <c r="N71" s="297">
        <f>($N$9 * $AF$9 +$N$11 * $AF$11 +$N$13 * $AF$13 +$N$15 * $AF$15 +$N$18 * $AF$18 +$N$23 * $AF$23 +$N$25 * $AF$25 +$N$30 * $AF$30 +$N$44 * $AF$44 +$N$52 * $AF$52 +$N$58 * $AF$58 +$N$69 * $AF$69 )/($AF$9 +$AF$11 +$AF$13 +$AF$15 +$AF$18 +$AF$23 +$AF$25 +$AF$30 +$AF$44 +$AF$52 +$AF$58 +$AF$69 )</f>
        <v>24.064836718425781</v>
      </c>
      <c r="O71" s="297">
        <f>($O$9 * $AF$9 +$O$11 * $AF$11 +$O$13 * $AF$13 +$O$15 * $AF$15 +$O$18 * $AF$18 +$O$23 * $AF$23 +$O$25 * $AF$25 +$O$30 * $AF$30 +$O$44 * $AF$44 +$O$52 * $AF$52 +$O$58 * $AF$58 +$O$69 * $AF$69 )/($AF$9 +$AF$11 +$AF$13 +$AF$15 +$AF$18 +$AF$23 +$AF$25 +$AF$30 +$AF$44 +$AF$52 +$AF$58 +$AF$69 )</f>
        <v>17.062913152044604</v>
      </c>
      <c r="P71" s="297">
        <f>($P$9 * $AF$9 +$P$11 * $AF$11 +$P$13 * $AF$13 +$P$15 * $AF$15 +$P$18 * $AF$18 +$P$23 * $AF$23 +$P$25 * $AF$25 +$P$30 * $AF$30 +$P$44 * $AF$44 +$P$52 * $AF$52 +$P$58 * $AF$58 +$P$69 * $AF$69 )/($AF$9 +$AF$11 +$AF$13 +$AF$15 +$AF$18 +$AF$23 +$AF$25 +$AF$30 +$AF$44 +$AF$52 +$AF$58 +$AF$69 )</f>
        <v>10.76701089811097</v>
      </c>
      <c r="Q71" s="297">
        <f>($Q$9 * $AF$9 +$Q$11 * $AF$11 +$Q$13 * $AF$13 +$Q$15 * $AF$15 +$Q$18 * $AF$18 +$Q$23 * $AF$23 +$Q$25 * $AF$25 +$Q$30 * $AF$30 +$Q$44 * $AF$44 +$Q$52 * $AF$52 +$Q$58 * $AF$58 +$Q$69 * $AF$69 )/($AF$9 +$AF$11 +$AF$13 +$AF$15 +$AF$18 +$AF$23 +$AF$25 +$AF$30 +$AF$44 +$AF$52 +$AF$58 +$AF$69 )</f>
        <v>13.414928168008023</v>
      </c>
      <c r="R71" s="297">
        <f>($R$9 * $AF$9 +$R$11 * $AF$11 +$R$13 * $AF$13 +$R$15 * $AF$15 +$R$18 * $AF$18 +$R$23 * $AF$23 +$R$25 * $AF$25 +$R$30 * $AF$30 +$R$44 * $AF$44 +$R$52 * $AF$52 +$R$58 * $AF$58 +$R$69 * $AF$69 )/($AF$9 +$AF$11 +$AF$13 +$AF$15 +$AF$18 +$AF$23 +$AF$25 +$AF$30 +$AF$44 +$AF$52 +$AF$58 +$AF$69 )</f>
        <v>13.57881299596993</v>
      </c>
      <c r="S71" s="297">
        <f>($S$9 * $AF$9 +$S$11 * $AF$11 +$S$13 * $AF$13 +$S$15 * $AF$15 +$S$18 * $AF$18 +$S$23 * $AF$23 +$S$25 * $AF$25 +$S$30 * $AF$30 +$S$44 * $AF$44 +$S$52 * $AF$52 +$S$58 * $AF$58 +$S$69 * $AF$69 )/($AF$9 +$AF$11 +$AF$13 +$AF$15 +$AF$18 +$AF$23 +$AF$25 +$AF$30 +$AF$44 +$AF$52 +$AF$58 +$AF$69 )</f>
        <v>12.428910097983294</v>
      </c>
      <c r="T71" s="297">
        <f>($T$9 * $AF$9 +$T$11 * $AF$11 +$T$13 * $AF$13 +$T$15 * $AF$15 +$T$18 * $AF$18 +$T$23 * $AF$23 +$T$25 * $AF$25 +$T$30 * $AF$30 +$T$44 * $AF$44 +$T$52 * $AF$52 +$T$58 * $AF$58 +$T$69 * $AF$69 )/($AF$9 +$AF$11 +$AF$13 +$AF$15 +$AF$18 +$AF$23 +$AF$25 +$AF$30 +$AF$44 +$AF$52 +$AF$58 +$AF$69 )</f>
        <v>10.766913113021486</v>
      </c>
      <c r="U71" s="297">
        <f>($U$9 * $AF$9 +$U$11 * $AF$11 +$U$13 * $AF$13 +$U$15 * $AF$15 +$U$18 * $AF$18 +$U$23 * $AF$23 +$U$25 * $AF$25 +$U$30 * $AF$30 +$U$44 * $AF$44 +$U$52 * $AF$52 +$U$58 * $AF$58 +$U$69 * $AF$69 )/($AF$9 +$AF$11 +$AF$13 +$AF$15 +$AF$18 +$AF$23 +$AF$25 +$AF$30 +$AF$44 +$AF$52 +$AF$58 +$AF$69 )</f>
        <v>4.1567672805220717</v>
      </c>
      <c r="V71" s="297">
        <f>($V$9 * $AF$9 +$V$11 * $AF$11 +$V$13 * $AF$13 +$V$15 * $AF$15 +$V$18 * $AF$18 +$V$23 * $AF$23 +$V$25 * $AF$25 +$V$30 * $AF$30 +$V$44 * $AF$44 +$V$52 * $AF$52 +$V$58 * $AF$58 +$V$69 * $AF$69 )/($AF$9 +$AF$11 +$AF$13 +$AF$15 +$AF$18 +$AF$23 +$AF$25 +$AF$30 +$AF$44 +$AF$52 +$AF$58 +$AF$69 )</f>
        <v>9.6474483058071634</v>
      </c>
      <c r="W71" s="298">
        <f>($W$9 * $AF$9 +$W$11 * $AF$11 +$W$13 * $AF$13 +$W$15 * $AF$15 +$W$18 * $AF$18 +$W$23 * $AF$23 +$W$25 * $AF$25 +$W$30 * $AF$30 +$W$44 * $AF$44 +$W$52 * $AF$52 +$W$58 * $AF$58 +$W$69 * $AF$69 )/($AF$9 +$AF$11 +$AF$13 +$AF$15 +$AF$18 +$AF$23 +$AF$25 +$AF$30 +$AF$44 +$AF$52 +$AF$58 +$AF$69 )</f>
        <v>6.7339756302214129</v>
      </c>
      <c r="X71" s="292">
        <f>($X$9 * $AF$9 +$X$11 * $AF$11 +$X$13 * $AF$13 +$X$15 * $AF$15 +$X$18 * $AF$18 +$X$23 * $AF$23 +$X$25 * $AF$25 +$X$30 * $AF$30 +$X$44 * $AF$44 +$X$52 * $AF$52 +$X$58 * $AF$58 +$X$69 * $AF$69 )/($AF$9 +$AF$11 +$AF$13 +$AF$15 +$AF$18 +$AF$23 +$AF$25 +$AF$30 +$AF$44 +$AF$52 +$AF$58 +$AF$69 )</f>
        <v>6.851026872852457</v>
      </c>
      <c r="Y71" s="292">
        <f>($Y$9 * $AF$9 +$Y$11 * $AF$11 +$Y$13 * $AF$13 +$Y$15 * $AF$15 +$Y$18 * $AF$18 +$Y$23 * $AF$23 +$Y$25 * $AF$25 +$Y$30 * $AF$30 +$Y$44 * $AF$44 +$Y$52 * $AF$52 +$Y$58 * $AF$58 +$Y$69 * $AF$69 )/($AF$9 +$AF$11 +$AF$13 +$AF$15 +$AF$18 +$AF$23 +$AF$25 +$AF$30 +$AF$44 +$AF$52 +$AF$58 +$AF$69 )</f>
        <v>6.9033089333700612</v>
      </c>
      <c r="Z71" s="292">
        <f>($Z$9 * $AF$9 +$Z$11 * $AF$11 +$Z$13 * $AF$13 +$Z$15 * $AF$15 +$Z$18 * $AF$18 +$Z$23 * $AF$23 +$Z$25 * $AF$25 +$Z$30 * $AF$30 +$Z$44 * $AF$44 +$Z$52 * $AF$52 +$Z$58 * $AF$58 +$Z$69 * $AF$69 )/($AF$9 +$AF$11 +$AF$13 +$AF$15 +$AF$18 +$AF$23 +$AF$25 +$AF$30 +$AF$44 +$AF$52 +$AF$58 +$AF$69 )</f>
        <v>6.9019720903594353</v>
      </c>
      <c r="AA71" s="292">
        <f>($AA$9 * $AF$9 +$AA$11 * $AF$11 +$AA$13 * $AF$13 +$AA$15 * $AF$15 +$AA$18 * $AF$18 +$AA$23 * $AF$23 +$AA$25 * $AF$25 +$AA$30 * $AF$30 +$AA$44 * $AF$44 +$AA$52 * $AF$52 +$AA$58 * $AF$58 +$AA$69 * $AF$69 )/($AF$9 +$AF$11 +$AF$13 +$AF$15 +$AF$18 +$AF$23 +$AF$25 +$AF$30 +$AF$44 +$AF$52 +$AF$58 +$AF$69 )</f>
        <v>6.9037973821288894</v>
      </c>
      <c r="AB71" s="299">
        <f>($AB$9 * $AF$9 +$AB$11 * $AF$11 +$AB$13 * $AF$13 +$AB$15 * $AF$15 +$AB$18 * $AF$18 +$AB$23 * $AF$23 +$AB$25 * $AF$25 +$AB$30 * $AF$30 +$AB$44 * $AF$44 +$AB$52 * $AF$52 +$AB$58 * $AF$58 +$AB$69 * $AF$69 )/($AF$9 +$AF$11 +$AF$13 +$AF$15 +$AF$18 +$AF$23 +$AF$25 +$AF$30 +$AF$44 +$AF$52 +$AF$58 +$AF$69 )</f>
        <v>6.9508492586746051</v>
      </c>
      <c r="AC71" s="293">
        <f>($AC$9 +$AC$11 +$AC$13 +$AC$15 +$AC$18 +$AC$23 +$AC$25 +$AC$30 +$AC$44 +$AC$52 +$AC$58 +$AC$69 )</f>
        <v>333489893</v>
      </c>
      <c r="AD71" s="300">
        <f>($AD$9 * $AF$9 +$AD$11 * $AF$11 +$AD$13 * $AF$13 +$AD$15 * $AF$15 +$AD$18 * $AF$18 +$AD$23 * $AF$23 +$AD$25 * $AF$25 +$AD$30 * $AF$30 +$AD$44 * $AF$44 +$AD$52 * $AF$52 +$AD$58 * $AF$58 +$AD$69 * $AF$69 )/($AF$9 +$AF$11 +$AF$13 +$AF$15 +$AF$18 +$AF$23 +$AF$25 +$AF$30 +$AF$44 +$AF$52 +$AF$58 +$AF$69 )</f>
        <v>6.7530434993860244E-2</v>
      </c>
      <c r="AE71" s="301">
        <f>($AE$9 * $AF$9 +$AE$11 * $AF$11 +$AE$13 * $AF$13 +$AE$15 * $AF$15 +$AE$18 * $AF$18 +$AE$23 * $AF$23 +$AE$25 * $AF$25 +$AE$30 * $AF$30 +$AE$44 * $AF$44 +$AE$52 * $AF$52 +$AE$58 * $AF$58 +$AE$69 * $AF$69 )/($AF$9 +$AF$11 +$AF$13 +$AF$15 +$AF$18 +$AF$23 +$AF$25 +$AF$30 +$AF$44 +$AF$52 +$AF$58 +$AF$69 )</f>
        <v>45352.000000000007</v>
      </c>
      <c r="AF71" s="293">
        <f>($AF$9 +$AF$11 +$AF$13 +$AF$15 +$AF$18 +$AF$23 +$AF$25 +$AF$30 +$AF$44 +$AF$52 +$AF$58 +$AF$69 )</f>
        <v>5580706.9694840591</v>
      </c>
      <c r="AG71" s="293">
        <f>($AG$9 +$AG$11 +$AG$13 +$AG$15 +$AG$18 +$AG$23 +$AG$25 +$AG$30 +$AG$44 +$AG$52 +$AG$58 +$AG$69 )</f>
        <v>5629667.7258919682</v>
      </c>
      <c r="AH71" s="293">
        <f>($AH$9 +$AH$11 +$AH$13 +$AH$15 +$AH$18 +$AH$23 +$AH$25 +$AH$30 +$AH$44 +$AH$52 +$AH$58 +$AH$69 )</f>
        <v>348959.7720764</v>
      </c>
      <c r="AI71" s="293">
        <f>($AI$9 +$AI$11 +$AI$13 +$AI$15 +$AI$18 +$AI$23 +$AI$25 +$AI$30 +$AI$44 +$AI$52 +$AI$58 +$AI$69 )</f>
        <v>29035.021195464054</v>
      </c>
      <c r="AJ71" s="293">
        <f>($AJ$9 +$AJ$11 +$AJ$13 +$AJ$15 +$AJ$18 +$AJ$23 +$AJ$25 +$AJ$30 +$AJ$44 +$AJ$52 +$AJ$58 +$AJ$69 )</f>
        <v>377994.79327186412</v>
      </c>
      <c r="AK71" s="302">
        <f>($AK$9 * $AF$9 +$AK$11 * $AF$11 +$AK$13 * $AF$13 +$AK$15 * $AF$15 +$AK$18 * $AF$18 +$AK$23 * $AF$23 +$AK$25 * $AF$25 +$AK$30 * $AF$30 +$AK$44 * $AF$44 +$AK$52 * $AF$52 +$AK$58 * $AF$58 +$AK$69 * $AF$69 )/($AF$9 +$AF$11 +$AF$13 +$AF$15 +$AF$18 +$AF$23 +$AF$25 +$AF$30 +$AF$44 +$AF$52 +$AF$58 +$AF$69 )</f>
        <v>0</v>
      </c>
      <c r="AL71" s="303">
        <f>($AL$9 * $AF$9 +$AL$11 * $AF$11 +$AL$13 * $AF$13 +$AL$15 * $AF$15 +$AL$18 * $AF$18 +$AL$23 * $AF$23 +$AL$25 * $AF$25 +$AL$30 * $AF$30 +$AL$44 * $AF$44 +$AL$52 * $AF$52 +$AL$58 * $AF$58 +$AL$69 * $AF$69 )/($AF$9 +$AF$11 +$AF$13 +$AF$15 +$AF$18 +$AF$23 +$AF$25 +$AF$30 +$AF$44 +$AF$52 +$AF$58 +$AF$69 )</f>
        <v>0.69055952265423315</v>
      </c>
      <c r="AM71" s="293">
        <f>($AM$9 * $AF$9 +$AM$11 * $AF$11 +$AM$13 * $AF$13 +$AM$15 * $AF$15 +$AM$18 * $AF$18 +$AM$23 * $AF$23 +$AM$25 * $AF$25 +$AM$30 * $AF$30 +$AM$44 * $AF$44 +$AM$52 * $AF$52 +$AM$58 * $AF$58 +$AM$69 * $AF$69 )/($AF$9 +$AF$11 +$AF$13 +$AF$15 +$AF$18 +$AF$23 +$AF$25 +$AF$30 +$AF$44 +$AF$52 +$AF$58 +$AF$69 )</f>
        <v>747.29290215728872</v>
      </c>
      <c r="AN71" s="291"/>
      <c r="AO71" s="291"/>
      <c r="AP71" s="291"/>
      <c r="AQ71" s="291"/>
      <c r="AR71" s="303">
        <f>($AR$9 * $AF$9 +$AR$11 * $AF$11 +$AR$13 * $AF$13 +$AR$15 * $AF$15 +$AR$18 * $AF$18 +$AR$23 * $AF$23 +$AR$25 * $AF$25 +$AR$30 * $AF$30 +$AR$44 * $AF$44 +$AR$52 * $AF$52 +$AR$58 * $AF$58 +$AR$69 * $AF$69 )/($AF$9 +$AF$11 +$AF$13 +$AF$15 +$AF$18 +$AF$23 +$AF$25 +$AF$30 +$AF$44 +$AF$52 +$AF$58 +$AF$69 )</f>
        <v>0.38445381337156587</v>
      </c>
      <c r="AS71" s="303">
        <f>($AS$9 * $AF$9 +$AS$11 * $AF$11 +$AS$13 * $AF$13 +$AS$15 * $AF$15 +$AS$18 * $AF$18 +$AS$23 * $AF$23 +$AS$25 * $AF$25 +$AS$30 * $AF$30 +$AS$44 * $AF$44 +$AS$52 * $AF$52 +$AS$58 * $AF$58 +$AS$69 * $AF$69 )/($AF$9 +$AF$11 +$AF$13 +$AF$15 +$AF$18 +$AF$23 +$AF$25 +$AF$30 +$AF$44 +$AF$52 +$AF$58 +$AF$69 )</f>
        <v>1.0748449883077147E-3</v>
      </c>
      <c r="AT71" s="303">
        <f>($AT$9 * $AF$9 +$AT$11 * $AF$11 +$AT$13 * $AF$13 +$AT$15 * $AF$15 +$AT$18 * $AF$18 +$AT$23 * $AF$23 +$AT$25 * $AF$25 +$AT$30 * $AF$30 +$AT$44 * $AF$44 +$AT$52 * $AF$52 +$AT$58 * $AF$58 +$AT$69 * $AF$69 )/($AF$9 +$AF$11 +$AF$13 +$AF$15 +$AF$18 +$AF$23 +$AF$25 +$AF$30 +$AF$44 +$AF$52 +$AF$58 +$AF$69 )</f>
        <v>7.2472851452616526E-6</v>
      </c>
      <c r="AU71" s="304">
        <f>($AU$9 * $AF$9 +$AU$11 * $AF$11 +$AU$13 * $AF$13 +$AU$15 * $AF$15 +$AU$18 * $AF$18 +$AU$23 * $AF$23 +$AU$25 * $AF$25 +$AU$30 * $AF$30 +$AU$44 * $AF$44 +$AU$52 * $AF$52 +$AU$58 * $AF$58 +$AU$69 * $AF$69 )/($AF$9 +$AF$11 +$AF$13 +$AF$15 +$AF$18 +$AF$23 +$AF$25 +$AF$30 +$AF$44 +$AF$52 +$AF$58 +$AF$69 )</f>
        <v>2.9504246608960086E-4</v>
      </c>
    </row>
  </sheetData>
  <sortState xmlns:xlrd2="http://schemas.microsoft.com/office/spreadsheetml/2017/richdata2" ref="B10:AV70">
    <sortCondition ref="AV8"/>
    <sortCondition ref="B10"/>
  </sortState>
  <mergeCells count="5">
    <mergeCell ref="P7:S7"/>
    <mergeCell ref="Y7:AB7"/>
    <mergeCell ref="N6:S6"/>
    <mergeCell ref="W6:AB6"/>
    <mergeCell ref="B1:AU1"/>
  </mergeCells>
  <printOptions horizontalCentered="1"/>
  <pageMargins left="0.7" right="0.7" top="0.75" bottom="0.75" header="0.3" footer="0.3"/>
  <pageSetup paperSize="9" scale="29" fitToHeight="20" orientation="landscape" r:id="rId1"/>
  <headerFooter scaleWithDoc="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0"/>
    <pageSetUpPr fitToPage="1"/>
  </sheetPr>
  <dimension ref="A1:AU8"/>
  <sheetViews>
    <sheetView workbookViewId="0">
      <pane ySplit="8" topLeftCell="A9" activePane="bottomLeft" state="frozen"/>
      <selection activeCell="J267" sqref="J266:J267"/>
      <selection pane="bottomLeft" activeCell="T8" sqref="T8:V8"/>
    </sheetView>
  </sheetViews>
  <sheetFormatPr defaultColWidth="9.140625" defaultRowHeight="15" x14ac:dyDescent="0.25"/>
  <cols>
    <col min="1" max="1" width="2.28515625" style="39" customWidth="1"/>
    <col min="2" max="2" width="11.28515625" style="39" bestFit="1" customWidth="1"/>
    <col min="3" max="3" width="9.85546875" style="39" bestFit="1" customWidth="1"/>
    <col min="4" max="4" width="16.42578125" style="39" bestFit="1" customWidth="1"/>
    <col min="5" max="6" width="6.85546875" style="15" bestFit="1" customWidth="1"/>
    <col min="7" max="8" width="8.140625" style="37" bestFit="1" customWidth="1"/>
    <col min="9" max="9" width="10.5703125" style="9" bestFit="1" customWidth="1"/>
    <col min="10" max="10" width="6.28515625" style="25" bestFit="1" customWidth="1"/>
    <col min="11" max="12" width="11.140625" style="37" bestFit="1" customWidth="1"/>
    <col min="13" max="13" width="8.140625" style="38" bestFit="1" customWidth="1"/>
    <col min="14" max="14" width="7.140625" style="38" bestFit="1" customWidth="1"/>
    <col min="15" max="15" width="10" style="38" bestFit="1" customWidth="1"/>
    <col min="16" max="16" width="8.42578125" style="38" bestFit="1" customWidth="1"/>
    <col min="17" max="18" width="9.28515625" style="38" bestFit="1" customWidth="1"/>
    <col min="19" max="19" width="10.28515625" style="38" bestFit="1" customWidth="1"/>
    <col min="20" max="21" width="6.140625" style="38" bestFit="1" customWidth="1"/>
    <col min="22" max="22" width="5.85546875" style="38" bestFit="1" customWidth="1"/>
    <col min="23" max="23" width="6.85546875" style="15" bestFit="1" customWidth="1"/>
    <col min="24" max="24" width="10" style="15" bestFit="1" customWidth="1"/>
    <col min="25" max="25" width="8.42578125" style="15" bestFit="1" customWidth="1"/>
    <col min="26" max="27" width="9.28515625" style="15" bestFit="1" customWidth="1"/>
    <col min="28" max="28" width="10.28515625" style="15" bestFit="1" customWidth="1"/>
    <col min="29" max="29" width="10.85546875" style="37" bestFit="1" customWidth="1"/>
    <col min="30" max="30" width="8.140625" style="11" bestFit="1" customWidth="1"/>
    <col min="31" max="31" width="10.140625" style="30" bestFit="1" customWidth="1"/>
    <col min="32" max="32" width="8.85546875" style="37" bestFit="1" customWidth="1"/>
    <col min="33" max="33" width="8.28515625" style="37" bestFit="1" customWidth="1"/>
    <col min="34" max="34" width="10.28515625" style="37" bestFit="1" customWidth="1"/>
    <col min="35" max="35" width="8.85546875" style="37" bestFit="1" customWidth="1"/>
    <col min="36" max="36" width="10.140625" style="37" bestFit="1" customWidth="1"/>
    <col min="37" max="37" width="9" style="9" bestFit="1" customWidth="1"/>
    <col min="38" max="38" width="6.7109375" style="41" bestFit="1" customWidth="1"/>
    <col min="39" max="39" width="8.140625" style="37" bestFit="1" customWidth="1"/>
    <col min="40" max="40" width="19.140625" style="39" bestFit="1" customWidth="1"/>
    <col min="41" max="41" width="7.7109375" style="39" bestFit="1" customWidth="1"/>
    <col min="42" max="42" width="8.140625" style="39" bestFit="1" customWidth="1"/>
    <col min="43" max="43" width="7.5703125" style="39" bestFit="1" customWidth="1"/>
    <col min="44" max="44" width="7.140625" style="41" bestFit="1" customWidth="1"/>
    <col min="45" max="46" width="7.42578125" style="41" bestFit="1" customWidth="1"/>
    <col min="47" max="47" width="9.7109375" style="41" bestFit="1" customWidth="1"/>
    <col min="48" max="16384" width="9.140625" style="39"/>
  </cols>
  <sheetData>
    <row r="1" spans="1:47" ht="33.75" x14ac:dyDescent="0.25">
      <c r="A1" s="6"/>
      <c r="B1" s="249" t="s">
        <v>38</v>
      </c>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c r="AD1" s="250"/>
      <c r="AE1" s="250"/>
      <c r="AF1" s="250"/>
      <c r="AG1" s="250"/>
      <c r="AH1" s="250"/>
      <c r="AI1" s="250"/>
      <c r="AJ1" s="250"/>
      <c r="AK1" s="250"/>
      <c r="AL1" s="250"/>
      <c r="AM1" s="250"/>
      <c r="AN1" s="250"/>
      <c r="AO1" s="250"/>
      <c r="AP1" s="250"/>
      <c r="AQ1" s="250"/>
      <c r="AR1" s="250"/>
      <c r="AS1" s="250"/>
      <c r="AT1" s="250"/>
      <c r="AU1" s="250"/>
    </row>
    <row r="2" spans="1:47" x14ac:dyDescent="0.25">
      <c r="A2" s="6"/>
      <c r="B2" s="6"/>
      <c r="C2" s="6"/>
      <c r="D2" s="6"/>
      <c r="E2" s="14"/>
      <c r="F2" s="14"/>
      <c r="G2" s="33"/>
      <c r="H2" s="33"/>
      <c r="I2" s="3"/>
      <c r="J2" s="34"/>
      <c r="K2" s="34"/>
      <c r="L2" s="34"/>
      <c r="M2" s="35"/>
      <c r="N2" s="35"/>
      <c r="O2" s="35"/>
      <c r="P2" s="35"/>
      <c r="Q2" s="35"/>
      <c r="R2" s="35"/>
      <c r="S2" s="35"/>
      <c r="T2" s="35"/>
      <c r="U2" s="35"/>
      <c r="V2" s="35"/>
      <c r="W2" s="14"/>
      <c r="X2" s="14"/>
      <c r="Y2" s="14"/>
      <c r="Z2" s="14"/>
      <c r="AA2" s="14"/>
      <c r="AB2" s="14"/>
      <c r="AC2" s="33"/>
      <c r="AD2" s="10"/>
      <c r="AE2" s="29"/>
      <c r="AF2" s="33"/>
      <c r="AG2" s="33"/>
      <c r="AH2" s="33"/>
      <c r="AI2" s="33"/>
      <c r="AJ2" s="33"/>
      <c r="AK2" s="3"/>
      <c r="AL2" s="40"/>
      <c r="AM2" s="33"/>
      <c r="AN2" s="33"/>
      <c r="AO2" s="33"/>
      <c r="AP2" s="33"/>
      <c r="AQ2" s="33"/>
      <c r="AR2" s="40"/>
      <c r="AS2" s="40"/>
      <c r="AT2" s="40"/>
      <c r="AU2" s="40"/>
    </row>
    <row r="3" spans="1:47" x14ac:dyDescent="0.25">
      <c r="A3" s="6"/>
      <c r="B3" s="6"/>
      <c r="C3" s="6"/>
      <c r="D3" s="6"/>
      <c r="E3" s="14"/>
      <c r="F3" s="14"/>
      <c r="G3" s="33"/>
      <c r="H3" s="33"/>
      <c r="I3" s="3"/>
      <c r="J3" s="34"/>
      <c r="K3" s="34"/>
      <c r="L3" s="34"/>
      <c r="M3" s="35"/>
      <c r="N3" s="35"/>
      <c r="O3" s="35"/>
      <c r="P3" s="35"/>
      <c r="Q3" s="35"/>
      <c r="R3" s="35"/>
      <c r="S3" s="35"/>
      <c r="T3" s="35"/>
      <c r="U3" s="35"/>
      <c r="V3" s="35"/>
      <c r="W3" s="14"/>
      <c r="X3" s="14"/>
      <c r="Y3" s="14"/>
      <c r="Z3" s="14"/>
      <c r="AA3" s="14"/>
      <c r="AB3" s="14"/>
      <c r="AC3" s="14"/>
      <c r="AD3" s="14"/>
      <c r="AE3" s="14"/>
      <c r="AF3" s="14"/>
      <c r="AG3" s="14"/>
      <c r="AH3" s="14"/>
      <c r="AI3" s="14"/>
      <c r="AJ3" s="14"/>
      <c r="AK3" s="14"/>
      <c r="AL3" s="14"/>
      <c r="AM3" s="14"/>
      <c r="AN3" s="14"/>
      <c r="AO3" s="14"/>
      <c r="AP3" s="14"/>
      <c r="AQ3" s="14"/>
      <c r="AR3" s="14"/>
      <c r="AS3" s="14"/>
      <c r="AT3" s="14"/>
      <c r="AU3" s="14"/>
    </row>
    <row r="4" spans="1:47" x14ac:dyDescent="0.25">
      <c r="A4" s="6"/>
      <c r="B4" s="6"/>
      <c r="C4" s="6"/>
      <c r="D4" s="6"/>
      <c r="E4" s="14"/>
      <c r="F4" s="14"/>
      <c r="G4" s="33"/>
      <c r="H4" s="33"/>
      <c r="I4" s="3"/>
      <c r="J4" s="34"/>
      <c r="K4" s="34"/>
      <c r="L4" s="34"/>
      <c r="M4" s="35"/>
      <c r="N4" s="35"/>
      <c r="O4" s="35"/>
      <c r="P4" s="35"/>
      <c r="Q4" s="35"/>
      <c r="R4" s="35"/>
      <c r="S4" s="35"/>
      <c r="T4" s="35"/>
      <c r="U4" s="35"/>
      <c r="V4" s="35"/>
      <c r="W4" s="14"/>
      <c r="X4" s="14"/>
      <c r="Y4" s="14"/>
      <c r="Z4" s="14"/>
      <c r="AA4" s="14"/>
      <c r="AB4" s="14"/>
      <c r="AC4" s="33"/>
      <c r="AD4" s="10"/>
      <c r="AE4" s="29"/>
      <c r="AF4" s="33"/>
      <c r="AG4" s="33"/>
      <c r="AH4" s="33"/>
      <c r="AI4" s="33"/>
      <c r="AJ4" s="33"/>
      <c r="AK4" s="3"/>
      <c r="AL4" s="40"/>
      <c r="AM4" s="33"/>
      <c r="AN4" s="33"/>
      <c r="AP4" s="36"/>
      <c r="AQ4" s="36"/>
      <c r="AR4" s="40"/>
      <c r="AT4" s="42" t="s">
        <v>37</v>
      </c>
      <c r="AU4" s="3">
        <v>45362.350115740737</v>
      </c>
    </row>
    <row r="5" spans="1:47" ht="15.75" thickBot="1" x14ac:dyDescent="0.3">
      <c r="A5" s="6"/>
      <c r="B5" s="6"/>
      <c r="C5" s="6"/>
      <c r="D5" s="6"/>
      <c r="E5" s="14"/>
      <c r="F5" s="14"/>
      <c r="G5" s="33"/>
      <c r="H5" s="33"/>
      <c r="I5" s="3"/>
      <c r="J5" s="34" t="s">
        <v>101</v>
      </c>
      <c r="K5" s="34"/>
      <c r="L5" s="34"/>
      <c r="M5" s="35"/>
      <c r="N5" s="35"/>
      <c r="O5" s="35"/>
      <c r="P5" s="35"/>
      <c r="Q5" s="35"/>
      <c r="R5" s="35"/>
      <c r="S5" s="35"/>
      <c r="T5" s="35"/>
      <c r="U5" s="35"/>
      <c r="V5" s="35"/>
      <c r="W5" s="14"/>
      <c r="X5" s="14"/>
      <c r="Y5" s="14"/>
      <c r="Z5" s="14"/>
      <c r="AA5" s="14"/>
      <c r="AB5" s="14"/>
      <c r="AC5" s="33"/>
      <c r="AD5" s="10"/>
      <c r="AE5" s="29"/>
      <c r="AF5" s="33"/>
      <c r="AG5" s="33"/>
      <c r="AH5" s="33"/>
      <c r="AI5" s="33"/>
      <c r="AJ5" s="33"/>
      <c r="AK5" s="3"/>
      <c r="AL5" s="40"/>
      <c r="AM5" s="33"/>
      <c r="AN5" s="33"/>
      <c r="AO5" s="33"/>
      <c r="AP5" s="33"/>
      <c r="AQ5" s="33"/>
      <c r="AR5" s="40"/>
      <c r="AS5" s="40"/>
      <c r="AT5" s="40"/>
      <c r="AU5" s="40"/>
    </row>
    <row r="6" spans="1:47" ht="15.75" thickBot="1" x14ac:dyDescent="0.3">
      <c r="A6" s="6"/>
      <c r="B6" s="67"/>
      <c r="C6" s="68"/>
      <c r="D6" s="68"/>
      <c r="E6" s="68"/>
      <c r="F6" s="68"/>
      <c r="G6" s="68"/>
      <c r="H6" s="68"/>
      <c r="I6" s="68"/>
      <c r="J6" s="69"/>
      <c r="K6" s="69" t="s">
        <v>43</v>
      </c>
      <c r="L6" s="69" t="s">
        <v>44</v>
      </c>
      <c r="M6" s="70"/>
      <c r="N6" s="251" t="s">
        <v>27</v>
      </c>
      <c r="O6" s="252"/>
      <c r="P6" s="252"/>
      <c r="Q6" s="252"/>
      <c r="R6" s="252"/>
      <c r="S6" s="253"/>
      <c r="T6" s="112"/>
      <c r="U6" s="112"/>
      <c r="V6" s="112"/>
      <c r="W6" s="254" t="s">
        <v>28</v>
      </c>
      <c r="X6" s="252"/>
      <c r="Y6" s="252"/>
      <c r="Z6" s="252"/>
      <c r="AA6" s="252"/>
      <c r="AB6" s="253"/>
      <c r="AC6" s="67"/>
      <c r="AD6" s="68"/>
      <c r="AE6" s="71" t="s">
        <v>17</v>
      </c>
      <c r="AF6" s="68" t="s">
        <v>29</v>
      </c>
      <c r="AG6" s="72" t="s">
        <v>29</v>
      </c>
      <c r="AH6" s="68" t="s">
        <v>29</v>
      </c>
      <c r="AI6" s="68" t="s">
        <v>29</v>
      </c>
      <c r="AJ6" s="68" t="s">
        <v>29</v>
      </c>
      <c r="AK6" s="73"/>
      <c r="AL6" s="74"/>
      <c r="AM6" s="72"/>
      <c r="AN6" s="68"/>
      <c r="AO6" s="68"/>
      <c r="AP6" s="68"/>
      <c r="AQ6" s="68"/>
      <c r="AR6" s="74"/>
      <c r="AS6" s="74"/>
      <c r="AT6" s="74"/>
      <c r="AU6" s="75"/>
    </row>
    <row r="7" spans="1:47" x14ac:dyDescent="0.25">
      <c r="A7" s="6"/>
      <c r="B7" s="76"/>
      <c r="C7" s="77"/>
      <c r="D7" s="77"/>
      <c r="E7" s="78"/>
      <c r="F7" s="78"/>
      <c r="G7" s="79"/>
      <c r="H7" s="79"/>
      <c r="I7" s="80"/>
      <c r="J7" s="81" t="s">
        <v>30</v>
      </c>
      <c r="K7" s="82" t="s">
        <v>30</v>
      </c>
      <c r="L7" s="82" t="s">
        <v>30</v>
      </c>
      <c r="M7" s="83" t="s">
        <v>24</v>
      </c>
      <c r="N7" s="84" t="s">
        <v>7</v>
      </c>
      <c r="O7" s="85" t="s">
        <v>13</v>
      </c>
      <c r="P7" s="255" t="s">
        <v>14</v>
      </c>
      <c r="Q7" s="256"/>
      <c r="R7" s="256"/>
      <c r="S7" s="257"/>
      <c r="T7" s="111"/>
      <c r="U7" s="111"/>
      <c r="V7" s="111"/>
      <c r="W7" s="86" t="s">
        <v>7</v>
      </c>
      <c r="X7" s="87" t="s">
        <v>13</v>
      </c>
      <c r="Y7" s="258" t="s">
        <v>14</v>
      </c>
      <c r="Z7" s="256"/>
      <c r="AA7" s="256"/>
      <c r="AB7" s="257"/>
      <c r="AC7" s="88" t="s">
        <v>15</v>
      </c>
      <c r="AD7" s="89" t="s">
        <v>17</v>
      </c>
      <c r="AE7" s="90" t="s">
        <v>18</v>
      </c>
      <c r="AF7" s="79" t="s">
        <v>17</v>
      </c>
      <c r="AG7" s="79" t="s">
        <v>24</v>
      </c>
      <c r="AH7" s="79" t="s">
        <v>19</v>
      </c>
      <c r="AI7" s="79" t="s">
        <v>20</v>
      </c>
      <c r="AJ7" s="79" t="s">
        <v>22</v>
      </c>
      <c r="AK7" s="91" t="s">
        <v>57</v>
      </c>
      <c r="AL7" s="92"/>
      <c r="AM7" s="79"/>
      <c r="AN7" s="79"/>
      <c r="AO7" s="79"/>
      <c r="AP7" s="79"/>
      <c r="AQ7" s="79"/>
      <c r="AR7" s="92"/>
      <c r="AS7" s="92" t="s">
        <v>49</v>
      </c>
      <c r="AT7" s="92" t="s">
        <v>51</v>
      </c>
      <c r="AU7" s="93" t="s">
        <v>52</v>
      </c>
    </row>
    <row r="8" spans="1:47" ht="15.75" thickBot="1" x14ac:dyDescent="0.3">
      <c r="A8" s="6"/>
      <c r="B8" s="94" t="s">
        <v>0</v>
      </c>
      <c r="C8" s="95" t="s">
        <v>1</v>
      </c>
      <c r="D8" s="95" t="s">
        <v>2</v>
      </c>
      <c r="E8" s="96" t="s">
        <v>3</v>
      </c>
      <c r="F8" s="96" t="s">
        <v>4</v>
      </c>
      <c r="G8" s="97" t="s">
        <v>5</v>
      </c>
      <c r="H8" s="97" t="s">
        <v>33</v>
      </c>
      <c r="I8" s="98" t="s">
        <v>6</v>
      </c>
      <c r="J8" s="99" t="s">
        <v>31</v>
      </c>
      <c r="K8" s="99" t="s">
        <v>45</v>
      </c>
      <c r="L8" s="99" t="s">
        <v>45</v>
      </c>
      <c r="M8" s="100" t="s">
        <v>25</v>
      </c>
      <c r="N8" s="101" t="s">
        <v>8</v>
      </c>
      <c r="O8" s="102" t="s">
        <v>9</v>
      </c>
      <c r="P8" s="102" t="s">
        <v>9</v>
      </c>
      <c r="Q8" s="102" t="s">
        <v>10</v>
      </c>
      <c r="R8" s="102" t="s">
        <v>11</v>
      </c>
      <c r="S8" s="100" t="s">
        <v>12</v>
      </c>
      <c r="T8" s="102" t="s">
        <v>195</v>
      </c>
      <c r="U8" s="102" t="s">
        <v>109</v>
      </c>
      <c r="V8" s="102" t="s">
        <v>110</v>
      </c>
      <c r="W8" s="103" t="s">
        <v>8</v>
      </c>
      <c r="X8" s="96" t="s">
        <v>9</v>
      </c>
      <c r="Y8" s="96" t="s">
        <v>9</v>
      </c>
      <c r="Z8" s="96" t="s">
        <v>10</v>
      </c>
      <c r="AA8" s="96" t="s">
        <v>11</v>
      </c>
      <c r="AB8" s="104" t="s">
        <v>12</v>
      </c>
      <c r="AC8" s="105" t="s">
        <v>16</v>
      </c>
      <c r="AD8" s="106" t="s">
        <v>18</v>
      </c>
      <c r="AE8" s="107" t="s">
        <v>36</v>
      </c>
      <c r="AF8" s="97" t="s">
        <v>16</v>
      </c>
      <c r="AG8" s="97" t="s">
        <v>26</v>
      </c>
      <c r="AH8" s="97" t="s">
        <v>53</v>
      </c>
      <c r="AI8" s="97" t="s">
        <v>21</v>
      </c>
      <c r="AJ8" s="97" t="s">
        <v>54</v>
      </c>
      <c r="AK8" s="108" t="s">
        <v>36</v>
      </c>
      <c r="AL8" s="109" t="s">
        <v>39</v>
      </c>
      <c r="AM8" s="97" t="s">
        <v>40</v>
      </c>
      <c r="AN8" s="97" t="s">
        <v>41</v>
      </c>
      <c r="AO8" s="97" t="s">
        <v>46</v>
      </c>
      <c r="AP8" s="97" t="s">
        <v>47</v>
      </c>
      <c r="AQ8" s="97" t="s">
        <v>48</v>
      </c>
      <c r="AR8" s="109" t="s">
        <v>42</v>
      </c>
      <c r="AS8" s="109" t="s">
        <v>50</v>
      </c>
      <c r="AT8" s="109" t="s">
        <v>50</v>
      </c>
      <c r="AU8" s="110" t="s">
        <v>50</v>
      </c>
    </row>
  </sheetData>
  <sortState xmlns:xlrd2="http://schemas.microsoft.com/office/spreadsheetml/2017/richdata2" ref="B8:AV9">
    <sortCondition ref="AV8"/>
    <sortCondition ref="B9"/>
  </sortState>
  <mergeCells count="5">
    <mergeCell ref="B1:AU1"/>
    <mergeCell ref="N6:S6"/>
    <mergeCell ref="W6:AB6"/>
    <mergeCell ref="P7:S7"/>
    <mergeCell ref="Y7:AB7"/>
  </mergeCells>
  <printOptions horizontalCentered="1"/>
  <pageMargins left="0.7" right="0.7" top="0.75" bottom="0.75" header="0.3" footer="0.3"/>
  <pageSetup paperSize="9" scale="31" fitToHeight="2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theme="0"/>
    <pageSetUpPr fitToPage="1"/>
  </sheetPr>
  <dimension ref="A1:AU8"/>
  <sheetViews>
    <sheetView workbookViewId="0">
      <pane ySplit="8" topLeftCell="A9" activePane="bottomLeft" state="frozen"/>
      <selection activeCell="J267" sqref="J266:J267"/>
      <selection pane="bottomLeft" activeCell="P19" sqref="P19"/>
    </sheetView>
  </sheetViews>
  <sheetFormatPr defaultColWidth="9.140625" defaultRowHeight="15" x14ac:dyDescent="0.25"/>
  <cols>
    <col min="1" max="1" width="2.28515625" style="39" customWidth="1"/>
    <col min="2" max="2" width="11.7109375" style="39" bestFit="1" customWidth="1"/>
    <col min="3" max="3" width="10.85546875" style="39" bestFit="1" customWidth="1"/>
    <col min="4" max="4" width="14.28515625" style="39" bestFit="1" customWidth="1"/>
    <col min="5" max="6" width="6.85546875" style="15" bestFit="1" customWidth="1"/>
    <col min="7" max="7" width="8.140625" style="37" bestFit="1" customWidth="1"/>
    <col min="8" max="8" width="24.42578125" style="37" bestFit="1" customWidth="1"/>
    <col min="9" max="9" width="10.7109375" style="9" bestFit="1" customWidth="1"/>
    <col min="10" max="10" width="6.28515625" style="25" bestFit="1" customWidth="1"/>
    <col min="11" max="12" width="11.140625" style="37" bestFit="1" customWidth="1"/>
    <col min="13" max="13" width="8.140625" style="38" bestFit="1" customWidth="1"/>
    <col min="14" max="14" width="7.28515625" style="38" bestFit="1" customWidth="1"/>
    <col min="15" max="15" width="10" style="38" bestFit="1" customWidth="1"/>
    <col min="16" max="16" width="8.42578125" style="38" bestFit="1" customWidth="1"/>
    <col min="17" max="18" width="9.5703125" style="38" bestFit="1" customWidth="1"/>
    <col min="19" max="19" width="10.28515625" style="38" bestFit="1" customWidth="1"/>
    <col min="20" max="20" width="7.5703125" style="38" bestFit="1" customWidth="1"/>
    <col min="21" max="22" width="6.5703125" style="38" bestFit="1" customWidth="1"/>
    <col min="23" max="23" width="6.85546875" style="15" bestFit="1" customWidth="1"/>
    <col min="24" max="24" width="10" style="15" bestFit="1" customWidth="1"/>
    <col min="25" max="25" width="8.42578125" style="15" bestFit="1" customWidth="1"/>
    <col min="26" max="27" width="9.28515625" style="15" bestFit="1" customWidth="1"/>
    <col min="28" max="28" width="10.28515625" style="15" bestFit="1" customWidth="1"/>
    <col min="29" max="29" width="10.85546875" style="37" bestFit="1" customWidth="1"/>
    <col min="30" max="30" width="8.140625" style="11" bestFit="1" customWidth="1"/>
    <col min="31" max="31" width="10.140625" style="30" bestFit="1" customWidth="1"/>
    <col min="32" max="32" width="11.42578125" style="37" bestFit="1" customWidth="1"/>
    <col min="33" max="33" width="9.85546875" style="37" bestFit="1" customWidth="1"/>
    <col min="34" max="34" width="10.28515625" style="37" bestFit="1" customWidth="1"/>
    <col min="35" max="36" width="11.42578125" style="37" bestFit="1" customWidth="1"/>
    <col min="37" max="37" width="9" style="9" bestFit="1" customWidth="1"/>
    <col min="38" max="38" width="7.140625" style="41" bestFit="1" customWidth="1"/>
    <col min="39" max="39" width="8.140625" style="37" bestFit="1" customWidth="1"/>
    <col min="40" max="40" width="37" style="39" bestFit="1" customWidth="1"/>
    <col min="41" max="41" width="8.7109375" style="39" bestFit="1" customWidth="1"/>
    <col min="42" max="43" width="24.42578125" style="39" bestFit="1" customWidth="1"/>
    <col min="44" max="44" width="7.140625" style="41" bestFit="1" customWidth="1"/>
    <col min="45" max="46" width="7.42578125" style="41" bestFit="1" customWidth="1"/>
    <col min="47" max="47" width="9.7109375" style="41" bestFit="1" customWidth="1"/>
    <col min="48" max="16384" width="9.140625" style="39"/>
  </cols>
  <sheetData>
    <row r="1" spans="1:47" ht="33.75" x14ac:dyDescent="0.25">
      <c r="A1" s="6"/>
      <c r="B1" s="249" t="s">
        <v>38</v>
      </c>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c r="AD1" s="250"/>
      <c r="AE1" s="250"/>
      <c r="AF1" s="250"/>
      <c r="AG1" s="250"/>
      <c r="AH1" s="250"/>
      <c r="AI1" s="250"/>
      <c r="AJ1" s="250"/>
      <c r="AK1" s="250"/>
      <c r="AL1" s="250"/>
      <c r="AM1" s="250"/>
      <c r="AN1" s="250"/>
      <c r="AO1" s="250"/>
      <c r="AP1" s="250"/>
      <c r="AQ1" s="250"/>
      <c r="AR1" s="250"/>
      <c r="AS1" s="250"/>
      <c r="AT1" s="250"/>
      <c r="AU1" s="250"/>
    </row>
    <row r="2" spans="1:47" x14ac:dyDescent="0.25">
      <c r="A2" s="6"/>
      <c r="B2" s="6"/>
      <c r="C2" s="6"/>
      <c r="D2" s="6"/>
      <c r="E2" s="14"/>
      <c r="F2" s="14"/>
      <c r="G2" s="33"/>
      <c r="H2" s="33"/>
      <c r="I2" s="3"/>
      <c r="J2" s="34"/>
      <c r="K2" s="34"/>
      <c r="L2" s="34"/>
      <c r="M2" s="35"/>
      <c r="N2" s="35"/>
      <c r="O2" s="35"/>
      <c r="P2" s="35"/>
      <c r="Q2" s="35"/>
      <c r="R2" s="35"/>
      <c r="S2" s="35"/>
      <c r="T2" s="35"/>
      <c r="U2" s="35"/>
      <c r="V2" s="35"/>
      <c r="W2" s="14"/>
      <c r="X2" s="14"/>
      <c r="Y2" s="14"/>
      <c r="Z2" s="14"/>
      <c r="AA2" s="14"/>
      <c r="AB2" s="14"/>
      <c r="AC2" s="33"/>
      <c r="AD2" s="10"/>
      <c r="AE2" s="29"/>
      <c r="AF2" s="33"/>
      <c r="AG2" s="33"/>
      <c r="AH2" s="33"/>
      <c r="AI2" s="33"/>
      <c r="AJ2" s="33"/>
      <c r="AK2" s="3"/>
      <c r="AL2" s="40"/>
      <c r="AM2" s="33"/>
      <c r="AN2" s="33"/>
      <c r="AO2" s="33"/>
      <c r="AP2" s="33"/>
      <c r="AQ2" s="33"/>
      <c r="AR2" s="40"/>
      <c r="AS2" s="40"/>
      <c r="AT2" s="40"/>
      <c r="AU2" s="40"/>
    </row>
    <row r="3" spans="1:47" x14ac:dyDescent="0.25">
      <c r="A3" s="6"/>
      <c r="B3" s="6"/>
      <c r="C3" s="6"/>
      <c r="D3" s="6"/>
      <c r="E3" s="14"/>
      <c r="F3" s="14"/>
      <c r="G3" s="33"/>
      <c r="H3" s="33"/>
      <c r="I3" s="3"/>
      <c r="J3" s="34"/>
      <c r="K3" s="34"/>
      <c r="L3" s="34"/>
      <c r="M3" s="35"/>
      <c r="N3" s="35"/>
      <c r="O3" s="35"/>
      <c r="P3" s="35"/>
      <c r="Q3" s="35"/>
      <c r="R3" s="35"/>
      <c r="S3" s="35"/>
      <c r="T3" s="35"/>
      <c r="U3" s="35"/>
      <c r="V3" s="35"/>
      <c r="W3" s="14"/>
      <c r="X3" s="14"/>
      <c r="Y3" s="14"/>
      <c r="Z3" s="14"/>
      <c r="AA3" s="14"/>
      <c r="AB3" s="14"/>
      <c r="AC3" s="33"/>
      <c r="AD3" s="10"/>
      <c r="AE3" s="29"/>
      <c r="AF3" s="33"/>
      <c r="AG3" s="33"/>
      <c r="AH3" s="33"/>
      <c r="AI3" s="33"/>
      <c r="AJ3" s="33"/>
      <c r="AK3" s="3"/>
      <c r="AL3" s="40"/>
      <c r="AM3" s="33"/>
      <c r="AN3" s="33"/>
      <c r="AO3" s="33"/>
      <c r="AP3" s="33"/>
      <c r="AQ3" s="33"/>
      <c r="AR3" s="40"/>
      <c r="AS3" s="40"/>
      <c r="AT3" s="40"/>
      <c r="AU3" s="40"/>
    </row>
    <row r="4" spans="1:47" x14ac:dyDescent="0.25">
      <c r="A4" s="6"/>
      <c r="B4" s="6"/>
      <c r="C4" s="6"/>
      <c r="D4" s="6"/>
      <c r="E4" s="14"/>
      <c r="F4" s="14"/>
      <c r="G4" s="33"/>
      <c r="H4" s="33"/>
      <c r="I4" s="3"/>
      <c r="J4" s="34"/>
      <c r="K4" s="34"/>
      <c r="L4" s="34"/>
      <c r="M4" s="35"/>
      <c r="N4" s="35"/>
      <c r="O4" s="35"/>
      <c r="P4" s="35"/>
      <c r="Q4" s="35"/>
      <c r="R4" s="35"/>
      <c r="S4" s="35"/>
      <c r="T4" s="35"/>
      <c r="U4" s="35"/>
      <c r="V4" s="35"/>
      <c r="W4" s="14"/>
      <c r="X4" s="14"/>
      <c r="Y4" s="14"/>
      <c r="Z4" s="14"/>
      <c r="AA4" s="14"/>
      <c r="AB4" s="14"/>
      <c r="AC4" s="33"/>
      <c r="AD4" s="10"/>
      <c r="AE4" s="29"/>
      <c r="AF4" s="33"/>
      <c r="AG4" s="33"/>
      <c r="AH4" s="33"/>
      <c r="AI4" s="33"/>
      <c r="AJ4" s="33"/>
      <c r="AK4" s="3"/>
      <c r="AL4" s="40"/>
      <c r="AM4" s="33"/>
      <c r="AN4" s="33"/>
      <c r="AP4" s="36"/>
      <c r="AQ4" s="36"/>
      <c r="AR4" s="40"/>
      <c r="AT4" s="42" t="s">
        <v>37</v>
      </c>
      <c r="AU4" s="3">
        <v>45362.350115740737</v>
      </c>
    </row>
    <row r="5" spans="1:47" ht="15.75" thickBot="1" x14ac:dyDescent="0.3">
      <c r="A5" s="6"/>
      <c r="B5" s="6"/>
      <c r="C5" s="6"/>
      <c r="D5" s="6"/>
      <c r="E5" s="14"/>
      <c r="F5" s="14"/>
      <c r="G5" s="33"/>
      <c r="H5" s="33"/>
      <c r="I5" s="3"/>
      <c r="J5" s="34"/>
      <c r="K5" s="34"/>
      <c r="L5" s="34"/>
      <c r="M5" s="35"/>
      <c r="N5" s="35"/>
      <c r="O5" s="35"/>
      <c r="P5" s="35"/>
      <c r="Q5" s="35"/>
      <c r="R5" s="35"/>
      <c r="S5" s="35"/>
      <c r="T5" s="35"/>
      <c r="U5" s="35"/>
      <c r="V5" s="35"/>
      <c r="W5" s="14"/>
      <c r="X5" s="14"/>
      <c r="Y5" s="14"/>
      <c r="Z5" s="14"/>
      <c r="AA5" s="14"/>
      <c r="AB5" s="14"/>
      <c r="AC5" s="33"/>
      <c r="AD5" s="10"/>
      <c r="AE5" s="29"/>
      <c r="AF5" s="33"/>
      <c r="AG5" s="33"/>
      <c r="AH5" s="33"/>
      <c r="AI5" s="33"/>
      <c r="AJ5" s="33"/>
      <c r="AK5" s="3"/>
      <c r="AL5" s="40"/>
      <c r="AM5" s="33"/>
      <c r="AN5" s="33"/>
      <c r="AO5" s="33"/>
      <c r="AP5" s="33"/>
      <c r="AQ5" s="33"/>
      <c r="AR5" s="40"/>
      <c r="AS5" s="40"/>
      <c r="AT5" s="40"/>
      <c r="AU5" s="40"/>
    </row>
    <row r="6" spans="1:47" ht="15.75" thickBot="1" x14ac:dyDescent="0.3">
      <c r="A6" s="6"/>
      <c r="B6" s="67"/>
      <c r="C6" s="68"/>
      <c r="D6" s="68"/>
      <c r="E6" s="68"/>
      <c r="F6" s="68"/>
      <c r="G6" s="68"/>
      <c r="H6" s="68"/>
      <c r="I6" s="68"/>
      <c r="J6" s="69"/>
      <c r="K6" s="69" t="s">
        <v>43</v>
      </c>
      <c r="L6" s="69" t="s">
        <v>44</v>
      </c>
      <c r="M6" s="70"/>
      <c r="N6" s="251" t="s">
        <v>27</v>
      </c>
      <c r="O6" s="252"/>
      <c r="P6" s="252"/>
      <c r="Q6" s="252"/>
      <c r="R6" s="252"/>
      <c r="S6" s="253"/>
      <c r="T6" s="112"/>
      <c r="U6" s="112"/>
      <c r="V6" s="112"/>
      <c r="W6" s="254" t="s">
        <v>28</v>
      </c>
      <c r="X6" s="252"/>
      <c r="Y6" s="252"/>
      <c r="Z6" s="252"/>
      <c r="AA6" s="252"/>
      <c r="AB6" s="253"/>
      <c r="AC6" s="67"/>
      <c r="AD6" s="68"/>
      <c r="AE6" s="71" t="s">
        <v>17</v>
      </c>
      <c r="AF6" s="68" t="s">
        <v>29</v>
      </c>
      <c r="AG6" s="72" t="s">
        <v>29</v>
      </c>
      <c r="AH6" s="68" t="s">
        <v>29</v>
      </c>
      <c r="AI6" s="68" t="s">
        <v>29</v>
      </c>
      <c r="AJ6" s="68" t="s">
        <v>29</v>
      </c>
      <c r="AK6" s="73"/>
      <c r="AL6" s="74"/>
      <c r="AM6" s="72"/>
      <c r="AN6" s="68"/>
      <c r="AO6" s="68"/>
      <c r="AP6" s="68"/>
      <c r="AQ6" s="68"/>
      <c r="AR6" s="74"/>
      <c r="AS6" s="74"/>
      <c r="AT6" s="74"/>
      <c r="AU6" s="75"/>
    </row>
    <row r="7" spans="1:47" x14ac:dyDescent="0.25">
      <c r="A7" s="6"/>
      <c r="B7" s="76"/>
      <c r="C7" s="77"/>
      <c r="D7" s="77"/>
      <c r="E7" s="78"/>
      <c r="F7" s="78"/>
      <c r="G7" s="79"/>
      <c r="H7" s="79"/>
      <c r="I7" s="80"/>
      <c r="J7" s="81" t="s">
        <v>30</v>
      </c>
      <c r="K7" s="82" t="s">
        <v>30</v>
      </c>
      <c r="L7" s="82" t="s">
        <v>30</v>
      </c>
      <c r="M7" s="83" t="s">
        <v>24</v>
      </c>
      <c r="N7" s="84" t="s">
        <v>7</v>
      </c>
      <c r="O7" s="85" t="s">
        <v>13</v>
      </c>
      <c r="P7" s="255" t="s">
        <v>14</v>
      </c>
      <c r="Q7" s="256"/>
      <c r="R7" s="256"/>
      <c r="S7" s="257"/>
      <c r="T7" s="111"/>
      <c r="U7" s="111"/>
      <c r="V7" s="111"/>
      <c r="W7" s="86" t="s">
        <v>7</v>
      </c>
      <c r="X7" s="87" t="s">
        <v>13</v>
      </c>
      <c r="Y7" s="258" t="s">
        <v>14</v>
      </c>
      <c r="Z7" s="256"/>
      <c r="AA7" s="256"/>
      <c r="AB7" s="257"/>
      <c r="AC7" s="88" t="s">
        <v>15</v>
      </c>
      <c r="AD7" s="89" t="s">
        <v>17</v>
      </c>
      <c r="AE7" s="90" t="s">
        <v>18</v>
      </c>
      <c r="AF7" s="79" t="s">
        <v>17</v>
      </c>
      <c r="AG7" s="79" t="s">
        <v>24</v>
      </c>
      <c r="AH7" s="79" t="s">
        <v>19</v>
      </c>
      <c r="AI7" s="79" t="s">
        <v>20</v>
      </c>
      <c r="AJ7" s="79" t="s">
        <v>22</v>
      </c>
      <c r="AK7" s="91" t="s">
        <v>57</v>
      </c>
      <c r="AL7" s="92"/>
      <c r="AM7" s="79"/>
      <c r="AN7" s="79"/>
      <c r="AO7" s="79"/>
      <c r="AP7" s="79"/>
      <c r="AQ7" s="79"/>
      <c r="AR7" s="92"/>
      <c r="AS7" s="92" t="s">
        <v>49</v>
      </c>
      <c r="AT7" s="92" t="s">
        <v>51</v>
      </c>
      <c r="AU7" s="93" t="s">
        <v>52</v>
      </c>
    </row>
    <row r="8" spans="1:47" ht="15.75" thickBot="1" x14ac:dyDescent="0.3">
      <c r="A8" s="6"/>
      <c r="B8" s="94" t="s">
        <v>0</v>
      </c>
      <c r="C8" s="95" t="s">
        <v>1</v>
      </c>
      <c r="D8" s="95" t="s">
        <v>2</v>
      </c>
      <c r="E8" s="96" t="s">
        <v>3</v>
      </c>
      <c r="F8" s="96" t="s">
        <v>4</v>
      </c>
      <c r="G8" s="97" t="s">
        <v>5</v>
      </c>
      <c r="H8" s="97" t="s">
        <v>33</v>
      </c>
      <c r="I8" s="98" t="s">
        <v>6</v>
      </c>
      <c r="J8" s="99" t="s">
        <v>31</v>
      </c>
      <c r="K8" s="99" t="s">
        <v>45</v>
      </c>
      <c r="L8" s="99" t="s">
        <v>45</v>
      </c>
      <c r="M8" s="100" t="s">
        <v>25</v>
      </c>
      <c r="N8" s="101" t="s">
        <v>8</v>
      </c>
      <c r="O8" s="102" t="s">
        <v>9</v>
      </c>
      <c r="P8" s="102" t="s">
        <v>9</v>
      </c>
      <c r="Q8" s="102" t="s">
        <v>10</v>
      </c>
      <c r="R8" s="102" t="s">
        <v>11</v>
      </c>
      <c r="S8" s="100" t="s">
        <v>12</v>
      </c>
      <c r="T8" s="102" t="s">
        <v>195</v>
      </c>
      <c r="U8" s="102" t="s">
        <v>109</v>
      </c>
      <c r="V8" s="102" t="s">
        <v>110</v>
      </c>
      <c r="W8" s="103" t="s">
        <v>8</v>
      </c>
      <c r="X8" s="96" t="s">
        <v>9</v>
      </c>
      <c r="Y8" s="96" t="s">
        <v>9</v>
      </c>
      <c r="Z8" s="96" t="s">
        <v>10</v>
      </c>
      <c r="AA8" s="96" t="s">
        <v>11</v>
      </c>
      <c r="AB8" s="104" t="s">
        <v>12</v>
      </c>
      <c r="AC8" s="105" t="s">
        <v>16</v>
      </c>
      <c r="AD8" s="106" t="s">
        <v>18</v>
      </c>
      <c r="AE8" s="107" t="s">
        <v>36</v>
      </c>
      <c r="AF8" s="97" t="s">
        <v>16</v>
      </c>
      <c r="AG8" s="97" t="s">
        <v>26</v>
      </c>
      <c r="AH8" s="97" t="s">
        <v>53</v>
      </c>
      <c r="AI8" s="97" t="s">
        <v>21</v>
      </c>
      <c r="AJ8" s="97" t="s">
        <v>54</v>
      </c>
      <c r="AK8" s="108" t="s">
        <v>36</v>
      </c>
      <c r="AL8" s="109" t="s">
        <v>39</v>
      </c>
      <c r="AM8" s="97" t="s">
        <v>40</v>
      </c>
      <c r="AN8" s="97" t="s">
        <v>41</v>
      </c>
      <c r="AO8" s="97" t="s">
        <v>46</v>
      </c>
      <c r="AP8" s="97" t="s">
        <v>47</v>
      </c>
      <c r="AQ8" s="97" t="s">
        <v>48</v>
      </c>
      <c r="AR8" s="109" t="s">
        <v>42</v>
      </c>
      <c r="AS8" s="109" t="s">
        <v>50</v>
      </c>
      <c r="AT8" s="109" t="s">
        <v>50</v>
      </c>
      <c r="AU8" s="110" t="s">
        <v>50</v>
      </c>
    </row>
  </sheetData>
  <sortState xmlns:xlrd2="http://schemas.microsoft.com/office/spreadsheetml/2017/richdata2" ref="B8:AV9">
    <sortCondition ref="AV8"/>
    <sortCondition ref="B9"/>
  </sortState>
  <mergeCells count="5">
    <mergeCell ref="B1:AU1"/>
    <mergeCell ref="N6:S6"/>
    <mergeCell ref="W6:AB6"/>
    <mergeCell ref="P7:S7"/>
    <mergeCell ref="Y7:AB7"/>
  </mergeCells>
  <printOptions horizontalCentered="1"/>
  <pageMargins left="0.7" right="0.7" top="0.75" bottom="0.75" header="0.3" footer="0.3"/>
  <pageSetup paperSize="9" scale="26" fitToHeight="2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0"/>
  </sheetPr>
  <dimension ref="A1:B1"/>
  <sheetViews>
    <sheetView workbookViewId="0">
      <selection activeCell="A4" sqref="A4"/>
    </sheetView>
  </sheetViews>
  <sheetFormatPr defaultRowHeight="15" x14ac:dyDescent="0.25"/>
  <sheetData>
    <row r="1" spans="1:2" x14ac:dyDescent="0.25">
      <c r="A1" s="31" t="s">
        <v>386</v>
      </c>
      <c r="B1">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0"/>
    <pageSetUpPr fitToPage="1"/>
  </sheetPr>
  <dimension ref="A1:AU71"/>
  <sheetViews>
    <sheetView workbookViewId="0">
      <pane ySplit="8" topLeftCell="A9" activePane="bottomLeft" state="frozen"/>
      <selection activeCell="J267" sqref="J266:J267"/>
      <selection pane="bottomLeft" activeCell="P12" sqref="P12"/>
    </sheetView>
  </sheetViews>
  <sheetFormatPr defaultColWidth="9.140625" defaultRowHeight="15" x14ac:dyDescent="0.25"/>
  <cols>
    <col min="1" max="1" width="2.28515625" style="39" customWidth="1"/>
    <col min="2" max="2" width="12.5703125" style="39" bestFit="1" customWidth="1"/>
    <col min="3" max="3" width="10.7109375" style="39" bestFit="1" customWidth="1"/>
    <col min="4" max="4" width="16.5703125" style="39" bestFit="1" customWidth="1"/>
    <col min="5" max="6" width="6.85546875" style="15" bestFit="1" customWidth="1"/>
    <col min="7" max="7" width="6.140625" style="37" bestFit="1" customWidth="1"/>
    <col min="8" max="8" width="24.42578125" style="37" bestFit="1" customWidth="1"/>
    <col min="9" max="9" width="9.7109375" style="9" bestFit="1" customWidth="1"/>
    <col min="10" max="10" width="6.28515625" style="25" bestFit="1" customWidth="1"/>
    <col min="11" max="12" width="8.28515625" style="37" bestFit="1" customWidth="1"/>
    <col min="13" max="14" width="7.28515625" style="38" bestFit="1" customWidth="1"/>
    <col min="15" max="15" width="10" style="38" bestFit="1" customWidth="1"/>
    <col min="16" max="16" width="8.42578125" style="38" bestFit="1" customWidth="1"/>
    <col min="17" max="18" width="9.28515625" style="38" bestFit="1" customWidth="1"/>
    <col min="19" max="19" width="10.28515625" style="38" bestFit="1" customWidth="1"/>
    <col min="20" max="22" width="5.85546875" style="38" bestFit="1" customWidth="1"/>
    <col min="23" max="23" width="6.85546875" style="15" bestFit="1" customWidth="1"/>
    <col min="24" max="24" width="10" style="15" bestFit="1" customWidth="1"/>
    <col min="25" max="25" width="8.42578125" style="15" bestFit="1" customWidth="1"/>
    <col min="26" max="27" width="9.28515625" style="15" bestFit="1" customWidth="1"/>
    <col min="28" max="28" width="10.28515625" style="15" bestFit="1" customWidth="1"/>
    <col min="29" max="29" width="10.85546875" style="37" bestFit="1" customWidth="1"/>
    <col min="30" max="30" width="8.140625" style="11" bestFit="1" customWidth="1"/>
    <col min="31" max="31" width="7.7109375" style="30" bestFit="1" customWidth="1"/>
    <col min="32" max="32" width="10.42578125" style="37" bestFit="1" customWidth="1"/>
    <col min="33" max="33" width="8.28515625" style="37" bestFit="1" customWidth="1"/>
    <col min="34" max="34" width="10.28515625" style="37" bestFit="1" customWidth="1"/>
    <col min="35" max="36" width="10.42578125" style="37" bestFit="1" customWidth="1"/>
    <col min="37" max="37" width="9" style="9" bestFit="1" customWidth="1"/>
    <col min="38" max="38" width="6.140625" style="41" bestFit="1" customWidth="1"/>
    <col min="39" max="39" width="5.140625" style="37" bestFit="1" customWidth="1"/>
    <col min="40" max="40" width="35.42578125" style="39" bestFit="1" customWidth="1"/>
    <col min="41" max="41" width="8.5703125" style="39" bestFit="1" customWidth="1"/>
    <col min="42" max="43" width="8.140625" style="39" bestFit="1" customWidth="1"/>
    <col min="44" max="44" width="7.140625" style="41" bestFit="1" customWidth="1"/>
    <col min="45" max="46" width="7.42578125" style="41" bestFit="1" customWidth="1"/>
    <col min="47" max="47" width="9.7109375" style="41" bestFit="1" customWidth="1"/>
    <col min="48" max="16384" width="9.140625" style="39"/>
  </cols>
  <sheetData>
    <row r="1" spans="1:47" ht="33.75" x14ac:dyDescent="0.25">
      <c r="A1" s="6"/>
      <c r="B1" s="249" t="s">
        <v>38</v>
      </c>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c r="AD1" s="250"/>
      <c r="AE1" s="250"/>
      <c r="AF1" s="250"/>
      <c r="AG1" s="250"/>
      <c r="AH1" s="250"/>
      <c r="AI1" s="250"/>
      <c r="AJ1" s="250"/>
      <c r="AK1" s="250"/>
      <c r="AL1" s="250"/>
      <c r="AM1" s="250"/>
      <c r="AN1" s="250"/>
      <c r="AO1" s="250"/>
      <c r="AP1" s="250"/>
      <c r="AQ1" s="250"/>
      <c r="AR1" s="250"/>
      <c r="AS1" s="250"/>
      <c r="AT1" s="250"/>
      <c r="AU1" s="250"/>
    </row>
    <row r="2" spans="1:47" x14ac:dyDescent="0.25">
      <c r="A2" s="6"/>
      <c r="B2" s="6"/>
      <c r="C2" s="6"/>
      <c r="D2" s="6"/>
      <c r="E2" s="14"/>
      <c r="F2" s="14"/>
      <c r="G2" s="33"/>
      <c r="H2" s="33"/>
      <c r="I2" s="3"/>
      <c r="J2" s="34"/>
      <c r="K2" s="34"/>
      <c r="L2" s="34"/>
      <c r="M2" s="35"/>
      <c r="N2" s="35"/>
      <c r="O2" s="35"/>
      <c r="P2" s="35"/>
      <c r="Q2" s="35"/>
      <c r="R2" s="35"/>
      <c r="S2" s="35"/>
      <c r="T2" s="35"/>
      <c r="U2" s="35"/>
      <c r="V2" s="35"/>
      <c r="W2" s="14"/>
      <c r="X2" s="14"/>
      <c r="Y2" s="14"/>
      <c r="Z2" s="14"/>
      <c r="AA2" s="14"/>
      <c r="AB2" s="14"/>
      <c r="AC2" s="33"/>
      <c r="AD2" s="10"/>
      <c r="AE2" s="29"/>
      <c r="AF2" s="33"/>
      <c r="AG2" s="33"/>
      <c r="AH2" s="33"/>
      <c r="AI2" s="33"/>
      <c r="AJ2" s="33"/>
      <c r="AK2" s="3"/>
      <c r="AL2" s="40"/>
      <c r="AM2" s="33"/>
      <c r="AN2" s="33"/>
      <c r="AO2" s="33"/>
      <c r="AP2" s="33"/>
      <c r="AQ2" s="33"/>
      <c r="AR2" s="40"/>
      <c r="AS2" s="40"/>
      <c r="AT2" s="40"/>
      <c r="AU2" s="40"/>
    </row>
    <row r="3" spans="1:47" x14ac:dyDescent="0.25">
      <c r="A3" s="6"/>
      <c r="B3" s="6"/>
      <c r="C3" s="6"/>
      <c r="D3" s="6"/>
      <c r="E3" s="14"/>
      <c r="F3" s="14"/>
      <c r="G3" s="33"/>
      <c r="H3" s="33"/>
      <c r="I3" s="3"/>
      <c r="J3" s="34"/>
      <c r="K3" s="34"/>
      <c r="L3" s="34"/>
      <c r="M3" s="35"/>
      <c r="N3" s="35"/>
      <c r="O3" s="35"/>
      <c r="P3" s="35"/>
      <c r="Q3" s="35"/>
      <c r="R3" s="35"/>
      <c r="S3" s="35"/>
      <c r="T3" s="35"/>
      <c r="U3" s="35"/>
      <c r="V3" s="35"/>
      <c r="W3" s="14"/>
      <c r="X3" s="14"/>
      <c r="Y3" s="14"/>
      <c r="Z3" s="14"/>
      <c r="AA3" s="14"/>
      <c r="AB3" s="14"/>
      <c r="AC3" s="14"/>
      <c r="AD3" s="14"/>
      <c r="AE3" s="14"/>
      <c r="AF3" s="14"/>
      <c r="AG3" s="14"/>
      <c r="AH3" s="14"/>
      <c r="AI3" s="14"/>
      <c r="AJ3" s="14"/>
      <c r="AK3" s="14"/>
      <c r="AL3" s="14"/>
      <c r="AM3" s="14"/>
      <c r="AN3" s="14"/>
      <c r="AO3" s="14"/>
      <c r="AP3" s="14"/>
      <c r="AQ3" s="14"/>
      <c r="AR3" s="14"/>
      <c r="AS3" s="14"/>
      <c r="AT3" s="14"/>
      <c r="AU3" s="14"/>
    </row>
    <row r="4" spans="1:47" x14ac:dyDescent="0.25">
      <c r="A4" s="6"/>
      <c r="B4" s="6"/>
      <c r="C4" s="6"/>
      <c r="D4" s="6"/>
      <c r="E4" s="14"/>
      <c r="F4" s="14"/>
      <c r="G4" s="33"/>
      <c r="H4" s="33"/>
      <c r="I4" s="3"/>
      <c r="J4" s="34"/>
      <c r="K4" s="34"/>
      <c r="L4" s="34"/>
      <c r="M4" s="35"/>
      <c r="N4" s="35"/>
      <c r="O4" s="35"/>
      <c r="P4" s="35"/>
      <c r="Q4" s="35"/>
      <c r="R4" s="35"/>
      <c r="S4" s="35"/>
      <c r="T4" s="35"/>
      <c r="U4" s="35"/>
      <c r="V4" s="35"/>
      <c r="W4" s="14"/>
      <c r="X4" s="14"/>
      <c r="Y4" s="14"/>
      <c r="Z4" s="14"/>
      <c r="AA4" s="14"/>
      <c r="AB4" s="14"/>
      <c r="AC4" s="33"/>
      <c r="AD4" s="10"/>
      <c r="AE4" s="29"/>
      <c r="AF4" s="33"/>
      <c r="AG4" s="33"/>
      <c r="AH4" s="33"/>
      <c r="AI4" s="33"/>
      <c r="AJ4" s="33"/>
      <c r="AK4" s="3"/>
      <c r="AL4" s="40"/>
      <c r="AM4" s="33"/>
      <c r="AN4" s="33"/>
      <c r="AP4" s="36"/>
      <c r="AQ4" s="36"/>
      <c r="AR4" s="40"/>
      <c r="AT4" s="42" t="s">
        <v>37</v>
      </c>
      <c r="AU4" s="3">
        <v>45362.350115740737</v>
      </c>
    </row>
    <row r="5" spans="1:47" ht="15.75" thickBot="1" x14ac:dyDescent="0.3">
      <c r="A5" s="6"/>
      <c r="B5" s="6"/>
      <c r="C5" s="6"/>
      <c r="D5" s="6"/>
      <c r="E5" s="14"/>
      <c r="F5" s="14"/>
      <c r="G5" s="33"/>
      <c r="H5" s="33"/>
      <c r="I5" s="3"/>
      <c r="J5" s="34"/>
      <c r="K5" s="34"/>
      <c r="L5" s="34"/>
      <c r="M5" s="35"/>
      <c r="N5" s="35"/>
      <c r="O5" s="35"/>
      <c r="P5" s="35"/>
      <c r="Q5" s="35"/>
      <c r="R5" s="35"/>
      <c r="S5" s="35"/>
      <c r="T5" s="35"/>
      <c r="U5" s="35"/>
      <c r="V5" s="35"/>
      <c r="W5" s="14"/>
      <c r="X5" s="14"/>
      <c r="Y5" s="14"/>
      <c r="Z5" s="14"/>
      <c r="AA5" s="14"/>
      <c r="AB5" s="14"/>
      <c r="AC5" s="33"/>
      <c r="AD5" s="10"/>
      <c r="AE5" s="29"/>
      <c r="AF5" s="33"/>
      <c r="AG5" s="33"/>
      <c r="AH5" s="33"/>
      <c r="AI5" s="33"/>
      <c r="AJ5" s="33"/>
      <c r="AK5" s="3"/>
      <c r="AL5" s="40"/>
      <c r="AM5" s="33"/>
      <c r="AN5" s="33"/>
      <c r="AO5" s="33"/>
      <c r="AP5" s="33"/>
      <c r="AQ5" s="33"/>
      <c r="AR5" s="40"/>
      <c r="AS5" s="40"/>
      <c r="AT5" s="40"/>
      <c r="AU5" s="40"/>
    </row>
    <row r="6" spans="1:47" ht="15.75" thickBot="1" x14ac:dyDescent="0.3">
      <c r="A6" s="6"/>
      <c r="B6" s="67"/>
      <c r="C6" s="68"/>
      <c r="D6" s="68"/>
      <c r="E6" s="68"/>
      <c r="F6" s="68"/>
      <c r="G6" s="68"/>
      <c r="H6" s="68"/>
      <c r="I6" s="68"/>
      <c r="J6" s="69"/>
      <c r="K6" s="69" t="s">
        <v>43</v>
      </c>
      <c r="L6" s="69" t="s">
        <v>44</v>
      </c>
      <c r="M6" s="70"/>
      <c r="N6" s="251" t="s">
        <v>27</v>
      </c>
      <c r="O6" s="252"/>
      <c r="P6" s="252"/>
      <c r="Q6" s="252"/>
      <c r="R6" s="252"/>
      <c r="S6" s="253"/>
      <c r="T6" s="112"/>
      <c r="U6" s="112"/>
      <c r="V6" s="112"/>
      <c r="W6" s="254" t="s">
        <v>28</v>
      </c>
      <c r="X6" s="252"/>
      <c r="Y6" s="252"/>
      <c r="Z6" s="252"/>
      <c r="AA6" s="252"/>
      <c r="AB6" s="253"/>
      <c r="AC6" s="67"/>
      <c r="AD6" s="68"/>
      <c r="AE6" s="71" t="s">
        <v>17</v>
      </c>
      <c r="AF6" s="68" t="s">
        <v>29</v>
      </c>
      <c r="AG6" s="72" t="s">
        <v>29</v>
      </c>
      <c r="AH6" s="68" t="s">
        <v>29</v>
      </c>
      <c r="AI6" s="68" t="s">
        <v>29</v>
      </c>
      <c r="AJ6" s="68" t="s">
        <v>29</v>
      </c>
      <c r="AK6" s="73"/>
      <c r="AL6" s="74"/>
      <c r="AM6" s="72"/>
      <c r="AN6" s="68"/>
      <c r="AO6" s="68"/>
      <c r="AP6" s="68"/>
      <c r="AQ6" s="68"/>
      <c r="AR6" s="74"/>
      <c r="AS6" s="74"/>
      <c r="AT6" s="74"/>
      <c r="AU6" s="75"/>
    </row>
    <row r="7" spans="1:47" x14ac:dyDescent="0.25">
      <c r="A7" s="6"/>
      <c r="B7" s="76"/>
      <c r="C7" s="77"/>
      <c r="D7" s="77"/>
      <c r="E7" s="78"/>
      <c r="F7" s="78"/>
      <c r="G7" s="79"/>
      <c r="H7" s="79"/>
      <c r="I7" s="80"/>
      <c r="J7" s="81" t="s">
        <v>30</v>
      </c>
      <c r="K7" s="82" t="s">
        <v>30</v>
      </c>
      <c r="L7" s="82" t="s">
        <v>30</v>
      </c>
      <c r="M7" s="83" t="s">
        <v>24</v>
      </c>
      <c r="N7" s="84" t="s">
        <v>7</v>
      </c>
      <c r="O7" s="85" t="s">
        <v>13</v>
      </c>
      <c r="P7" s="255" t="s">
        <v>14</v>
      </c>
      <c r="Q7" s="256"/>
      <c r="R7" s="256"/>
      <c r="S7" s="257"/>
      <c r="T7" s="111"/>
      <c r="U7" s="111"/>
      <c r="V7" s="111"/>
      <c r="W7" s="86" t="s">
        <v>7</v>
      </c>
      <c r="X7" s="87" t="s">
        <v>13</v>
      </c>
      <c r="Y7" s="258" t="s">
        <v>14</v>
      </c>
      <c r="Z7" s="256"/>
      <c r="AA7" s="256"/>
      <c r="AB7" s="257"/>
      <c r="AC7" s="88" t="s">
        <v>15</v>
      </c>
      <c r="AD7" s="89" t="s">
        <v>17</v>
      </c>
      <c r="AE7" s="90" t="s">
        <v>18</v>
      </c>
      <c r="AF7" s="79" t="s">
        <v>17</v>
      </c>
      <c r="AG7" s="79" t="s">
        <v>24</v>
      </c>
      <c r="AH7" s="79" t="s">
        <v>19</v>
      </c>
      <c r="AI7" s="79" t="s">
        <v>20</v>
      </c>
      <c r="AJ7" s="79" t="s">
        <v>22</v>
      </c>
      <c r="AK7" s="91" t="s">
        <v>57</v>
      </c>
      <c r="AL7" s="92"/>
      <c r="AM7" s="79"/>
      <c r="AN7" s="79"/>
      <c r="AO7" s="79"/>
      <c r="AP7" s="79"/>
      <c r="AQ7" s="79"/>
      <c r="AR7" s="92"/>
      <c r="AS7" s="92" t="s">
        <v>49</v>
      </c>
      <c r="AT7" s="92" t="s">
        <v>51</v>
      </c>
      <c r="AU7" s="93" t="s">
        <v>52</v>
      </c>
    </row>
    <row r="8" spans="1:47" ht="15.75" thickBot="1" x14ac:dyDescent="0.3">
      <c r="A8" s="6"/>
      <c r="B8" s="94" t="s">
        <v>0</v>
      </c>
      <c r="C8" s="95" t="s">
        <v>1</v>
      </c>
      <c r="D8" s="95" t="s">
        <v>2</v>
      </c>
      <c r="E8" s="96" t="s">
        <v>3</v>
      </c>
      <c r="F8" s="96" t="s">
        <v>4</v>
      </c>
      <c r="G8" s="97" t="s">
        <v>5</v>
      </c>
      <c r="H8" s="97" t="s">
        <v>33</v>
      </c>
      <c r="I8" s="98" t="s">
        <v>6</v>
      </c>
      <c r="J8" s="99" t="s">
        <v>31</v>
      </c>
      <c r="K8" s="99" t="s">
        <v>45</v>
      </c>
      <c r="L8" s="99" t="s">
        <v>45</v>
      </c>
      <c r="M8" s="100" t="s">
        <v>25</v>
      </c>
      <c r="N8" s="101" t="s">
        <v>8</v>
      </c>
      <c r="O8" s="102" t="s">
        <v>9</v>
      </c>
      <c r="P8" s="102" t="s">
        <v>9</v>
      </c>
      <c r="Q8" s="102" t="s">
        <v>10</v>
      </c>
      <c r="R8" s="102" t="s">
        <v>11</v>
      </c>
      <c r="S8" s="100" t="s">
        <v>12</v>
      </c>
      <c r="T8" s="102" t="s">
        <v>195</v>
      </c>
      <c r="U8" s="102" t="s">
        <v>109</v>
      </c>
      <c r="V8" s="102" t="s">
        <v>110</v>
      </c>
      <c r="W8" s="103" t="s">
        <v>8</v>
      </c>
      <c r="X8" s="96" t="s">
        <v>9</v>
      </c>
      <c r="Y8" s="96" t="s">
        <v>9</v>
      </c>
      <c r="Z8" s="96" t="s">
        <v>10</v>
      </c>
      <c r="AA8" s="96" t="s">
        <v>11</v>
      </c>
      <c r="AB8" s="104" t="s">
        <v>12</v>
      </c>
      <c r="AC8" s="105" t="s">
        <v>16</v>
      </c>
      <c r="AD8" s="106" t="s">
        <v>18</v>
      </c>
      <c r="AE8" s="107" t="s">
        <v>36</v>
      </c>
      <c r="AF8" s="97" t="s">
        <v>16</v>
      </c>
      <c r="AG8" s="97" t="s">
        <v>26</v>
      </c>
      <c r="AH8" s="97" t="s">
        <v>53</v>
      </c>
      <c r="AI8" s="97" t="s">
        <v>21</v>
      </c>
      <c r="AJ8" s="97" t="s">
        <v>54</v>
      </c>
      <c r="AK8" s="108" t="s">
        <v>36</v>
      </c>
      <c r="AL8" s="109" t="s">
        <v>39</v>
      </c>
      <c r="AM8" s="97" t="s">
        <v>40</v>
      </c>
      <c r="AN8" s="97" t="s">
        <v>41</v>
      </c>
      <c r="AO8" s="97" t="s">
        <v>46</v>
      </c>
      <c r="AP8" s="97" t="s">
        <v>47</v>
      </c>
      <c r="AQ8" s="97" t="s">
        <v>48</v>
      </c>
      <c r="AR8" s="109" t="s">
        <v>42</v>
      </c>
      <c r="AS8" s="109" t="s">
        <v>50</v>
      </c>
      <c r="AT8" s="109" t="s">
        <v>50</v>
      </c>
      <c r="AU8" s="110" t="s">
        <v>50</v>
      </c>
    </row>
    <row r="9" spans="1:47" s="237" customFormat="1" x14ac:dyDescent="0.25">
      <c r="A9" s="6"/>
      <c r="B9" s="261" t="s">
        <v>314</v>
      </c>
      <c r="C9" s="130"/>
      <c r="D9" s="130"/>
      <c r="E9" s="220">
        <v>0</v>
      </c>
      <c r="F9" s="220">
        <v>0</v>
      </c>
      <c r="G9" s="131">
        <v>0</v>
      </c>
      <c r="H9" s="131">
        <v>0</v>
      </c>
      <c r="I9" s="221">
        <v>0</v>
      </c>
      <c r="J9" s="222">
        <v>1</v>
      </c>
      <c r="K9" s="222">
        <v>0</v>
      </c>
      <c r="L9" s="222">
        <v>0</v>
      </c>
      <c r="M9" s="265">
        <v>0</v>
      </c>
      <c r="N9" s="203">
        <v>0</v>
      </c>
      <c r="O9" s="203">
        <v>0</v>
      </c>
      <c r="P9" s="203">
        <v>0</v>
      </c>
      <c r="Q9" s="203">
        <v>0</v>
      </c>
      <c r="R9" s="203">
        <v>0</v>
      </c>
      <c r="S9" s="203">
        <v>0</v>
      </c>
      <c r="T9" s="203">
        <v>0</v>
      </c>
      <c r="U9" s="203">
        <v>0</v>
      </c>
      <c r="V9" s="203">
        <v>0</v>
      </c>
      <c r="W9" s="269">
        <v>0</v>
      </c>
      <c r="X9" s="220"/>
      <c r="Y9" s="220"/>
      <c r="Z9" s="220"/>
      <c r="AA9" s="220">
        <v>0</v>
      </c>
      <c r="AB9" s="273">
        <v>0</v>
      </c>
      <c r="AC9" s="129">
        <v>0</v>
      </c>
      <c r="AD9" s="204">
        <v>0</v>
      </c>
      <c r="AE9" s="205">
        <v>0</v>
      </c>
      <c r="AF9" s="129">
        <v>0</v>
      </c>
      <c r="AG9" s="129">
        <v>0</v>
      </c>
      <c r="AH9" s="129">
        <v>45323</v>
      </c>
      <c r="AI9" s="129">
        <v>0</v>
      </c>
      <c r="AJ9" s="129">
        <v>0</v>
      </c>
      <c r="AK9" s="277"/>
      <c r="AL9" s="225">
        <v>0</v>
      </c>
      <c r="AM9" s="131">
        <v>0</v>
      </c>
      <c r="AN9" s="131"/>
      <c r="AO9" s="131"/>
      <c r="AP9" s="131"/>
      <c r="AQ9" s="131"/>
      <c r="AR9" s="225">
        <v>0</v>
      </c>
      <c r="AS9" s="225">
        <v>0</v>
      </c>
      <c r="AT9" s="225">
        <v>0</v>
      </c>
      <c r="AU9" s="281">
        <v>0</v>
      </c>
    </row>
    <row r="10" spans="1:47" s="237" customFormat="1" x14ac:dyDescent="0.25">
      <c r="B10" s="262" t="s">
        <v>170</v>
      </c>
      <c r="C10" s="132" t="s">
        <v>310</v>
      </c>
      <c r="D10" s="132" t="s">
        <v>125</v>
      </c>
      <c r="E10" s="133">
        <v>4.585</v>
      </c>
      <c r="F10" s="133">
        <v>5</v>
      </c>
      <c r="G10" s="134">
        <v>0</v>
      </c>
      <c r="H10" s="134" t="s">
        <v>108</v>
      </c>
      <c r="I10" s="223">
        <v>50830</v>
      </c>
      <c r="J10" s="224">
        <v>1</v>
      </c>
      <c r="K10" s="134">
        <v>128000</v>
      </c>
      <c r="L10" s="134">
        <v>128000</v>
      </c>
      <c r="M10" s="266">
        <v>100</v>
      </c>
      <c r="N10" s="38">
        <v>100</v>
      </c>
      <c r="O10" s="38">
        <v>11.111195354099999</v>
      </c>
      <c r="P10" s="198">
        <v>100</v>
      </c>
      <c r="Q10" s="38">
        <v>100</v>
      </c>
      <c r="R10" s="38">
        <v>100</v>
      </c>
      <c r="S10" s="38">
        <v>100</v>
      </c>
      <c r="T10" s="38"/>
      <c r="U10" s="38"/>
      <c r="V10" s="38"/>
      <c r="W10" s="270"/>
      <c r="X10" s="133"/>
      <c r="Y10" s="133"/>
      <c r="Z10" s="133"/>
      <c r="AA10" s="133"/>
      <c r="AB10" s="274"/>
      <c r="AC10" s="37">
        <v>2101680</v>
      </c>
      <c r="AD10" s="11">
        <v>0</v>
      </c>
      <c r="AE10" s="30">
        <v>45323</v>
      </c>
      <c r="AF10" s="37">
        <v>0</v>
      </c>
      <c r="AG10" s="37">
        <v>0</v>
      </c>
      <c r="AH10" s="37">
        <v>35704.054411199999</v>
      </c>
      <c r="AI10" s="37">
        <v>136.41924122946</v>
      </c>
      <c r="AJ10" s="37">
        <v>35840.473652429457</v>
      </c>
      <c r="AK10" s="278"/>
      <c r="AL10" s="135">
        <v>0.4</v>
      </c>
      <c r="AM10" s="134">
        <v>805</v>
      </c>
      <c r="AN10" s="132" t="s">
        <v>311</v>
      </c>
      <c r="AO10" s="132" t="s">
        <v>312</v>
      </c>
      <c r="AP10" s="132" t="s">
        <v>135</v>
      </c>
      <c r="AQ10" s="132" t="s">
        <v>313</v>
      </c>
      <c r="AR10" s="135">
        <v>0</v>
      </c>
      <c r="AS10" s="135">
        <v>0</v>
      </c>
      <c r="AT10" s="135">
        <v>0</v>
      </c>
      <c r="AU10" s="282">
        <v>0</v>
      </c>
    </row>
    <row r="11" spans="1:47" s="237" customFormat="1" x14ac:dyDescent="0.25">
      <c r="B11" s="263" t="s">
        <v>273</v>
      </c>
      <c r="C11" s="199"/>
      <c r="D11" s="199"/>
      <c r="E11" s="200">
        <v>0</v>
      </c>
      <c r="F11" s="200">
        <v>0</v>
      </c>
      <c r="G11" s="129">
        <v>0</v>
      </c>
      <c r="H11" s="129">
        <v>0</v>
      </c>
      <c r="I11" s="201">
        <v>0</v>
      </c>
      <c r="J11" s="202">
        <v>89</v>
      </c>
      <c r="K11" s="129">
        <v>0</v>
      </c>
      <c r="L11" s="129">
        <v>0</v>
      </c>
      <c r="M11" s="267">
        <v>0</v>
      </c>
      <c r="N11" s="208">
        <v>0</v>
      </c>
      <c r="O11" s="208">
        <v>0</v>
      </c>
      <c r="P11" s="208">
        <v>0</v>
      </c>
      <c r="Q11" s="208">
        <v>0</v>
      </c>
      <c r="R11" s="208">
        <v>0</v>
      </c>
      <c r="S11" s="208">
        <v>0</v>
      </c>
      <c r="T11" s="208">
        <v>0</v>
      </c>
      <c r="U11" s="208">
        <v>0</v>
      </c>
      <c r="V11" s="208">
        <v>0</v>
      </c>
      <c r="W11" s="271">
        <v>0</v>
      </c>
      <c r="X11" s="200"/>
      <c r="Y11" s="200"/>
      <c r="Z11" s="200"/>
      <c r="AA11" s="200">
        <v>0</v>
      </c>
      <c r="AB11" s="275">
        <v>0</v>
      </c>
      <c r="AC11" s="207">
        <v>7.0090000000000003</v>
      </c>
      <c r="AD11" s="209">
        <v>0</v>
      </c>
      <c r="AE11" s="210">
        <v>0</v>
      </c>
      <c r="AF11" s="207">
        <v>101112.4368</v>
      </c>
      <c r="AG11" s="207">
        <v>9.9129839999999997E-2</v>
      </c>
      <c r="AH11" s="207">
        <v>45352</v>
      </c>
      <c r="AI11" s="207">
        <v>101112.4368</v>
      </c>
      <c r="AJ11" s="207">
        <v>102547.49483866389</v>
      </c>
      <c r="AK11" s="279"/>
      <c r="AL11" s="206">
        <v>0</v>
      </c>
      <c r="AM11" s="129">
        <v>0</v>
      </c>
      <c r="AN11" s="199"/>
      <c r="AO11" s="199"/>
      <c r="AP11" s="199"/>
      <c r="AQ11" s="199"/>
      <c r="AR11" s="206">
        <v>0</v>
      </c>
      <c r="AS11" s="206">
        <v>0</v>
      </c>
      <c r="AT11" s="206">
        <v>0</v>
      </c>
      <c r="AU11" s="283">
        <v>0</v>
      </c>
    </row>
    <row r="12" spans="1:47" s="237" customFormat="1" x14ac:dyDescent="0.25">
      <c r="B12" s="262" t="s">
        <v>158</v>
      </c>
      <c r="C12" s="132" t="s">
        <v>269</v>
      </c>
      <c r="D12" s="132" t="s">
        <v>125</v>
      </c>
      <c r="E12" s="133">
        <v>4.7649999999999997</v>
      </c>
      <c r="F12" s="133">
        <v>6.5389999999999997</v>
      </c>
      <c r="G12" s="134">
        <v>262</v>
      </c>
      <c r="H12" s="134">
        <v>98</v>
      </c>
      <c r="I12" s="223">
        <v>53509</v>
      </c>
      <c r="J12" s="224">
        <v>89</v>
      </c>
      <c r="K12" s="134">
        <v>369890</v>
      </c>
      <c r="L12" s="134">
        <v>626000</v>
      </c>
      <c r="M12" s="266">
        <v>101.41926956176758</v>
      </c>
      <c r="N12" s="38">
        <v>24.67</v>
      </c>
      <c r="O12" s="38">
        <v>19.162170316699999</v>
      </c>
      <c r="P12" s="197">
        <v>4.9913673432591201</v>
      </c>
      <c r="Q12" s="38">
        <v>3.1588125433718002</v>
      </c>
      <c r="R12" s="38">
        <v>2.52510866278626</v>
      </c>
      <c r="S12" s="38">
        <v>3.5630904986783198</v>
      </c>
      <c r="T12" s="38"/>
      <c r="U12" s="38"/>
      <c r="V12" s="38"/>
      <c r="W12" s="270">
        <v>6.4509999999999996</v>
      </c>
      <c r="X12" s="133">
        <v>6.6109999999999998</v>
      </c>
      <c r="Y12" s="133">
        <v>6.9690000000000003</v>
      </c>
      <c r="Z12" s="133">
        <v>7.0090000000000003</v>
      </c>
      <c r="AA12" s="133">
        <v>7.0220000000000002</v>
      </c>
      <c r="AB12" s="274">
        <v>7.0010000000000003</v>
      </c>
      <c r="AC12" s="37">
        <v>1020000</v>
      </c>
      <c r="AD12" s="11">
        <v>9.9129839999999997E-2</v>
      </c>
      <c r="AE12" s="30">
        <v>45352</v>
      </c>
      <c r="AF12" s="37">
        <v>101112.4368</v>
      </c>
      <c r="AG12" s="37">
        <v>102547.49483866389</v>
      </c>
      <c r="AH12" s="37">
        <v>634.78679999999895</v>
      </c>
      <c r="AI12" s="37">
        <v>404.021267045</v>
      </c>
      <c r="AJ12" s="37">
        <v>1038.808067044999</v>
      </c>
      <c r="AK12" s="278"/>
      <c r="AL12" s="135">
        <v>0.66</v>
      </c>
      <c r="AM12" s="134">
        <v>731</v>
      </c>
      <c r="AN12" s="132" t="s">
        <v>202</v>
      </c>
      <c r="AO12" s="132" t="s">
        <v>270</v>
      </c>
      <c r="AP12" s="132" t="s">
        <v>271</v>
      </c>
      <c r="AQ12" s="132" t="s">
        <v>272</v>
      </c>
      <c r="AR12" s="135">
        <v>0.37759999999999999</v>
      </c>
      <c r="AS12" s="135">
        <v>4.0000000000000002E-4</v>
      </c>
      <c r="AT12" s="135">
        <v>4.0000000000000002E-4</v>
      </c>
      <c r="AU12" s="282">
        <v>0</v>
      </c>
    </row>
    <row r="13" spans="1:47" s="237" customFormat="1" x14ac:dyDescent="0.25">
      <c r="B13" s="263" t="s">
        <v>254</v>
      </c>
      <c r="C13" s="199"/>
      <c r="D13" s="199"/>
      <c r="E13" s="200">
        <v>0</v>
      </c>
      <c r="F13" s="200">
        <v>0</v>
      </c>
      <c r="G13" s="129">
        <v>0</v>
      </c>
      <c r="H13" s="129">
        <v>0</v>
      </c>
      <c r="I13" s="201">
        <v>0</v>
      </c>
      <c r="J13" s="202">
        <v>3</v>
      </c>
      <c r="K13" s="129">
        <v>0</v>
      </c>
      <c r="L13" s="129">
        <v>0</v>
      </c>
      <c r="M13" s="267">
        <v>0</v>
      </c>
      <c r="N13" s="208">
        <v>0</v>
      </c>
      <c r="O13" s="208">
        <v>0</v>
      </c>
      <c r="P13" s="208">
        <v>0</v>
      </c>
      <c r="Q13" s="208">
        <v>0</v>
      </c>
      <c r="R13" s="208">
        <v>0</v>
      </c>
      <c r="S13" s="208">
        <v>0</v>
      </c>
      <c r="T13" s="208">
        <v>0</v>
      </c>
      <c r="U13" s="208">
        <v>0</v>
      </c>
      <c r="V13" s="208">
        <v>0</v>
      </c>
      <c r="W13" s="271">
        <v>0</v>
      </c>
      <c r="X13" s="200"/>
      <c r="Y13" s="200"/>
      <c r="Z13" s="200"/>
      <c r="AA13" s="200">
        <v>0</v>
      </c>
      <c r="AB13" s="275">
        <v>0</v>
      </c>
      <c r="AC13" s="207">
        <v>7.1589999999999998</v>
      </c>
      <c r="AD13" s="209">
        <v>0</v>
      </c>
      <c r="AE13" s="210">
        <v>0</v>
      </c>
      <c r="AF13" s="207">
        <v>153512.99775044998</v>
      </c>
      <c r="AG13" s="207">
        <v>6.5461499999999997E-3</v>
      </c>
      <c r="AH13" s="207">
        <v>45352</v>
      </c>
      <c r="AI13" s="207">
        <v>153512.99775044998</v>
      </c>
      <c r="AJ13" s="207">
        <v>154390.64488228821</v>
      </c>
      <c r="AK13" s="279"/>
      <c r="AL13" s="206">
        <v>0</v>
      </c>
      <c r="AM13" s="129">
        <v>0</v>
      </c>
      <c r="AN13" s="199"/>
      <c r="AO13" s="199"/>
      <c r="AP13" s="199"/>
      <c r="AQ13" s="199"/>
      <c r="AR13" s="206">
        <v>0</v>
      </c>
      <c r="AS13" s="206">
        <v>0</v>
      </c>
      <c r="AT13" s="206">
        <v>0</v>
      </c>
      <c r="AU13" s="283">
        <v>0</v>
      </c>
    </row>
    <row r="14" spans="1:47" s="237" customFormat="1" x14ac:dyDescent="0.25">
      <c r="B14" s="262" t="s">
        <v>153</v>
      </c>
      <c r="C14" s="132" t="s">
        <v>252</v>
      </c>
      <c r="D14" s="132" t="s">
        <v>125</v>
      </c>
      <c r="E14" s="133">
        <v>5.1070000000000002</v>
      </c>
      <c r="F14" s="133">
        <v>5.7469999999999999</v>
      </c>
      <c r="G14" s="134">
        <v>169</v>
      </c>
      <c r="H14" s="134">
        <v>191</v>
      </c>
      <c r="I14" s="223">
        <v>50526</v>
      </c>
      <c r="J14" s="224">
        <v>3</v>
      </c>
      <c r="K14" s="134">
        <v>92932</v>
      </c>
      <c r="L14" s="134">
        <v>105000</v>
      </c>
      <c r="M14" s="266">
        <v>100.57170867919922</v>
      </c>
      <c r="N14" s="38">
        <v>25.01</v>
      </c>
      <c r="O14" s="38">
        <v>15.010369826</v>
      </c>
      <c r="P14" s="197">
        <v>7.6922005012536293E-2</v>
      </c>
      <c r="Q14" s="38">
        <v>7.6857006253583396E-2</v>
      </c>
      <c r="R14" s="38">
        <v>0.89387571572920899</v>
      </c>
      <c r="S14" s="38">
        <v>1.03068332709532</v>
      </c>
      <c r="T14" s="38"/>
      <c r="U14" s="38"/>
      <c r="V14" s="38"/>
      <c r="W14" s="270">
        <v>6.8289999999999997</v>
      </c>
      <c r="X14" s="133">
        <v>6.98</v>
      </c>
      <c r="Y14" s="133">
        <v>7.1589999999999998</v>
      </c>
      <c r="Z14" s="133">
        <v>7.1589999999999998</v>
      </c>
      <c r="AA14" s="133">
        <v>7.1509999999999998</v>
      </c>
      <c r="AB14" s="274">
        <v>7.149</v>
      </c>
      <c r="AC14" s="37">
        <v>23450883</v>
      </c>
      <c r="AD14" s="11">
        <v>6.5461499999999997E-3</v>
      </c>
      <c r="AE14" s="30">
        <v>45352</v>
      </c>
      <c r="AF14" s="37">
        <v>153512.99775044998</v>
      </c>
      <c r="AG14" s="37">
        <v>154390.64488228821</v>
      </c>
      <c r="AH14" s="37">
        <v>598.93555182000262</v>
      </c>
      <c r="AI14" s="37">
        <v>655.8747028122441</v>
      </c>
      <c r="AJ14" s="37">
        <v>1254.8102546322466</v>
      </c>
      <c r="AK14" s="278"/>
      <c r="AL14" s="135">
        <v>0.7</v>
      </c>
      <c r="AM14" s="134">
        <v>739</v>
      </c>
      <c r="AN14" s="132" t="s">
        <v>137</v>
      </c>
      <c r="AO14" s="132" t="s">
        <v>253</v>
      </c>
      <c r="AP14" s="132" t="s">
        <v>136</v>
      </c>
      <c r="AQ14" s="132" t="s">
        <v>114</v>
      </c>
      <c r="AR14" s="135">
        <v>0.32420000000000004</v>
      </c>
      <c r="AS14" s="135">
        <v>0</v>
      </c>
      <c r="AT14" s="135">
        <v>0</v>
      </c>
      <c r="AU14" s="282">
        <v>0</v>
      </c>
    </row>
    <row r="15" spans="1:47" s="237" customFormat="1" x14ac:dyDescent="0.25">
      <c r="B15" s="263" t="s">
        <v>335</v>
      </c>
      <c r="C15" s="199"/>
      <c r="D15" s="199"/>
      <c r="E15" s="200">
        <v>0</v>
      </c>
      <c r="F15" s="200">
        <v>0</v>
      </c>
      <c r="G15" s="129">
        <v>0</v>
      </c>
      <c r="H15" s="129">
        <v>0</v>
      </c>
      <c r="I15" s="201">
        <v>0</v>
      </c>
      <c r="J15" s="202">
        <v>4</v>
      </c>
      <c r="K15" s="129">
        <v>0</v>
      </c>
      <c r="L15" s="129">
        <v>0</v>
      </c>
      <c r="M15" s="267">
        <v>0</v>
      </c>
      <c r="N15" s="208">
        <v>0</v>
      </c>
      <c r="O15" s="208">
        <v>0</v>
      </c>
      <c r="P15" s="208">
        <v>0</v>
      </c>
      <c r="Q15" s="208">
        <v>0</v>
      </c>
      <c r="R15" s="208">
        <v>0</v>
      </c>
      <c r="S15" s="208">
        <v>0</v>
      </c>
      <c r="T15" s="208">
        <v>0</v>
      </c>
      <c r="U15" s="208">
        <v>0</v>
      </c>
      <c r="V15" s="208">
        <v>0</v>
      </c>
      <c r="W15" s="271">
        <v>0</v>
      </c>
      <c r="X15" s="200"/>
      <c r="Y15" s="200"/>
      <c r="Z15" s="200"/>
      <c r="AA15" s="200">
        <v>0</v>
      </c>
      <c r="AB15" s="275">
        <v>0</v>
      </c>
      <c r="AC15" s="207">
        <v>14.036000000000001</v>
      </c>
      <c r="AD15" s="209">
        <v>0</v>
      </c>
      <c r="AE15" s="210">
        <v>0</v>
      </c>
      <c r="AF15" s="207">
        <v>39416.359206749999</v>
      </c>
      <c r="AG15" s="207">
        <v>3.1762039999999998E-2</v>
      </c>
      <c r="AH15" s="207">
        <v>90704</v>
      </c>
      <c r="AI15" s="207">
        <v>39416.359206749999</v>
      </c>
      <c r="AJ15" s="207">
        <v>39298.194533044065</v>
      </c>
      <c r="AK15" s="279"/>
      <c r="AL15" s="206">
        <v>0</v>
      </c>
      <c r="AM15" s="129">
        <v>0</v>
      </c>
      <c r="AN15" s="199"/>
      <c r="AO15" s="199"/>
      <c r="AP15" s="199"/>
      <c r="AQ15" s="199"/>
      <c r="AR15" s="206">
        <v>0</v>
      </c>
      <c r="AS15" s="206">
        <v>0</v>
      </c>
      <c r="AT15" s="206">
        <v>0</v>
      </c>
      <c r="AU15" s="283">
        <v>0</v>
      </c>
    </row>
    <row r="16" spans="1:47" s="237" customFormat="1" x14ac:dyDescent="0.25">
      <c r="B16" s="262" t="s">
        <v>176</v>
      </c>
      <c r="C16" s="132" t="s">
        <v>331</v>
      </c>
      <c r="D16" s="132" t="s">
        <v>125</v>
      </c>
      <c r="E16" s="133">
        <v>5.1890000000000001</v>
      </c>
      <c r="F16" s="133">
        <v>5.9009999999999998</v>
      </c>
      <c r="G16" s="134">
        <v>230</v>
      </c>
      <c r="H16" s="134">
        <v>130</v>
      </c>
      <c r="I16" s="223">
        <v>52352</v>
      </c>
      <c r="J16" s="224">
        <v>3</v>
      </c>
      <c r="K16" s="134">
        <v>375637</v>
      </c>
      <c r="L16" s="134">
        <v>593000</v>
      </c>
      <c r="M16" s="266">
        <v>99.575595855712891</v>
      </c>
      <c r="N16" s="38">
        <v>26.79</v>
      </c>
      <c r="O16" s="38">
        <v>21.5015529149</v>
      </c>
      <c r="P16" s="260">
        <v>66.657974106707798</v>
      </c>
      <c r="Q16" s="38">
        <v>30.703174097124599</v>
      </c>
      <c r="R16" s="38">
        <v>29.6026705849685</v>
      </c>
      <c r="S16" s="38">
        <v>27.5725773712328</v>
      </c>
      <c r="T16" s="38"/>
      <c r="U16" s="38"/>
      <c r="V16" s="38"/>
      <c r="W16" s="270">
        <v>6.9630000000000001</v>
      </c>
      <c r="X16" s="133">
        <v>6.98</v>
      </c>
      <c r="Y16" s="133">
        <v>6.7930000000000001</v>
      </c>
      <c r="Z16" s="133">
        <v>6.95</v>
      </c>
      <c r="AA16" s="133">
        <v>6.9539999999999997</v>
      </c>
      <c r="AB16" s="274">
        <v>6.9610000000000003</v>
      </c>
      <c r="AC16" s="37">
        <v>818265</v>
      </c>
      <c r="AD16" s="11">
        <v>2.5607950000000001E-2</v>
      </c>
      <c r="AE16" s="30">
        <v>45352</v>
      </c>
      <c r="AF16" s="37">
        <v>20954.089206749999</v>
      </c>
      <c r="AG16" s="37">
        <v>20865.159183758937</v>
      </c>
      <c r="AH16" s="37">
        <v>2062.1341744499991</v>
      </c>
      <c r="AI16" s="37">
        <v>99.525985937539005</v>
      </c>
      <c r="AJ16" s="37">
        <v>2161.6601603875383</v>
      </c>
      <c r="AK16" s="278"/>
      <c r="AL16" s="135">
        <v>0.71</v>
      </c>
      <c r="AM16" s="134">
        <v>780</v>
      </c>
      <c r="AN16" s="132" t="s">
        <v>278</v>
      </c>
      <c r="AO16" s="132" t="s">
        <v>332</v>
      </c>
      <c r="AP16" s="132" t="s">
        <v>333</v>
      </c>
      <c r="AQ16" s="132" t="s">
        <v>334</v>
      </c>
      <c r="AR16" s="135">
        <v>0.26450000000000001</v>
      </c>
      <c r="AS16" s="135">
        <v>0</v>
      </c>
      <c r="AT16" s="135">
        <v>0</v>
      </c>
      <c r="AU16" s="282">
        <v>0</v>
      </c>
    </row>
    <row r="17" spans="2:47" s="237" customFormat="1" x14ac:dyDescent="0.25">
      <c r="B17" s="262" t="s">
        <v>180</v>
      </c>
      <c r="C17" s="132" t="s">
        <v>345</v>
      </c>
      <c r="D17" s="132" t="s">
        <v>125</v>
      </c>
      <c r="E17" s="133">
        <v>5.15</v>
      </c>
      <c r="F17" s="133">
        <v>6</v>
      </c>
      <c r="G17" s="134">
        <v>170</v>
      </c>
      <c r="H17" s="134">
        <v>190</v>
      </c>
      <c r="I17" s="223">
        <v>50526</v>
      </c>
      <c r="J17" s="224">
        <v>1</v>
      </c>
      <c r="K17" s="134">
        <v>139000</v>
      </c>
      <c r="L17" s="134">
        <v>139000</v>
      </c>
      <c r="M17" s="266">
        <v>99.841651916503906</v>
      </c>
      <c r="N17" s="38">
        <v>25.17</v>
      </c>
      <c r="O17" s="38">
        <v>10.0268698183</v>
      </c>
      <c r="P17" s="197">
        <v>1.56249426840893E-2</v>
      </c>
      <c r="Q17" s="38">
        <v>0.13379566964515399</v>
      </c>
      <c r="R17" s="38">
        <v>0.182997709108423</v>
      </c>
      <c r="S17" s="38">
        <v>0.19499393587935099</v>
      </c>
      <c r="T17" s="38"/>
      <c r="U17" s="38"/>
      <c r="V17" s="38"/>
      <c r="W17" s="270">
        <v>6.9459999999999997</v>
      </c>
      <c r="X17" s="133">
        <v>7.0389999999999997</v>
      </c>
      <c r="Y17" s="133">
        <v>7.0860000000000003</v>
      </c>
      <c r="Z17" s="133">
        <v>7.0860000000000003</v>
      </c>
      <c r="AA17" s="133">
        <v>7.0860000000000003</v>
      </c>
      <c r="AB17" s="274">
        <v>7.0860000000000003</v>
      </c>
      <c r="AC17" s="37">
        <v>3000000</v>
      </c>
      <c r="AD17" s="11">
        <v>6.1540900000000001E-3</v>
      </c>
      <c r="AE17" s="30">
        <v>45352</v>
      </c>
      <c r="AF17" s="37">
        <v>18462.27</v>
      </c>
      <c r="AG17" s="37">
        <v>18433.035349285125</v>
      </c>
      <c r="AH17" s="37">
        <v>69.060000000000997</v>
      </c>
      <c r="AI17" s="37">
        <v>79.530291250000005</v>
      </c>
      <c r="AJ17" s="37">
        <v>148.590291250001</v>
      </c>
      <c r="AK17" s="278"/>
      <c r="AL17" s="135">
        <v>0.65</v>
      </c>
      <c r="AM17" s="134">
        <v>676</v>
      </c>
      <c r="AN17" s="132" t="s">
        <v>212</v>
      </c>
      <c r="AO17" s="132" t="s">
        <v>113</v>
      </c>
      <c r="AP17" s="132" t="s">
        <v>346</v>
      </c>
      <c r="AQ17" s="132" t="s">
        <v>133</v>
      </c>
      <c r="AR17" s="135">
        <v>0</v>
      </c>
      <c r="AS17" s="135">
        <v>0</v>
      </c>
      <c r="AT17" s="135">
        <v>0</v>
      </c>
      <c r="AU17" s="282">
        <v>0</v>
      </c>
    </row>
    <row r="18" spans="2:47" s="237" customFormat="1" x14ac:dyDescent="0.25">
      <c r="B18" s="263" t="s">
        <v>282</v>
      </c>
      <c r="C18" s="199"/>
      <c r="D18" s="199"/>
      <c r="E18" s="200">
        <v>0</v>
      </c>
      <c r="F18" s="200">
        <v>0</v>
      </c>
      <c r="G18" s="129">
        <v>0</v>
      </c>
      <c r="H18" s="129">
        <v>0</v>
      </c>
      <c r="I18" s="201">
        <v>0</v>
      </c>
      <c r="J18" s="202">
        <v>21</v>
      </c>
      <c r="K18" s="129">
        <v>0</v>
      </c>
      <c r="L18" s="129">
        <v>0</v>
      </c>
      <c r="M18" s="267">
        <v>0</v>
      </c>
      <c r="N18" s="208">
        <v>0</v>
      </c>
      <c r="O18" s="208">
        <v>0</v>
      </c>
      <c r="P18" s="208">
        <v>0</v>
      </c>
      <c r="Q18" s="208">
        <v>0</v>
      </c>
      <c r="R18" s="208">
        <v>0</v>
      </c>
      <c r="S18" s="208">
        <v>0</v>
      </c>
      <c r="T18" s="208">
        <v>0</v>
      </c>
      <c r="U18" s="208">
        <v>0</v>
      </c>
      <c r="V18" s="208">
        <v>0</v>
      </c>
      <c r="W18" s="271">
        <v>0</v>
      </c>
      <c r="X18" s="200"/>
      <c r="Y18" s="200"/>
      <c r="Z18" s="200"/>
      <c r="AA18" s="200">
        <v>0</v>
      </c>
      <c r="AB18" s="275">
        <v>0</v>
      </c>
      <c r="AC18" s="207">
        <v>28.185000000000002</v>
      </c>
      <c r="AD18" s="209">
        <v>0</v>
      </c>
      <c r="AE18" s="210">
        <v>0</v>
      </c>
      <c r="AF18" s="207">
        <v>134435.73250000001</v>
      </c>
      <c r="AG18" s="207">
        <v>9.5015319999999986E-2</v>
      </c>
      <c r="AH18" s="207">
        <v>181408</v>
      </c>
      <c r="AI18" s="207">
        <v>134435.73250000001</v>
      </c>
      <c r="AJ18" s="207">
        <v>135351.71229586343</v>
      </c>
      <c r="AK18" s="279"/>
      <c r="AL18" s="206">
        <v>0</v>
      </c>
      <c r="AM18" s="129">
        <v>0</v>
      </c>
      <c r="AN18" s="199"/>
      <c r="AO18" s="199"/>
      <c r="AP18" s="199"/>
      <c r="AQ18" s="199"/>
      <c r="AR18" s="206">
        <v>0</v>
      </c>
      <c r="AS18" s="206">
        <v>0</v>
      </c>
      <c r="AT18" s="206">
        <v>0</v>
      </c>
      <c r="AU18" s="283">
        <v>0</v>
      </c>
    </row>
    <row r="19" spans="2:47" s="237" customFormat="1" x14ac:dyDescent="0.25">
      <c r="B19" s="262" t="s">
        <v>192</v>
      </c>
      <c r="C19" s="132" t="s">
        <v>382</v>
      </c>
      <c r="D19" s="132" t="s">
        <v>125</v>
      </c>
      <c r="E19" s="133">
        <v>5.26</v>
      </c>
      <c r="F19" s="133">
        <v>6</v>
      </c>
      <c r="G19" s="134">
        <v>230</v>
      </c>
      <c r="H19" s="134">
        <v>130</v>
      </c>
      <c r="I19" s="223">
        <v>52413</v>
      </c>
      <c r="J19" s="224">
        <v>1</v>
      </c>
      <c r="K19" s="134">
        <v>90000</v>
      </c>
      <c r="L19" s="134">
        <v>90000</v>
      </c>
      <c r="M19" s="266">
        <v>100.15545272827148</v>
      </c>
      <c r="N19" s="38">
        <v>46.13</v>
      </c>
      <c r="O19" s="38">
        <v>21.5015529149</v>
      </c>
      <c r="P19" s="197">
        <v>1.04266896013061E-2</v>
      </c>
      <c r="Q19" s="38">
        <v>3.7504041950020598E-3</v>
      </c>
      <c r="R19" s="38">
        <v>1.75772144880293E-3</v>
      </c>
      <c r="S19" s="38">
        <v>1.4756418427303699</v>
      </c>
      <c r="T19" s="38"/>
      <c r="U19" s="38"/>
      <c r="V19" s="38"/>
      <c r="W19" s="270">
        <v>6.63</v>
      </c>
      <c r="X19" s="133">
        <v>6.9359999999999999</v>
      </c>
      <c r="Y19" s="133">
        <v>7.1219999999999999</v>
      </c>
      <c r="Z19" s="133">
        <v>7.1219999999999999</v>
      </c>
      <c r="AA19" s="133">
        <v>7.1219999999999999</v>
      </c>
      <c r="AB19" s="274">
        <v>7.1120000000000001</v>
      </c>
      <c r="AC19" s="37">
        <v>2000000</v>
      </c>
      <c r="AD19" s="11">
        <v>9.7692000000000005E-4</v>
      </c>
      <c r="AE19" s="30">
        <v>45352</v>
      </c>
      <c r="AF19" s="37">
        <v>1953.8400000000001</v>
      </c>
      <c r="AG19" s="37">
        <v>1956.8772975860597</v>
      </c>
      <c r="AH19" s="37">
        <v>4.5399999999999263</v>
      </c>
      <c r="AI19" s="37">
        <v>8.5842323333333326</v>
      </c>
      <c r="AJ19" s="37">
        <v>13.124232333333259</v>
      </c>
      <c r="AK19" s="278"/>
      <c r="AL19" s="135">
        <v>0.25</v>
      </c>
      <c r="AM19" s="134">
        <v>784</v>
      </c>
      <c r="AN19" s="132" t="s">
        <v>202</v>
      </c>
      <c r="AO19" s="132" t="s">
        <v>263</v>
      </c>
      <c r="AP19" s="132" t="s">
        <v>111</v>
      </c>
      <c r="AQ19" s="132" t="s">
        <v>122</v>
      </c>
      <c r="AR19" s="135">
        <v>1</v>
      </c>
      <c r="AS19" s="135">
        <v>0</v>
      </c>
      <c r="AT19" s="135">
        <v>0</v>
      </c>
      <c r="AU19" s="282">
        <v>0</v>
      </c>
    </row>
    <row r="20" spans="2:47" s="237" customFormat="1" x14ac:dyDescent="0.25">
      <c r="B20" s="262" t="s">
        <v>186</v>
      </c>
      <c r="C20" s="132" t="s">
        <v>367</v>
      </c>
      <c r="D20" s="132" t="s">
        <v>125</v>
      </c>
      <c r="E20" s="133">
        <v>5.2569999999999997</v>
      </c>
      <c r="F20" s="133">
        <v>5.9180000000000001</v>
      </c>
      <c r="G20" s="134">
        <v>253</v>
      </c>
      <c r="H20" s="134">
        <v>107</v>
      </c>
      <c r="I20" s="223">
        <v>53083</v>
      </c>
      <c r="J20" s="224">
        <v>8</v>
      </c>
      <c r="K20" s="134">
        <v>279931</v>
      </c>
      <c r="L20" s="134">
        <v>403000</v>
      </c>
      <c r="M20" s="266">
        <v>101.54716873168945</v>
      </c>
      <c r="N20" s="38">
        <v>27.03</v>
      </c>
      <c r="O20" s="38">
        <v>19.162170316699999</v>
      </c>
      <c r="P20" s="197">
        <v>0.285013822963254</v>
      </c>
      <c r="Q20" s="38">
        <v>0.28726853294238602</v>
      </c>
      <c r="R20" s="38">
        <v>0.27325675732480198</v>
      </c>
      <c r="S20" s="38">
        <v>20.506558851698401</v>
      </c>
      <c r="T20" s="38"/>
      <c r="U20" s="38"/>
      <c r="V20" s="38"/>
      <c r="W20" s="270">
        <v>6.3730000000000002</v>
      </c>
      <c r="X20" s="133">
        <v>6.6050000000000004</v>
      </c>
      <c r="Y20" s="133">
        <v>7.056</v>
      </c>
      <c r="Z20" s="133">
        <v>7.056</v>
      </c>
      <c r="AA20" s="133">
        <v>7.056</v>
      </c>
      <c r="AB20" s="274">
        <v>6.5670000000000002</v>
      </c>
      <c r="AC20" s="37">
        <v>250000</v>
      </c>
      <c r="AD20" s="11">
        <v>4.8255010000000001E-2</v>
      </c>
      <c r="AE20" s="30">
        <v>45352</v>
      </c>
      <c r="AF20" s="37">
        <v>12063.752500000001</v>
      </c>
      <c r="AG20" s="37">
        <v>12250.399106548406</v>
      </c>
      <c r="AH20" s="37">
        <v>26.827499999999837</v>
      </c>
      <c r="AI20" s="37">
        <v>52.966815883333332</v>
      </c>
      <c r="AJ20" s="37">
        <v>79.794315883333169</v>
      </c>
      <c r="AK20" s="278"/>
      <c r="AL20" s="135">
        <v>0.74</v>
      </c>
      <c r="AM20" s="134">
        <v>755</v>
      </c>
      <c r="AN20" s="132" t="s">
        <v>202</v>
      </c>
      <c r="AO20" s="132" t="s">
        <v>368</v>
      </c>
      <c r="AP20" s="132" t="s">
        <v>293</v>
      </c>
      <c r="AQ20" s="132" t="s">
        <v>131</v>
      </c>
      <c r="AR20" s="135">
        <v>1.8100000000000002E-2</v>
      </c>
      <c r="AS20" s="135">
        <v>0</v>
      </c>
      <c r="AT20" s="135">
        <v>0</v>
      </c>
      <c r="AU20" s="282">
        <v>0</v>
      </c>
    </row>
    <row r="21" spans="2:47" s="237" customFormat="1" x14ac:dyDescent="0.25">
      <c r="B21" s="262" t="s">
        <v>171</v>
      </c>
      <c r="C21" s="132" t="s">
        <v>315</v>
      </c>
      <c r="D21" s="132" t="s">
        <v>125</v>
      </c>
      <c r="E21" s="133">
        <v>5.2539999999999996</v>
      </c>
      <c r="F21" s="133">
        <v>5.7990000000000004</v>
      </c>
      <c r="G21" s="134">
        <v>217</v>
      </c>
      <c r="H21" s="134">
        <v>143</v>
      </c>
      <c r="I21" s="223">
        <v>51987</v>
      </c>
      <c r="J21" s="224">
        <v>4</v>
      </c>
      <c r="K21" s="134">
        <v>301886</v>
      </c>
      <c r="L21" s="134">
        <v>400000</v>
      </c>
      <c r="M21" s="266">
        <v>100.9955940246582</v>
      </c>
      <c r="N21" s="38">
        <v>27.17</v>
      </c>
      <c r="O21" s="38">
        <v>21.5015529149</v>
      </c>
      <c r="P21" s="197">
        <v>6.8015983087488199E-2</v>
      </c>
      <c r="Q21" s="38">
        <v>0.64201334747845396</v>
      </c>
      <c r="R21" s="38">
        <v>1.237444469725</v>
      </c>
      <c r="S21" s="38">
        <v>16.908268361573398</v>
      </c>
      <c r="T21" s="38"/>
      <c r="U21" s="38"/>
      <c r="V21" s="38"/>
      <c r="W21" s="270">
        <v>6.657</v>
      </c>
      <c r="X21" s="133">
        <v>6.7789999999999999</v>
      </c>
      <c r="Y21" s="133">
        <v>7.149</v>
      </c>
      <c r="Z21" s="133">
        <v>7.141</v>
      </c>
      <c r="AA21" s="133">
        <v>7.133</v>
      </c>
      <c r="AB21" s="274">
        <v>6.8710000000000004</v>
      </c>
      <c r="AC21" s="37">
        <v>2000000</v>
      </c>
      <c r="AD21" s="11">
        <v>1.6932030000000001E-2</v>
      </c>
      <c r="AE21" s="30">
        <v>45352</v>
      </c>
      <c r="AF21" s="37">
        <v>33864.060000000005</v>
      </c>
      <c r="AG21" s="37">
        <v>34201.208557866674</v>
      </c>
      <c r="AH21" s="37">
        <v>90.119999999999095</v>
      </c>
      <c r="AI21" s="37">
        <v>148.66271809999998</v>
      </c>
      <c r="AJ21" s="37">
        <v>238.78271809999907</v>
      </c>
      <c r="AK21" s="278"/>
      <c r="AL21" s="135">
        <v>0.75</v>
      </c>
      <c r="AM21" s="134">
        <v>761</v>
      </c>
      <c r="AN21" s="132" t="s">
        <v>123</v>
      </c>
      <c r="AO21" s="132" t="s">
        <v>316</v>
      </c>
      <c r="AP21" s="132" t="s">
        <v>317</v>
      </c>
      <c r="AQ21" s="132" t="s">
        <v>318</v>
      </c>
      <c r="AR21" s="135">
        <v>0.1072</v>
      </c>
      <c r="AS21" s="135">
        <v>0</v>
      </c>
      <c r="AT21" s="135">
        <v>0</v>
      </c>
      <c r="AU21" s="282">
        <v>0</v>
      </c>
    </row>
    <row r="22" spans="2:47" s="237" customFormat="1" x14ac:dyDescent="0.25">
      <c r="B22" s="262" t="s">
        <v>160</v>
      </c>
      <c r="C22" s="132" t="s">
        <v>277</v>
      </c>
      <c r="D22" s="132" t="s">
        <v>125</v>
      </c>
      <c r="E22" s="133">
        <v>5.3150000000000004</v>
      </c>
      <c r="F22" s="133">
        <v>5.88</v>
      </c>
      <c r="G22" s="134">
        <v>218</v>
      </c>
      <c r="H22" s="134">
        <v>142</v>
      </c>
      <c r="I22" s="223">
        <v>52018</v>
      </c>
      <c r="J22" s="224">
        <v>8</v>
      </c>
      <c r="K22" s="134">
        <v>324584</v>
      </c>
      <c r="L22" s="134">
        <v>468000</v>
      </c>
      <c r="M22" s="266">
        <v>100.44960021972656</v>
      </c>
      <c r="N22" s="38">
        <v>23.85</v>
      </c>
      <c r="O22" s="38">
        <v>21.5015529149</v>
      </c>
      <c r="P22" s="197">
        <v>0.15072522496246701</v>
      </c>
      <c r="Q22" s="38">
        <v>0.420713846337539</v>
      </c>
      <c r="R22" s="38">
        <v>0.54877897325648095</v>
      </c>
      <c r="S22" s="38">
        <v>0.70845152801343203</v>
      </c>
      <c r="T22" s="38"/>
      <c r="U22" s="38"/>
      <c r="V22" s="38"/>
      <c r="W22" s="270">
        <v>6.6040000000000001</v>
      </c>
      <c r="X22" s="133">
        <v>6.6360000000000001</v>
      </c>
      <c r="Y22" s="133">
        <v>6.8680000000000003</v>
      </c>
      <c r="Z22" s="133">
        <v>6.8659999999999997</v>
      </c>
      <c r="AA22" s="133">
        <v>6.8650000000000002</v>
      </c>
      <c r="AB22" s="274">
        <v>6.8639999999999999</v>
      </c>
      <c r="AC22" s="37">
        <v>3000000</v>
      </c>
      <c r="AD22" s="11">
        <v>2.885136E-2</v>
      </c>
      <c r="AE22" s="30">
        <v>45352</v>
      </c>
      <c r="AF22" s="37">
        <v>86554.08</v>
      </c>
      <c r="AG22" s="37">
        <v>86943.227333862291</v>
      </c>
      <c r="AH22" s="37">
        <v>232.74000000000211</v>
      </c>
      <c r="AI22" s="37">
        <v>384.39329025000006</v>
      </c>
      <c r="AJ22" s="37">
        <v>617.13329025000212</v>
      </c>
      <c r="AK22" s="278"/>
      <c r="AL22" s="135">
        <v>0.69</v>
      </c>
      <c r="AM22" s="134">
        <v>781</v>
      </c>
      <c r="AN22" s="132" t="s">
        <v>278</v>
      </c>
      <c r="AO22" s="132" t="s">
        <v>279</v>
      </c>
      <c r="AP22" s="132" t="s">
        <v>280</v>
      </c>
      <c r="AQ22" s="132" t="s">
        <v>281</v>
      </c>
      <c r="AR22" s="135">
        <v>0.39409999999999995</v>
      </c>
      <c r="AS22" s="135">
        <v>0</v>
      </c>
      <c r="AT22" s="135">
        <v>0</v>
      </c>
      <c r="AU22" s="282">
        <v>0</v>
      </c>
    </row>
    <row r="23" spans="2:47" s="237" customFormat="1" x14ac:dyDescent="0.25">
      <c r="B23" s="263" t="s">
        <v>344</v>
      </c>
      <c r="C23" s="199"/>
      <c r="D23" s="199"/>
      <c r="E23" s="200">
        <v>0</v>
      </c>
      <c r="F23" s="200">
        <v>0</v>
      </c>
      <c r="G23" s="129">
        <v>0</v>
      </c>
      <c r="H23" s="129">
        <v>0</v>
      </c>
      <c r="I23" s="201">
        <v>0</v>
      </c>
      <c r="J23" s="202">
        <v>3</v>
      </c>
      <c r="K23" s="129">
        <v>0</v>
      </c>
      <c r="L23" s="129">
        <v>0</v>
      </c>
      <c r="M23" s="267">
        <v>0</v>
      </c>
      <c r="N23" s="208">
        <v>0</v>
      </c>
      <c r="O23" s="208">
        <v>0</v>
      </c>
      <c r="P23" s="208">
        <v>0</v>
      </c>
      <c r="Q23" s="208">
        <v>0</v>
      </c>
      <c r="R23" s="208">
        <v>0</v>
      </c>
      <c r="S23" s="208">
        <v>0</v>
      </c>
      <c r="T23" s="208">
        <v>0</v>
      </c>
      <c r="U23" s="208">
        <v>0</v>
      </c>
      <c r="V23" s="208">
        <v>0</v>
      </c>
      <c r="W23" s="271">
        <v>0</v>
      </c>
      <c r="X23" s="200"/>
      <c r="Y23" s="200"/>
      <c r="Z23" s="200"/>
      <c r="AA23" s="200">
        <v>0</v>
      </c>
      <c r="AB23" s="275">
        <v>0</v>
      </c>
      <c r="AC23" s="207">
        <v>7.0860000000000003</v>
      </c>
      <c r="AD23" s="209">
        <v>0</v>
      </c>
      <c r="AE23" s="210">
        <v>0</v>
      </c>
      <c r="AF23" s="207">
        <v>18665.129999999997</v>
      </c>
      <c r="AG23" s="207">
        <v>1.8665129999999999E-2</v>
      </c>
      <c r="AH23" s="207">
        <v>45352</v>
      </c>
      <c r="AI23" s="207">
        <v>18665.129999999997</v>
      </c>
      <c r="AJ23" s="207">
        <v>18767.12731970329</v>
      </c>
      <c r="AK23" s="279"/>
      <c r="AL23" s="206">
        <v>0</v>
      </c>
      <c r="AM23" s="129">
        <v>0</v>
      </c>
      <c r="AN23" s="199"/>
      <c r="AO23" s="199"/>
      <c r="AP23" s="199"/>
      <c r="AQ23" s="199"/>
      <c r="AR23" s="206">
        <v>0</v>
      </c>
      <c r="AS23" s="206">
        <v>0</v>
      </c>
      <c r="AT23" s="206">
        <v>0</v>
      </c>
      <c r="AU23" s="283">
        <v>0</v>
      </c>
    </row>
    <row r="24" spans="2:47" s="237" customFormat="1" x14ac:dyDescent="0.25">
      <c r="B24" s="262" t="s">
        <v>179</v>
      </c>
      <c r="C24" s="132" t="s">
        <v>340</v>
      </c>
      <c r="D24" s="132" t="s">
        <v>125</v>
      </c>
      <c r="E24" s="133">
        <v>5.5529999999999999</v>
      </c>
      <c r="F24" s="133">
        <v>6.2430000000000003</v>
      </c>
      <c r="G24" s="134">
        <v>242</v>
      </c>
      <c r="H24" s="134">
        <v>118</v>
      </c>
      <c r="I24" s="223">
        <v>52749</v>
      </c>
      <c r="J24" s="224">
        <v>3</v>
      </c>
      <c r="K24" s="134">
        <v>205251</v>
      </c>
      <c r="L24" s="134">
        <v>246000</v>
      </c>
      <c r="M24" s="266">
        <v>100.54645919799805</v>
      </c>
      <c r="N24" s="38">
        <v>31.88</v>
      </c>
      <c r="O24" s="38">
        <v>12.0609634215</v>
      </c>
      <c r="P24" s="197">
        <v>1.9911556121182401</v>
      </c>
      <c r="Q24" s="38">
        <v>8.1898173852097393</v>
      </c>
      <c r="R24" s="38">
        <v>12.4464810864469</v>
      </c>
      <c r="S24" s="38">
        <v>15.399790133223</v>
      </c>
      <c r="T24" s="38"/>
      <c r="U24" s="38"/>
      <c r="V24" s="38"/>
      <c r="W24" s="270">
        <v>6.7270000000000003</v>
      </c>
      <c r="X24" s="133">
        <v>7.0359999999999996</v>
      </c>
      <c r="Y24" s="133">
        <v>7.157</v>
      </c>
      <c r="Z24" s="133">
        <v>7.0860000000000003</v>
      </c>
      <c r="AA24" s="133">
        <v>7.0309999999999997</v>
      </c>
      <c r="AB24" s="274">
        <v>6.99</v>
      </c>
      <c r="AC24" s="37">
        <v>1000000</v>
      </c>
      <c r="AD24" s="11">
        <v>1.8665129999999999E-2</v>
      </c>
      <c r="AE24" s="30">
        <v>45352</v>
      </c>
      <c r="AF24" s="37">
        <v>18665.129999999997</v>
      </c>
      <c r="AG24" s="37">
        <v>18767.12731970329</v>
      </c>
      <c r="AH24" s="37">
        <v>69.849999999999767</v>
      </c>
      <c r="AI24" s="37">
        <v>86.696119949999996</v>
      </c>
      <c r="AJ24" s="37">
        <v>156.54611994999976</v>
      </c>
      <c r="AK24" s="278"/>
      <c r="AL24" s="135">
        <v>0.76</v>
      </c>
      <c r="AM24" s="134">
        <v>717</v>
      </c>
      <c r="AN24" s="132" t="s">
        <v>202</v>
      </c>
      <c r="AO24" s="132" t="s">
        <v>341</v>
      </c>
      <c r="AP24" s="132" t="s">
        <v>342</v>
      </c>
      <c r="AQ24" s="132" t="s">
        <v>343</v>
      </c>
      <c r="AR24" s="135">
        <v>0.25950000000000001</v>
      </c>
      <c r="AS24" s="135">
        <v>0</v>
      </c>
      <c r="AT24" s="135">
        <v>0</v>
      </c>
      <c r="AU24" s="282">
        <v>0</v>
      </c>
    </row>
    <row r="25" spans="2:47" s="237" customFormat="1" x14ac:dyDescent="0.25">
      <c r="B25" s="263" t="s">
        <v>225</v>
      </c>
      <c r="C25" s="199"/>
      <c r="D25" s="199"/>
      <c r="E25" s="200">
        <v>0</v>
      </c>
      <c r="F25" s="200">
        <v>0</v>
      </c>
      <c r="G25" s="129">
        <v>0</v>
      </c>
      <c r="H25" s="129">
        <v>0</v>
      </c>
      <c r="I25" s="201">
        <v>0</v>
      </c>
      <c r="J25" s="202">
        <v>565</v>
      </c>
      <c r="K25" s="129">
        <v>0</v>
      </c>
      <c r="L25" s="129">
        <v>0</v>
      </c>
      <c r="M25" s="267">
        <v>0</v>
      </c>
      <c r="N25" s="208">
        <v>0</v>
      </c>
      <c r="O25" s="208">
        <v>0</v>
      </c>
      <c r="P25" s="208">
        <v>0</v>
      </c>
      <c r="Q25" s="208">
        <v>0</v>
      </c>
      <c r="R25" s="208">
        <v>0</v>
      </c>
      <c r="S25" s="208">
        <v>0</v>
      </c>
      <c r="T25" s="208">
        <v>0</v>
      </c>
      <c r="U25" s="208">
        <v>0</v>
      </c>
      <c r="V25" s="208">
        <v>0</v>
      </c>
      <c r="W25" s="271">
        <v>0</v>
      </c>
      <c r="X25" s="200"/>
      <c r="Y25" s="200"/>
      <c r="Z25" s="200"/>
      <c r="AA25" s="200">
        <v>0</v>
      </c>
      <c r="AB25" s="275">
        <v>0</v>
      </c>
      <c r="AC25" s="207">
        <v>26.381999999999998</v>
      </c>
      <c r="AD25" s="209">
        <v>0</v>
      </c>
      <c r="AE25" s="210">
        <v>0</v>
      </c>
      <c r="AF25" s="207">
        <v>433435.16275000002</v>
      </c>
      <c r="AG25" s="207">
        <v>0.18616577000000001</v>
      </c>
      <c r="AH25" s="207">
        <v>181408</v>
      </c>
      <c r="AI25" s="207">
        <v>433435.16275000002</v>
      </c>
      <c r="AJ25" s="207">
        <v>439292.01566706935</v>
      </c>
      <c r="AK25" s="279"/>
      <c r="AL25" s="206">
        <v>0</v>
      </c>
      <c r="AM25" s="129">
        <v>0</v>
      </c>
      <c r="AN25" s="199"/>
      <c r="AO25" s="199"/>
      <c r="AP25" s="199"/>
      <c r="AQ25" s="199"/>
      <c r="AR25" s="206">
        <v>0</v>
      </c>
      <c r="AS25" s="206">
        <v>0</v>
      </c>
      <c r="AT25" s="206">
        <v>0</v>
      </c>
      <c r="AU25" s="283">
        <v>0</v>
      </c>
    </row>
    <row r="26" spans="2:47" s="237" customFormat="1" x14ac:dyDescent="0.25">
      <c r="B26" s="262" t="s">
        <v>193</v>
      </c>
      <c r="C26" s="132" t="s">
        <v>383</v>
      </c>
      <c r="D26" s="132" t="s">
        <v>125</v>
      </c>
      <c r="E26" s="133">
        <v>5.73</v>
      </c>
      <c r="F26" s="133">
        <v>6.5</v>
      </c>
      <c r="G26" s="134">
        <v>233</v>
      </c>
      <c r="H26" s="134">
        <v>127</v>
      </c>
      <c r="I26" s="223">
        <v>52444</v>
      </c>
      <c r="J26" s="224">
        <v>1</v>
      </c>
      <c r="K26" s="134">
        <v>200000</v>
      </c>
      <c r="L26" s="134">
        <v>200000</v>
      </c>
      <c r="M26" s="266">
        <v>99.234424591064453</v>
      </c>
      <c r="N26" s="38">
        <v>45.32</v>
      </c>
      <c r="O26" s="38">
        <v>21.5015529149</v>
      </c>
      <c r="P26" s="38">
        <v>23.8748345738708</v>
      </c>
      <c r="Q26" s="38">
        <v>23.226353592575801</v>
      </c>
      <c r="R26" s="38">
        <v>47.790872189822899</v>
      </c>
      <c r="S26" s="38">
        <v>33.586058563897097</v>
      </c>
      <c r="T26" s="38"/>
      <c r="U26" s="38"/>
      <c r="V26" s="38"/>
      <c r="W26" s="270">
        <v>6.9960000000000004</v>
      </c>
      <c r="X26" s="133">
        <v>7.0289999999999999</v>
      </c>
      <c r="Y26" s="133">
        <v>7.0259999999999998</v>
      </c>
      <c r="Z26" s="133">
        <v>7.0270000000000001</v>
      </c>
      <c r="AA26" s="133">
        <v>6.9939999999999998</v>
      </c>
      <c r="AB26" s="274">
        <v>7.0119999999999996</v>
      </c>
      <c r="AC26" s="37">
        <v>1000000</v>
      </c>
      <c r="AD26" s="11">
        <v>1.27406E-3</v>
      </c>
      <c r="AE26" s="30">
        <v>45352</v>
      </c>
      <c r="AF26" s="37">
        <v>1274.06</v>
      </c>
      <c r="AG26" s="37">
        <v>1264.3061099449158</v>
      </c>
      <c r="AH26" s="37">
        <v>32.07999999999987</v>
      </c>
      <c r="AI26" s="37">
        <v>6.2368185</v>
      </c>
      <c r="AJ26" s="37">
        <v>38.316818499999869</v>
      </c>
      <c r="AK26" s="278"/>
      <c r="AL26" s="135">
        <v>0.56000000000000005</v>
      </c>
      <c r="AM26" s="134">
        <v>797</v>
      </c>
      <c r="AN26" s="132" t="s">
        <v>202</v>
      </c>
      <c r="AO26" s="132" t="s">
        <v>138</v>
      </c>
      <c r="AP26" s="132" t="s">
        <v>384</v>
      </c>
      <c r="AQ26" s="132" t="s">
        <v>241</v>
      </c>
      <c r="AR26" s="135">
        <v>1</v>
      </c>
      <c r="AS26" s="135">
        <v>0</v>
      </c>
      <c r="AT26" s="135">
        <v>0</v>
      </c>
      <c r="AU26" s="282">
        <v>0</v>
      </c>
    </row>
    <row r="27" spans="2:47" s="237" customFormat="1" x14ac:dyDescent="0.25">
      <c r="B27" s="262" t="s">
        <v>187</v>
      </c>
      <c r="C27" s="132" t="s">
        <v>369</v>
      </c>
      <c r="D27" s="132" t="s">
        <v>125</v>
      </c>
      <c r="E27" s="133">
        <v>5.7270000000000003</v>
      </c>
      <c r="F27" s="133">
        <v>6.4219999999999997</v>
      </c>
      <c r="G27" s="134">
        <v>227</v>
      </c>
      <c r="H27" s="134">
        <v>133</v>
      </c>
      <c r="I27" s="223">
        <v>52779</v>
      </c>
      <c r="J27" s="224">
        <v>398</v>
      </c>
      <c r="K27" s="134">
        <v>283671</v>
      </c>
      <c r="L27" s="134">
        <v>625000</v>
      </c>
      <c r="M27" s="266">
        <v>100.62992858886719</v>
      </c>
      <c r="N27" s="38">
        <v>34.43</v>
      </c>
      <c r="O27" s="38">
        <v>21.5015529149</v>
      </c>
      <c r="P27" s="197">
        <v>1.15135842253885</v>
      </c>
      <c r="Q27" s="38">
        <v>4.6869763148258397</v>
      </c>
      <c r="R27" s="38">
        <v>21.055861993263299</v>
      </c>
      <c r="S27" s="38">
        <v>15.089128769538499</v>
      </c>
      <c r="T27" s="38"/>
      <c r="U27" s="38"/>
      <c r="V27" s="38"/>
      <c r="W27" s="270">
        <v>6.3159999999999998</v>
      </c>
      <c r="X27" s="133">
        <v>6.6</v>
      </c>
      <c r="Y27" s="133">
        <v>6.9580000000000002</v>
      </c>
      <c r="Z27" s="133">
        <v>6.9059999999999997</v>
      </c>
      <c r="AA27" s="133">
        <v>6.61</v>
      </c>
      <c r="AB27" s="274">
        <v>6.726</v>
      </c>
      <c r="AC27" s="37">
        <v>161000</v>
      </c>
      <c r="AD27" s="11">
        <v>3.8168750000000001E-2</v>
      </c>
      <c r="AE27" s="30">
        <v>45352</v>
      </c>
      <c r="AF27" s="37">
        <v>6145.1687499999998</v>
      </c>
      <c r="AG27" s="37">
        <v>6183.8789247903824</v>
      </c>
      <c r="AH27" s="37">
        <v>19.888329999999467</v>
      </c>
      <c r="AI27" s="37">
        <v>29.422734914299998</v>
      </c>
      <c r="AJ27" s="37">
        <v>49.311064914299465</v>
      </c>
      <c r="AK27" s="278"/>
      <c r="AL27" s="135">
        <v>0.6</v>
      </c>
      <c r="AM27" s="134">
        <v>769</v>
      </c>
      <c r="AN27" s="132" t="s">
        <v>202</v>
      </c>
      <c r="AO27" s="132" t="s">
        <v>119</v>
      </c>
      <c r="AP27" s="132" t="s">
        <v>370</v>
      </c>
      <c r="AQ27" s="132" t="s">
        <v>371</v>
      </c>
      <c r="AR27" s="135">
        <v>0.1734</v>
      </c>
      <c r="AS27" s="135">
        <v>3.0999999999999999E-3</v>
      </c>
      <c r="AT27" s="135">
        <v>0</v>
      </c>
      <c r="AU27" s="282">
        <v>0</v>
      </c>
    </row>
    <row r="28" spans="2:47" s="237" customFormat="1" x14ac:dyDescent="0.25">
      <c r="B28" s="262" t="s">
        <v>145</v>
      </c>
      <c r="C28" s="132" t="s">
        <v>222</v>
      </c>
      <c r="D28" s="132" t="s">
        <v>125</v>
      </c>
      <c r="E28" s="133">
        <v>5.7460000000000004</v>
      </c>
      <c r="F28" s="133">
        <v>6.4109999999999996</v>
      </c>
      <c r="G28" s="134">
        <v>240</v>
      </c>
      <c r="H28" s="134">
        <v>120</v>
      </c>
      <c r="I28" s="223">
        <v>52963</v>
      </c>
      <c r="J28" s="224">
        <v>145</v>
      </c>
      <c r="K28" s="134">
        <v>323061</v>
      </c>
      <c r="L28" s="134">
        <v>719000</v>
      </c>
      <c r="M28" s="266">
        <v>101.32038879394531</v>
      </c>
      <c r="N28" s="38">
        <v>30.07</v>
      </c>
      <c r="O28" s="38">
        <v>19.162170316699999</v>
      </c>
      <c r="P28" s="197">
        <v>0.66412945596653306</v>
      </c>
      <c r="Q28" s="38">
        <v>19.172762649065501</v>
      </c>
      <c r="R28" s="38">
        <v>21.651920372950201</v>
      </c>
      <c r="S28" s="38">
        <v>17.872390723858299</v>
      </c>
      <c r="T28" s="38"/>
      <c r="U28" s="38"/>
      <c r="V28" s="38"/>
      <c r="W28" s="270">
        <v>6.3029999999999999</v>
      </c>
      <c r="X28" s="133">
        <v>6.6139999999999999</v>
      </c>
      <c r="Y28" s="133">
        <v>7.0350000000000001</v>
      </c>
      <c r="Z28" s="133">
        <v>6.6130000000000004</v>
      </c>
      <c r="AA28" s="133">
        <v>6.5460000000000003</v>
      </c>
      <c r="AB28" s="274">
        <v>6.6479999999999997</v>
      </c>
      <c r="AC28" s="37">
        <v>3100000</v>
      </c>
      <c r="AD28" s="11">
        <v>0.1163806</v>
      </c>
      <c r="AE28" s="30">
        <v>45352</v>
      </c>
      <c r="AF28" s="37">
        <v>360779.86</v>
      </c>
      <c r="AG28" s="37">
        <v>365543.55684225156</v>
      </c>
      <c r="AH28" s="37">
        <v>940.5710000000123</v>
      </c>
      <c r="AI28" s="37">
        <v>1732.0379971050004</v>
      </c>
      <c r="AJ28" s="37">
        <v>2672.6089971050128</v>
      </c>
      <c r="AK28" s="278"/>
      <c r="AL28" s="135">
        <v>0.67</v>
      </c>
      <c r="AM28" s="134">
        <v>738</v>
      </c>
      <c r="AN28" s="132" t="s">
        <v>202</v>
      </c>
      <c r="AO28" s="132" t="s">
        <v>127</v>
      </c>
      <c r="AP28" s="132" t="s">
        <v>223</v>
      </c>
      <c r="AQ28" s="132" t="s">
        <v>224</v>
      </c>
      <c r="AR28" s="135">
        <v>0.62960000000000005</v>
      </c>
      <c r="AS28" s="135">
        <v>1E-4</v>
      </c>
      <c r="AT28" s="135">
        <v>0</v>
      </c>
      <c r="AU28" s="282">
        <v>0</v>
      </c>
    </row>
    <row r="29" spans="2:47" s="237" customFormat="1" x14ac:dyDescent="0.25">
      <c r="B29" s="262" t="s">
        <v>163</v>
      </c>
      <c r="C29" s="132" t="s">
        <v>289</v>
      </c>
      <c r="D29" s="132" t="s">
        <v>125</v>
      </c>
      <c r="E29" s="133">
        <v>5.7089999999999996</v>
      </c>
      <c r="F29" s="133">
        <v>6.4279999999999999</v>
      </c>
      <c r="G29" s="134">
        <v>243</v>
      </c>
      <c r="H29" s="134">
        <v>117</v>
      </c>
      <c r="I29" s="223">
        <v>52932</v>
      </c>
      <c r="J29" s="224">
        <v>21</v>
      </c>
      <c r="K29" s="134">
        <v>354704</v>
      </c>
      <c r="L29" s="134">
        <v>626000</v>
      </c>
      <c r="M29" s="266">
        <v>101.63130569458008</v>
      </c>
      <c r="N29" s="38">
        <v>29.49</v>
      </c>
      <c r="O29" s="38">
        <v>19.162170316699999</v>
      </c>
      <c r="P29" s="198">
        <v>79.270332014694603</v>
      </c>
      <c r="Q29" s="38">
        <v>41.872359724494103</v>
      </c>
      <c r="R29" s="38">
        <v>24.879929677267899</v>
      </c>
      <c r="S29" s="38">
        <v>19.235069761429699</v>
      </c>
      <c r="T29" s="38"/>
      <c r="U29" s="38"/>
      <c r="V29" s="38"/>
      <c r="W29" s="270">
        <v>6.2670000000000003</v>
      </c>
      <c r="X29" s="133">
        <v>6.5759999999999996</v>
      </c>
      <c r="Y29" s="133">
        <v>3.7679999999999998</v>
      </c>
      <c r="Z29" s="133">
        <v>5.8360000000000003</v>
      </c>
      <c r="AA29" s="133">
        <v>6.41</v>
      </c>
      <c r="AB29" s="274">
        <v>6.5739999999999998</v>
      </c>
      <c r="AC29" s="37">
        <v>2150000</v>
      </c>
      <c r="AD29" s="11">
        <v>3.0342359999999999E-2</v>
      </c>
      <c r="AE29" s="30">
        <v>45352</v>
      </c>
      <c r="AF29" s="37">
        <v>65236.074000000001</v>
      </c>
      <c r="AG29" s="37">
        <v>66300.273790082472</v>
      </c>
      <c r="AH29" s="37">
        <v>9290.2145000000073</v>
      </c>
      <c r="AI29" s="37">
        <v>354.55881753875002</v>
      </c>
      <c r="AJ29" s="37">
        <v>9644.7733175387566</v>
      </c>
      <c r="AK29" s="278"/>
      <c r="AL29" s="135">
        <v>0.69</v>
      </c>
      <c r="AM29" s="134">
        <v>716</v>
      </c>
      <c r="AN29" s="132" t="s">
        <v>202</v>
      </c>
      <c r="AO29" s="132" t="s">
        <v>207</v>
      </c>
      <c r="AP29" s="132" t="s">
        <v>290</v>
      </c>
      <c r="AQ29" s="132" t="s">
        <v>291</v>
      </c>
      <c r="AR29" s="135">
        <v>0.32380000000000003</v>
      </c>
      <c r="AS29" s="135">
        <v>0</v>
      </c>
      <c r="AT29" s="135">
        <v>0</v>
      </c>
      <c r="AU29" s="282">
        <v>0</v>
      </c>
    </row>
    <row r="30" spans="2:47" s="237" customFormat="1" x14ac:dyDescent="0.25">
      <c r="B30" s="263" t="s">
        <v>200</v>
      </c>
      <c r="C30" s="199"/>
      <c r="D30" s="199"/>
      <c r="E30" s="200">
        <v>0</v>
      </c>
      <c r="F30" s="200">
        <v>0</v>
      </c>
      <c r="G30" s="129">
        <v>0</v>
      </c>
      <c r="H30" s="129">
        <v>0</v>
      </c>
      <c r="I30" s="201">
        <v>0</v>
      </c>
      <c r="J30" s="202">
        <v>433</v>
      </c>
      <c r="K30" s="129">
        <v>0</v>
      </c>
      <c r="L30" s="129">
        <v>0</v>
      </c>
      <c r="M30" s="267">
        <v>0</v>
      </c>
      <c r="N30" s="208">
        <v>0</v>
      </c>
      <c r="O30" s="208">
        <v>0</v>
      </c>
      <c r="P30" s="208">
        <v>0</v>
      </c>
      <c r="Q30" s="208">
        <v>0</v>
      </c>
      <c r="R30" s="208">
        <v>0</v>
      </c>
      <c r="S30" s="208">
        <v>0</v>
      </c>
      <c r="T30" s="208">
        <v>0</v>
      </c>
      <c r="U30" s="208">
        <v>0</v>
      </c>
      <c r="V30" s="208">
        <v>0</v>
      </c>
      <c r="W30" s="271">
        <v>0</v>
      </c>
      <c r="X30" s="200"/>
      <c r="Y30" s="200"/>
      <c r="Z30" s="200"/>
      <c r="AA30" s="200">
        <v>0</v>
      </c>
      <c r="AB30" s="275">
        <v>0</v>
      </c>
      <c r="AC30" s="207">
        <v>86.358000000000004</v>
      </c>
      <c r="AD30" s="209">
        <v>0</v>
      </c>
      <c r="AE30" s="210">
        <v>0</v>
      </c>
      <c r="AF30" s="207">
        <v>1167420.8087359299</v>
      </c>
      <c r="AG30" s="207">
        <v>0.75656977000000003</v>
      </c>
      <c r="AH30" s="207">
        <v>589576</v>
      </c>
      <c r="AI30" s="207">
        <v>1167420.8087359299</v>
      </c>
      <c r="AJ30" s="207">
        <v>1174142.5079490701</v>
      </c>
      <c r="AK30" s="279"/>
      <c r="AL30" s="206">
        <v>0</v>
      </c>
      <c r="AM30" s="129">
        <v>0</v>
      </c>
      <c r="AN30" s="199"/>
      <c r="AO30" s="199"/>
      <c r="AP30" s="199"/>
      <c r="AQ30" s="199"/>
      <c r="AR30" s="206">
        <v>0</v>
      </c>
      <c r="AS30" s="206">
        <v>0</v>
      </c>
      <c r="AT30" s="206">
        <v>0</v>
      </c>
      <c r="AU30" s="283">
        <v>0</v>
      </c>
    </row>
    <row r="31" spans="2:47" s="237" customFormat="1" x14ac:dyDescent="0.25">
      <c r="B31" s="262" t="s">
        <v>189</v>
      </c>
      <c r="C31" s="132" t="s">
        <v>375</v>
      </c>
      <c r="D31" s="132" t="s">
        <v>125</v>
      </c>
      <c r="E31" s="133">
        <v>5.7969999999999997</v>
      </c>
      <c r="F31" s="133">
        <v>6.2549999999999999</v>
      </c>
      <c r="G31" s="134">
        <v>207</v>
      </c>
      <c r="H31" s="134">
        <v>153</v>
      </c>
      <c r="I31" s="223">
        <v>51683</v>
      </c>
      <c r="J31" s="224">
        <v>6</v>
      </c>
      <c r="K31" s="134">
        <v>109167</v>
      </c>
      <c r="L31" s="134">
        <v>182000</v>
      </c>
      <c r="M31" s="266">
        <v>101.22550964355469</v>
      </c>
      <c r="N31" s="38">
        <v>34.9</v>
      </c>
      <c r="O31" s="38">
        <v>12.0609634215</v>
      </c>
      <c r="P31" s="197">
        <v>8.1293252934280993</v>
      </c>
      <c r="Q31" s="38">
        <v>7.0351586499601604</v>
      </c>
      <c r="R31" s="38">
        <v>6.9234850187422401</v>
      </c>
      <c r="S31" s="38">
        <v>64.2352865116587</v>
      </c>
      <c r="T31" s="38"/>
      <c r="U31" s="38"/>
      <c r="V31" s="38"/>
      <c r="W31" s="270">
        <v>6.5149999999999997</v>
      </c>
      <c r="X31" s="133">
        <v>7.0720000000000001</v>
      </c>
      <c r="Y31" s="133">
        <v>7.1479999999999997</v>
      </c>
      <c r="Z31" s="133">
        <v>7.1680000000000001</v>
      </c>
      <c r="AA31" s="133">
        <v>7.17</v>
      </c>
      <c r="AB31" s="274">
        <v>5.452</v>
      </c>
      <c r="AC31" s="37">
        <v>1252000</v>
      </c>
      <c r="AD31" s="11">
        <v>2.9699499999999998E-3</v>
      </c>
      <c r="AE31" s="30">
        <v>45352</v>
      </c>
      <c r="AF31" s="37">
        <v>3718.3773999999999</v>
      </c>
      <c r="AG31" s="37">
        <v>3763.9464736207578</v>
      </c>
      <c r="AH31" s="37">
        <v>36.408160000000422</v>
      </c>
      <c r="AI31" s="37">
        <v>18.138743242766669</v>
      </c>
      <c r="AJ31" s="37">
        <v>54.546903242767087</v>
      </c>
      <c r="AK31" s="278"/>
      <c r="AL31" s="135">
        <v>0.7</v>
      </c>
      <c r="AM31" s="134">
        <v>775</v>
      </c>
      <c r="AN31" s="132" t="s">
        <v>202</v>
      </c>
      <c r="AO31" s="132" t="s">
        <v>134</v>
      </c>
      <c r="AP31" s="132" t="s">
        <v>376</v>
      </c>
      <c r="AQ31" s="132" t="s">
        <v>377</v>
      </c>
      <c r="AR31" s="135">
        <v>0.80610000000000004</v>
      </c>
      <c r="AS31" s="135">
        <v>0</v>
      </c>
      <c r="AT31" s="135">
        <v>0</v>
      </c>
      <c r="AU31" s="282">
        <v>0</v>
      </c>
    </row>
    <row r="32" spans="2:47" s="237" customFormat="1" x14ac:dyDescent="0.25">
      <c r="B32" s="262" t="s">
        <v>190</v>
      </c>
      <c r="C32" s="132" t="s">
        <v>378</v>
      </c>
      <c r="D32" s="132" t="s">
        <v>125</v>
      </c>
      <c r="E32" s="133">
        <v>5.8479999999999999</v>
      </c>
      <c r="F32" s="133">
        <v>6.5</v>
      </c>
      <c r="G32" s="134">
        <v>225</v>
      </c>
      <c r="H32" s="134">
        <v>135</v>
      </c>
      <c r="I32" s="223">
        <v>52291</v>
      </c>
      <c r="J32" s="224">
        <v>4</v>
      </c>
      <c r="K32" s="134">
        <v>357587</v>
      </c>
      <c r="L32" s="134">
        <v>417000</v>
      </c>
      <c r="M32" s="266">
        <v>99.370994567871094</v>
      </c>
      <c r="N32" s="38">
        <v>35.81</v>
      </c>
      <c r="O32" s="38">
        <v>21.5015529149</v>
      </c>
      <c r="P32" s="197">
        <v>10.1402767268477</v>
      </c>
      <c r="Q32" s="38">
        <v>93.527164671050997</v>
      </c>
      <c r="R32" s="38">
        <v>75.790533420252203</v>
      </c>
      <c r="S32" s="38">
        <v>51.0997191520078</v>
      </c>
      <c r="T32" s="38"/>
      <c r="U32" s="38"/>
      <c r="V32" s="38"/>
      <c r="W32" s="270">
        <v>6.94</v>
      </c>
      <c r="X32" s="133">
        <v>7.0369999999999999</v>
      </c>
      <c r="Y32" s="133">
        <v>7.11</v>
      </c>
      <c r="Z32" s="133">
        <v>6.65</v>
      </c>
      <c r="AA32" s="133">
        <v>6.6820000000000004</v>
      </c>
      <c r="AB32" s="274">
        <v>6.8360000000000003</v>
      </c>
      <c r="AC32" s="37">
        <v>500000</v>
      </c>
      <c r="AD32" s="11">
        <v>5.4138199999999997E-3</v>
      </c>
      <c r="AE32" s="30">
        <v>45352</v>
      </c>
      <c r="AF32" s="37">
        <v>2706.91</v>
      </c>
      <c r="AG32" s="37">
        <v>2689.8833890571591</v>
      </c>
      <c r="AH32" s="37">
        <v>30.430000000000128</v>
      </c>
      <c r="AI32" s="37">
        <v>13.339970266666667</v>
      </c>
      <c r="AJ32" s="37">
        <v>43.769970266666796</v>
      </c>
      <c r="AK32" s="278"/>
      <c r="AL32" s="135">
        <v>0.68</v>
      </c>
      <c r="AM32" s="134">
        <v>756</v>
      </c>
      <c r="AN32" s="132" t="s">
        <v>202</v>
      </c>
      <c r="AO32" s="132" t="s">
        <v>379</v>
      </c>
      <c r="AP32" s="132" t="s">
        <v>380</v>
      </c>
      <c r="AQ32" s="132" t="s">
        <v>381</v>
      </c>
      <c r="AR32" s="135">
        <v>0</v>
      </c>
      <c r="AS32" s="135">
        <v>0</v>
      </c>
      <c r="AT32" s="135">
        <v>0</v>
      </c>
      <c r="AU32" s="282">
        <v>0</v>
      </c>
    </row>
    <row r="33" spans="2:47" s="237" customFormat="1" x14ac:dyDescent="0.25">
      <c r="B33" s="262" t="s">
        <v>147</v>
      </c>
      <c r="C33" s="132" t="s">
        <v>230</v>
      </c>
      <c r="D33" s="132" t="s">
        <v>125</v>
      </c>
      <c r="E33" s="133">
        <v>5.8220000000000001</v>
      </c>
      <c r="F33" s="133">
        <v>6.5</v>
      </c>
      <c r="G33" s="134">
        <v>249</v>
      </c>
      <c r="H33" s="134">
        <v>111</v>
      </c>
      <c r="I33" s="223">
        <v>52963</v>
      </c>
      <c r="J33" s="224">
        <v>17</v>
      </c>
      <c r="K33" s="134">
        <v>278209</v>
      </c>
      <c r="L33" s="134">
        <v>400000</v>
      </c>
      <c r="M33" s="266">
        <v>100.86654281616211</v>
      </c>
      <c r="N33" s="38">
        <v>25.98</v>
      </c>
      <c r="O33" s="38">
        <v>19.162170316699999</v>
      </c>
      <c r="P33" s="197">
        <v>0.42155734348052798</v>
      </c>
      <c r="Q33" s="38">
        <v>0.414895411922311</v>
      </c>
      <c r="R33" s="38">
        <v>8.3797930918507308</v>
      </c>
      <c r="S33" s="38">
        <v>4.4599782842154703</v>
      </c>
      <c r="T33" s="38"/>
      <c r="U33" s="38"/>
      <c r="V33" s="38"/>
      <c r="W33" s="270">
        <v>6.4790000000000001</v>
      </c>
      <c r="X33" s="133">
        <v>6.6550000000000002</v>
      </c>
      <c r="Y33" s="133">
        <v>7.0579999999999998</v>
      </c>
      <c r="Z33" s="133">
        <v>7.0579999999999998</v>
      </c>
      <c r="AA33" s="133">
        <v>6.9029999999999996</v>
      </c>
      <c r="AB33" s="274">
        <v>6.9829999999999997</v>
      </c>
      <c r="AC33" s="37">
        <v>5000000</v>
      </c>
      <c r="AD33" s="11">
        <v>4.8949189999999997E-2</v>
      </c>
      <c r="AE33" s="30">
        <v>45352</v>
      </c>
      <c r="AF33" s="37">
        <v>244745.94999999998</v>
      </c>
      <c r="AG33" s="37">
        <v>246866.77844757269</v>
      </c>
      <c r="AH33" s="37">
        <v>550.85000000003322</v>
      </c>
      <c r="AI33" s="37">
        <v>1190.0983080000001</v>
      </c>
      <c r="AJ33" s="37">
        <v>1740.9483080000332</v>
      </c>
      <c r="AK33" s="278"/>
      <c r="AL33" s="135">
        <v>0.69</v>
      </c>
      <c r="AM33" s="134">
        <v>759</v>
      </c>
      <c r="AN33" s="132" t="s">
        <v>202</v>
      </c>
      <c r="AO33" s="132" t="s">
        <v>231</v>
      </c>
      <c r="AP33" s="132" t="s">
        <v>232</v>
      </c>
      <c r="AQ33" s="132" t="s">
        <v>233</v>
      </c>
      <c r="AR33" s="135">
        <v>0.20079999999999998</v>
      </c>
      <c r="AS33" s="135">
        <v>0</v>
      </c>
      <c r="AT33" s="135">
        <v>0</v>
      </c>
      <c r="AU33" s="282">
        <v>0</v>
      </c>
    </row>
    <row r="34" spans="2:47" s="237" customFormat="1" x14ac:dyDescent="0.25">
      <c r="B34" s="262" t="s">
        <v>165</v>
      </c>
      <c r="C34" s="132" t="s">
        <v>295</v>
      </c>
      <c r="D34" s="132" t="s">
        <v>125</v>
      </c>
      <c r="E34" s="133">
        <v>5.8079999999999998</v>
      </c>
      <c r="F34" s="133">
        <v>6.5659999999999998</v>
      </c>
      <c r="G34" s="134">
        <v>231</v>
      </c>
      <c r="H34" s="134">
        <v>129</v>
      </c>
      <c r="I34" s="223">
        <v>52566</v>
      </c>
      <c r="J34" s="224">
        <v>51</v>
      </c>
      <c r="K34" s="134">
        <v>250527</v>
      </c>
      <c r="L34" s="134">
        <v>624000</v>
      </c>
      <c r="M34" s="266">
        <v>100.94180297851563</v>
      </c>
      <c r="N34" s="38">
        <v>29.5</v>
      </c>
      <c r="O34" s="38">
        <v>19.162170316699999</v>
      </c>
      <c r="P34" s="197">
        <v>0.72484219389715698</v>
      </c>
      <c r="Q34" s="38">
        <v>2.21186740641296</v>
      </c>
      <c r="R34" s="38">
        <v>1.61583125725363</v>
      </c>
      <c r="S34" s="38">
        <v>7.5302506175981403</v>
      </c>
      <c r="T34" s="38"/>
      <c r="U34" s="38"/>
      <c r="V34" s="38"/>
      <c r="W34" s="270">
        <v>6.3890000000000002</v>
      </c>
      <c r="X34" s="133">
        <v>6.6429999999999998</v>
      </c>
      <c r="Y34" s="133">
        <v>7.01</v>
      </c>
      <c r="Z34" s="133">
        <v>6.9850000000000003</v>
      </c>
      <c r="AA34" s="133">
        <v>6.9950000000000001</v>
      </c>
      <c r="AB34" s="274">
        <v>6.89</v>
      </c>
      <c r="AC34" s="37">
        <v>1750000</v>
      </c>
      <c r="AD34" s="11">
        <v>3.1655330000000002E-2</v>
      </c>
      <c r="AE34" s="30">
        <v>45352</v>
      </c>
      <c r="AF34" s="37">
        <v>55396.827500000007</v>
      </c>
      <c r="AG34" s="37">
        <v>55918.556471398166</v>
      </c>
      <c r="AH34" s="37">
        <v>153.89499999999072</v>
      </c>
      <c r="AI34" s="37">
        <v>268.86549689999993</v>
      </c>
      <c r="AJ34" s="37">
        <v>422.76049689999064</v>
      </c>
      <c r="AK34" s="278"/>
      <c r="AL34" s="135">
        <v>0.65</v>
      </c>
      <c r="AM34" s="134">
        <v>773</v>
      </c>
      <c r="AN34" s="132" t="s">
        <v>202</v>
      </c>
      <c r="AO34" s="132" t="s">
        <v>296</v>
      </c>
      <c r="AP34" s="132" t="s">
        <v>111</v>
      </c>
      <c r="AQ34" s="132" t="s">
        <v>297</v>
      </c>
      <c r="AR34" s="135">
        <v>0.3372</v>
      </c>
      <c r="AS34" s="135">
        <v>0</v>
      </c>
      <c r="AT34" s="135">
        <v>0</v>
      </c>
      <c r="AU34" s="282">
        <v>0</v>
      </c>
    </row>
    <row r="35" spans="2:47" s="237" customFormat="1" x14ac:dyDescent="0.25">
      <c r="B35" s="262" t="s">
        <v>161</v>
      </c>
      <c r="C35" s="132" t="s">
        <v>283</v>
      </c>
      <c r="D35" s="132" t="s">
        <v>125</v>
      </c>
      <c r="E35" s="133">
        <v>5.8310000000000004</v>
      </c>
      <c r="F35" s="133">
        <v>6.5</v>
      </c>
      <c r="G35" s="134">
        <v>257</v>
      </c>
      <c r="H35" s="134">
        <v>103</v>
      </c>
      <c r="I35" s="223">
        <v>53206</v>
      </c>
      <c r="J35" s="224">
        <v>19</v>
      </c>
      <c r="K35" s="134">
        <v>331454</v>
      </c>
      <c r="L35" s="134">
        <v>417000</v>
      </c>
      <c r="M35" s="266">
        <v>101.12393188476563</v>
      </c>
      <c r="N35" s="38">
        <v>25.1</v>
      </c>
      <c r="O35" s="38">
        <v>19.162170316699999</v>
      </c>
      <c r="P35" s="197">
        <v>1.2049495100915699</v>
      </c>
      <c r="Q35" s="38">
        <v>30.75351821988</v>
      </c>
      <c r="R35" s="38">
        <v>26.811701022058699</v>
      </c>
      <c r="S35" s="38">
        <v>17.219020571468</v>
      </c>
      <c r="T35" s="38"/>
      <c r="U35" s="38"/>
      <c r="V35" s="38"/>
      <c r="W35" s="270">
        <v>6.4809999999999999</v>
      </c>
      <c r="X35" s="133">
        <v>6.6239999999999997</v>
      </c>
      <c r="Y35" s="133">
        <v>6.98</v>
      </c>
      <c r="Z35" s="133">
        <v>6.335</v>
      </c>
      <c r="AA35" s="133">
        <v>6.4379999999999997</v>
      </c>
      <c r="AB35" s="274">
        <v>6.6680000000000001</v>
      </c>
      <c r="AC35" s="37">
        <v>1150000</v>
      </c>
      <c r="AD35" s="11">
        <v>6.7501000000000005E-2</v>
      </c>
      <c r="AE35" s="30">
        <v>45352</v>
      </c>
      <c r="AF35" s="37">
        <v>77626.150000000009</v>
      </c>
      <c r="AG35" s="37">
        <v>78498.615050766006</v>
      </c>
      <c r="AH35" s="37">
        <v>217.6259999999923</v>
      </c>
      <c r="AI35" s="37">
        <v>378.25588154666667</v>
      </c>
      <c r="AJ35" s="37">
        <v>595.88188154665897</v>
      </c>
      <c r="AK35" s="278"/>
      <c r="AL35" s="135">
        <v>0.67</v>
      </c>
      <c r="AM35" s="134">
        <v>763</v>
      </c>
      <c r="AN35" s="132" t="s">
        <v>202</v>
      </c>
      <c r="AO35" s="132" t="s">
        <v>115</v>
      </c>
      <c r="AP35" s="132" t="s">
        <v>284</v>
      </c>
      <c r="AQ35" s="132" t="s">
        <v>285</v>
      </c>
      <c r="AR35" s="135">
        <v>0.10589999999999999</v>
      </c>
      <c r="AS35" s="135">
        <v>0</v>
      </c>
      <c r="AT35" s="135">
        <v>0</v>
      </c>
      <c r="AU35" s="282">
        <v>0</v>
      </c>
    </row>
    <row r="36" spans="2:47" s="237" customFormat="1" x14ac:dyDescent="0.25">
      <c r="B36" s="262" t="s">
        <v>188</v>
      </c>
      <c r="C36" s="132" t="s">
        <v>372</v>
      </c>
      <c r="D36" s="132" t="s">
        <v>125</v>
      </c>
      <c r="E36" s="133">
        <v>5.7949999999999999</v>
      </c>
      <c r="F36" s="133">
        <v>6.5</v>
      </c>
      <c r="G36" s="134">
        <v>230</v>
      </c>
      <c r="H36" s="134">
        <v>129</v>
      </c>
      <c r="I36" s="223">
        <v>52444</v>
      </c>
      <c r="J36" s="224">
        <v>7</v>
      </c>
      <c r="K36" s="134">
        <v>412351</v>
      </c>
      <c r="L36" s="134">
        <v>561000</v>
      </c>
      <c r="M36" s="266">
        <v>99.767147064208984</v>
      </c>
      <c r="N36" s="38">
        <v>27.56</v>
      </c>
      <c r="O36" s="38">
        <v>12.7627914286</v>
      </c>
      <c r="P36" s="260">
        <v>17.873945824416701</v>
      </c>
      <c r="Q36" s="38">
        <v>11.939514091053899</v>
      </c>
      <c r="R36" s="38">
        <v>10.808563160260199</v>
      </c>
      <c r="S36" s="38">
        <v>5.7677172466590099</v>
      </c>
      <c r="T36" s="38"/>
      <c r="U36" s="38"/>
      <c r="V36" s="38"/>
      <c r="W36" s="270">
        <v>6.6970000000000001</v>
      </c>
      <c r="X36" s="133">
        <v>6.7750000000000004</v>
      </c>
      <c r="Y36" s="133">
        <v>6.75</v>
      </c>
      <c r="Z36" s="133">
        <v>6.7789999999999999</v>
      </c>
      <c r="AA36" s="133">
        <v>6.7839999999999998</v>
      </c>
      <c r="AB36" s="274">
        <v>6.806</v>
      </c>
      <c r="AC36" s="37">
        <v>193000</v>
      </c>
      <c r="AD36" s="11">
        <v>2.4795049999999999E-2</v>
      </c>
      <c r="AE36" s="30">
        <v>45352</v>
      </c>
      <c r="AF36" s="37">
        <v>4785.4446499999995</v>
      </c>
      <c r="AG36" s="37">
        <v>4774.3016016418205</v>
      </c>
      <c r="AH36" s="37">
        <v>89.810620000000313</v>
      </c>
      <c r="AI36" s="37">
        <v>23.543420241375003</v>
      </c>
      <c r="AJ36" s="37">
        <v>113.35404024137532</v>
      </c>
      <c r="AK36" s="278"/>
      <c r="AL36" s="135">
        <v>0.59</v>
      </c>
      <c r="AM36" s="134">
        <v>788</v>
      </c>
      <c r="AN36" s="132" t="s">
        <v>123</v>
      </c>
      <c r="AO36" s="132" t="s">
        <v>373</v>
      </c>
      <c r="AP36" s="132" t="s">
        <v>374</v>
      </c>
      <c r="AQ36" s="132" t="s">
        <v>115</v>
      </c>
      <c r="AR36" s="135">
        <v>0.18739999999999998</v>
      </c>
      <c r="AS36" s="135">
        <v>0</v>
      </c>
      <c r="AT36" s="135">
        <v>0</v>
      </c>
      <c r="AU36" s="282">
        <v>0</v>
      </c>
    </row>
    <row r="37" spans="2:47" s="237" customFormat="1" x14ac:dyDescent="0.25">
      <c r="B37" s="262" t="s">
        <v>182</v>
      </c>
      <c r="C37" s="132" t="s">
        <v>351</v>
      </c>
      <c r="D37" s="132" t="s">
        <v>125</v>
      </c>
      <c r="E37" s="133">
        <v>5.78</v>
      </c>
      <c r="F37" s="133">
        <v>6.5</v>
      </c>
      <c r="G37" s="134">
        <v>232</v>
      </c>
      <c r="H37" s="134">
        <v>128</v>
      </c>
      <c r="I37" s="223">
        <v>52413</v>
      </c>
      <c r="J37" s="224">
        <v>2</v>
      </c>
      <c r="K37" s="134">
        <v>277324</v>
      </c>
      <c r="L37" s="134">
        <v>311000</v>
      </c>
      <c r="M37" s="266">
        <v>98.169013977050781</v>
      </c>
      <c r="N37" s="38">
        <v>34.93</v>
      </c>
      <c r="O37" s="38">
        <v>21.5015529149</v>
      </c>
      <c r="P37" s="197">
        <v>0.60674109625922201</v>
      </c>
      <c r="Q37" s="38">
        <v>0.84932197510934104</v>
      </c>
      <c r="R37" s="38">
        <v>0.57347308355317805</v>
      </c>
      <c r="S37" s="38">
        <v>0.51239329574037695</v>
      </c>
      <c r="T37" s="38"/>
      <c r="U37" s="38"/>
      <c r="V37" s="38"/>
      <c r="W37" s="270">
        <v>7.3250000000000002</v>
      </c>
      <c r="X37" s="133">
        <v>7.1159999999999997</v>
      </c>
      <c r="Y37" s="133">
        <v>6.8730000000000002</v>
      </c>
      <c r="Z37" s="133">
        <v>6.875</v>
      </c>
      <c r="AA37" s="133">
        <v>6.8730000000000002</v>
      </c>
      <c r="AB37" s="274">
        <v>6.8719999999999999</v>
      </c>
      <c r="AC37" s="37">
        <v>2275000</v>
      </c>
      <c r="AD37" s="11">
        <v>7.6977199999999999E-3</v>
      </c>
      <c r="AE37" s="30">
        <v>45352</v>
      </c>
      <c r="AF37" s="37">
        <v>17512.312999999998</v>
      </c>
      <c r="AG37" s="37">
        <v>17191.664996674881</v>
      </c>
      <c r="AH37" s="37">
        <v>46.614749999999418</v>
      </c>
      <c r="AI37" s="37">
        <v>84.575501995833335</v>
      </c>
      <c r="AJ37" s="37">
        <v>131.19025199583274</v>
      </c>
      <c r="AK37" s="278"/>
      <c r="AL37" s="135">
        <v>0.76</v>
      </c>
      <c r="AM37" s="134">
        <v>785</v>
      </c>
      <c r="AN37" s="132" t="s">
        <v>278</v>
      </c>
      <c r="AO37" s="132" t="s">
        <v>352</v>
      </c>
      <c r="AP37" s="132" t="s">
        <v>353</v>
      </c>
      <c r="AQ37" s="132" t="s">
        <v>354</v>
      </c>
      <c r="AR37" s="135">
        <v>0.2495</v>
      </c>
      <c r="AS37" s="135">
        <v>0</v>
      </c>
      <c r="AT37" s="135">
        <v>0</v>
      </c>
      <c r="AU37" s="282">
        <v>0</v>
      </c>
    </row>
    <row r="38" spans="2:47" s="237" customFormat="1" x14ac:dyDescent="0.25">
      <c r="B38" s="262" t="s">
        <v>181</v>
      </c>
      <c r="C38" s="132" t="s">
        <v>347</v>
      </c>
      <c r="D38" s="132" t="s">
        <v>125</v>
      </c>
      <c r="E38" s="133">
        <v>5.82</v>
      </c>
      <c r="F38" s="133">
        <v>6.5</v>
      </c>
      <c r="G38" s="134">
        <v>237</v>
      </c>
      <c r="H38" s="134">
        <v>123</v>
      </c>
      <c r="I38" s="223">
        <v>52628</v>
      </c>
      <c r="J38" s="224">
        <v>2</v>
      </c>
      <c r="K38" s="134">
        <v>205236</v>
      </c>
      <c r="L38" s="134">
        <v>241000</v>
      </c>
      <c r="M38" s="266">
        <v>98.630405426025391</v>
      </c>
      <c r="N38" s="38">
        <v>31.05</v>
      </c>
      <c r="O38" s="38">
        <v>21.5015529149</v>
      </c>
      <c r="P38" s="197">
        <v>7.4098124821841997E-3</v>
      </c>
      <c r="Q38" s="38">
        <v>7.0454736879832502E-3</v>
      </c>
      <c r="R38" s="38">
        <v>9.3956540503703501E-3</v>
      </c>
      <c r="S38" s="38">
        <v>8.1905690677786004E-3</v>
      </c>
      <c r="T38" s="38"/>
      <c r="U38" s="38"/>
      <c r="V38" s="38"/>
      <c r="W38" s="270">
        <v>7.1760000000000002</v>
      </c>
      <c r="X38" s="133">
        <v>7.1369999999999996</v>
      </c>
      <c r="Y38" s="133">
        <v>7.0839999999999996</v>
      </c>
      <c r="Z38" s="133">
        <v>7.0839999999999996</v>
      </c>
      <c r="AA38" s="133">
        <v>7.0839999999999996</v>
      </c>
      <c r="AB38" s="274">
        <v>7.0839999999999996</v>
      </c>
      <c r="AC38" s="37">
        <v>1000000</v>
      </c>
      <c r="AD38" s="11">
        <v>1.8075549999999999E-2</v>
      </c>
      <c r="AE38" s="30">
        <v>45352</v>
      </c>
      <c r="AF38" s="37">
        <v>18075.55</v>
      </c>
      <c r="AG38" s="37">
        <v>17827.988247983929</v>
      </c>
      <c r="AH38" s="37">
        <v>37.600000000002218</v>
      </c>
      <c r="AI38" s="37">
        <v>87.848777500000011</v>
      </c>
      <c r="AJ38" s="37">
        <v>125.44877750000222</v>
      </c>
      <c r="AK38" s="278"/>
      <c r="AL38" s="135">
        <v>0.76</v>
      </c>
      <c r="AM38" s="134">
        <v>795</v>
      </c>
      <c r="AN38" s="132" t="s">
        <v>348</v>
      </c>
      <c r="AO38" s="132" t="s">
        <v>349</v>
      </c>
      <c r="AP38" s="132" t="s">
        <v>350</v>
      </c>
      <c r="AQ38" s="132" t="s">
        <v>129</v>
      </c>
      <c r="AR38" s="135">
        <v>0</v>
      </c>
      <c r="AS38" s="135">
        <v>0</v>
      </c>
      <c r="AT38" s="135">
        <v>0</v>
      </c>
      <c r="AU38" s="282">
        <v>0</v>
      </c>
    </row>
    <row r="39" spans="2:47" s="237" customFormat="1" x14ac:dyDescent="0.25">
      <c r="B39" s="262" t="s">
        <v>174</v>
      </c>
      <c r="C39" s="132" t="s">
        <v>326</v>
      </c>
      <c r="D39" s="132" t="s">
        <v>125</v>
      </c>
      <c r="E39" s="133">
        <v>5.83</v>
      </c>
      <c r="F39" s="133">
        <v>6.5</v>
      </c>
      <c r="G39" s="134">
        <v>249</v>
      </c>
      <c r="H39" s="134">
        <v>111</v>
      </c>
      <c r="I39" s="223">
        <v>52932</v>
      </c>
      <c r="J39" s="224">
        <v>4</v>
      </c>
      <c r="K39" s="134">
        <v>183333</v>
      </c>
      <c r="L39" s="134">
        <v>346000</v>
      </c>
      <c r="M39" s="266">
        <v>99.740139007568359</v>
      </c>
      <c r="N39" s="38">
        <v>35.06</v>
      </c>
      <c r="O39" s="38">
        <v>19.162170316699999</v>
      </c>
      <c r="P39" s="197">
        <v>5.1381492268001097</v>
      </c>
      <c r="Q39" s="38">
        <v>89.370552778030003</v>
      </c>
      <c r="R39" s="38">
        <v>67.834557339057895</v>
      </c>
      <c r="S39" s="38">
        <v>43.933637998481402</v>
      </c>
      <c r="T39" s="38"/>
      <c r="U39" s="38"/>
      <c r="V39" s="38"/>
      <c r="W39" s="270">
        <v>6.806</v>
      </c>
      <c r="X39" s="133">
        <v>7.0090000000000003</v>
      </c>
      <c r="Y39" s="133">
        <v>7.1660000000000004</v>
      </c>
      <c r="Z39" s="133">
        <v>5.8810000000000002</v>
      </c>
      <c r="AA39" s="133">
        <v>6.3159999999999998</v>
      </c>
      <c r="AB39" s="274">
        <v>6.6840000000000002</v>
      </c>
      <c r="AC39" s="37">
        <v>1080000</v>
      </c>
      <c r="AD39" s="11">
        <v>1.4528620000000001E-2</v>
      </c>
      <c r="AE39" s="30">
        <v>45352</v>
      </c>
      <c r="AF39" s="37">
        <v>15690.909600000001</v>
      </c>
      <c r="AG39" s="37">
        <v>15650.135046591889</v>
      </c>
      <c r="AH39" s="37">
        <v>99.035999999998253</v>
      </c>
      <c r="AI39" s="37">
        <v>76.712819039999999</v>
      </c>
      <c r="AJ39" s="37">
        <v>175.74881903999824</v>
      </c>
      <c r="AK39" s="278"/>
      <c r="AL39" s="135">
        <v>0.59</v>
      </c>
      <c r="AM39" s="134">
        <v>788</v>
      </c>
      <c r="AN39" s="132" t="s">
        <v>327</v>
      </c>
      <c r="AO39" s="132" t="s">
        <v>328</v>
      </c>
      <c r="AP39" s="132" t="s">
        <v>329</v>
      </c>
      <c r="AQ39" s="132" t="s">
        <v>285</v>
      </c>
      <c r="AR39" s="135">
        <v>1</v>
      </c>
      <c r="AS39" s="135">
        <v>0</v>
      </c>
      <c r="AT39" s="135">
        <v>0</v>
      </c>
      <c r="AU39" s="282">
        <v>0</v>
      </c>
    </row>
    <row r="40" spans="2:47" s="237" customFormat="1" x14ac:dyDescent="0.25">
      <c r="B40" s="262" t="s">
        <v>148</v>
      </c>
      <c r="C40" s="132" t="s">
        <v>234</v>
      </c>
      <c r="D40" s="132" t="s">
        <v>125</v>
      </c>
      <c r="E40" s="133">
        <v>5.84</v>
      </c>
      <c r="F40" s="133">
        <v>6.5</v>
      </c>
      <c r="G40" s="134">
        <v>256</v>
      </c>
      <c r="H40" s="134">
        <v>104</v>
      </c>
      <c r="I40" s="223">
        <v>53175</v>
      </c>
      <c r="J40" s="224">
        <v>9</v>
      </c>
      <c r="K40" s="134">
        <v>283141</v>
      </c>
      <c r="L40" s="134">
        <v>417000</v>
      </c>
      <c r="M40" s="266">
        <v>101.46961212158203</v>
      </c>
      <c r="N40" s="38">
        <v>21.71</v>
      </c>
      <c r="O40" s="38">
        <v>19.162170316699999</v>
      </c>
      <c r="P40" s="197">
        <v>2.0949813335319498</v>
      </c>
      <c r="Q40" s="38">
        <v>39.686084531624601</v>
      </c>
      <c r="R40" s="38">
        <v>26.991285640251299</v>
      </c>
      <c r="S40" s="38">
        <v>31.765130559251102</v>
      </c>
      <c r="T40" s="38"/>
      <c r="U40" s="38"/>
      <c r="V40" s="38"/>
      <c r="W40" s="270">
        <v>6.5720000000000001</v>
      </c>
      <c r="X40" s="133">
        <v>6.6420000000000003</v>
      </c>
      <c r="Y40" s="133">
        <v>7.0410000000000004</v>
      </c>
      <c r="Z40" s="133">
        <v>6.008</v>
      </c>
      <c r="AA40" s="133">
        <v>6.42</v>
      </c>
      <c r="AB40" s="274">
        <v>6.2729999999999997</v>
      </c>
      <c r="AC40" s="37">
        <v>2500000</v>
      </c>
      <c r="AD40" s="11">
        <v>9.6721909999999994E-2</v>
      </c>
      <c r="AE40" s="30">
        <v>45352</v>
      </c>
      <c r="AF40" s="37">
        <v>241804.77499999999</v>
      </c>
      <c r="AG40" s="37">
        <v>245358.36728396415</v>
      </c>
      <c r="AH40" s="37">
        <v>863.97500000001685</v>
      </c>
      <c r="AI40" s="37">
        <v>1180.9879166666667</v>
      </c>
      <c r="AJ40" s="37">
        <v>2044.9629166666837</v>
      </c>
      <c r="AK40" s="278"/>
      <c r="AL40" s="135">
        <v>0.71</v>
      </c>
      <c r="AM40" s="134">
        <v>727</v>
      </c>
      <c r="AN40" s="132" t="s">
        <v>235</v>
      </c>
      <c r="AO40" s="132" t="s">
        <v>236</v>
      </c>
      <c r="AP40" s="132" t="s">
        <v>237</v>
      </c>
      <c r="AQ40" s="132" t="s">
        <v>238</v>
      </c>
      <c r="AR40" s="135">
        <v>0.2109</v>
      </c>
      <c r="AS40" s="135">
        <v>0</v>
      </c>
      <c r="AT40" s="135">
        <v>0</v>
      </c>
      <c r="AU40" s="282">
        <v>0</v>
      </c>
    </row>
    <row r="41" spans="2:47" s="237" customFormat="1" x14ac:dyDescent="0.25">
      <c r="B41" s="262" t="s">
        <v>166</v>
      </c>
      <c r="C41" s="132" t="s">
        <v>298</v>
      </c>
      <c r="D41" s="132" t="s">
        <v>125</v>
      </c>
      <c r="E41" s="133">
        <v>5.7910000000000004</v>
      </c>
      <c r="F41" s="133">
        <v>6.5149999999999997</v>
      </c>
      <c r="G41" s="134">
        <v>243</v>
      </c>
      <c r="H41" s="134">
        <v>117</v>
      </c>
      <c r="I41" s="223">
        <v>53418</v>
      </c>
      <c r="J41" s="224">
        <v>64</v>
      </c>
      <c r="K41" s="134">
        <v>186316</v>
      </c>
      <c r="L41" s="134">
        <v>618000</v>
      </c>
      <c r="M41" s="266">
        <v>101.08776473999023</v>
      </c>
      <c r="N41" s="38">
        <v>37.270000000000003</v>
      </c>
      <c r="O41" s="38">
        <v>19.162170316699999</v>
      </c>
      <c r="P41" s="197">
        <v>1.28564204179532</v>
      </c>
      <c r="Q41" s="38">
        <v>1.25124591346276</v>
      </c>
      <c r="R41" s="38">
        <v>2.7589985083889501</v>
      </c>
      <c r="S41" s="38">
        <v>30.447421179829401</v>
      </c>
      <c r="T41" s="38"/>
      <c r="U41" s="38"/>
      <c r="V41" s="38"/>
      <c r="W41" s="270">
        <v>6.149</v>
      </c>
      <c r="X41" s="133">
        <v>6.63</v>
      </c>
      <c r="Y41" s="133">
        <v>6.9960000000000004</v>
      </c>
      <c r="Z41" s="133">
        <v>6.9969999999999999</v>
      </c>
      <c r="AA41" s="133">
        <v>6.9710000000000001</v>
      </c>
      <c r="AB41" s="274">
        <v>6.343</v>
      </c>
      <c r="AC41" s="37">
        <v>1700000</v>
      </c>
      <c r="AD41" s="11">
        <v>3.1629089999999999E-2</v>
      </c>
      <c r="AE41" s="30">
        <v>45352</v>
      </c>
      <c r="AF41" s="37">
        <v>53769.452999999994</v>
      </c>
      <c r="AG41" s="37">
        <v>54354.338150619616</v>
      </c>
      <c r="AH41" s="37">
        <v>164.5940000000075</v>
      </c>
      <c r="AI41" s="37">
        <v>260.27672181416671</v>
      </c>
      <c r="AJ41" s="37">
        <v>424.8707218141742</v>
      </c>
      <c r="AK41" s="278"/>
      <c r="AL41" s="135">
        <v>0.49</v>
      </c>
      <c r="AM41" s="134">
        <v>771</v>
      </c>
      <c r="AN41" s="132" t="s">
        <v>202</v>
      </c>
      <c r="AO41" s="132" t="s">
        <v>299</v>
      </c>
      <c r="AP41" s="132" t="s">
        <v>300</v>
      </c>
      <c r="AQ41" s="132" t="s">
        <v>301</v>
      </c>
      <c r="AR41" s="135">
        <v>0.70530000000000004</v>
      </c>
      <c r="AS41" s="135">
        <v>0</v>
      </c>
      <c r="AT41" s="135">
        <v>0</v>
      </c>
      <c r="AU41" s="282">
        <v>0</v>
      </c>
    </row>
    <row r="42" spans="2:47" s="237" customFormat="1" x14ac:dyDescent="0.25">
      <c r="B42" s="262" t="s">
        <v>175</v>
      </c>
      <c r="C42" s="132" t="s">
        <v>330</v>
      </c>
      <c r="D42" s="132" t="s">
        <v>125</v>
      </c>
      <c r="E42" s="133">
        <v>5.8150000000000004</v>
      </c>
      <c r="F42" s="133">
        <v>6.5369999999999999</v>
      </c>
      <c r="G42" s="134">
        <v>236</v>
      </c>
      <c r="H42" s="134">
        <v>124</v>
      </c>
      <c r="I42" s="223">
        <v>52994</v>
      </c>
      <c r="J42" s="224">
        <v>245</v>
      </c>
      <c r="K42" s="134">
        <v>280183</v>
      </c>
      <c r="L42" s="134">
        <v>625000</v>
      </c>
      <c r="M42" s="266">
        <v>100.86868286132813</v>
      </c>
      <c r="N42" s="38">
        <v>31.25</v>
      </c>
      <c r="O42" s="38">
        <v>19.162170316699999</v>
      </c>
      <c r="P42" s="197">
        <v>1.7025160563105499</v>
      </c>
      <c r="Q42" s="38">
        <v>19.332703648761601</v>
      </c>
      <c r="R42" s="38">
        <v>17.305100919444499</v>
      </c>
      <c r="S42" s="38">
        <v>18.067877123918699</v>
      </c>
      <c r="T42" s="38"/>
      <c r="U42" s="38"/>
      <c r="V42" s="38"/>
      <c r="W42" s="270">
        <v>6.367</v>
      </c>
      <c r="X42" s="133">
        <v>6.6479999999999997</v>
      </c>
      <c r="Y42" s="133">
        <v>6.9740000000000002</v>
      </c>
      <c r="Z42" s="133">
        <v>6.6440000000000001</v>
      </c>
      <c r="AA42" s="133">
        <v>6.6870000000000003</v>
      </c>
      <c r="AB42" s="274">
        <v>6.6710000000000003</v>
      </c>
      <c r="AC42" s="37">
        <v>300000</v>
      </c>
      <c r="AD42" s="11">
        <v>7.8261510000000006E-2</v>
      </c>
      <c r="AE42" s="30">
        <v>45352</v>
      </c>
      <c r="AF42" s="37">
        <v>23478.453000000001</v>
      </c>
      <c r="AG42" s="37">
        <v>23682.406297315978</v>
      </c>
      <c r="AH42" s="37">
        <v>82.541999999997955</v>
      </c>
      <c r="AI42" s="37">
        <v>114.1726549375</v>
      </c>
      <c r="AJ42" s="37">
        <v>196.71465493749795</v>
      </c>
      <c r="AK42" s="278"/>
      <c r="AL42" s="135">
        <v>0.7</v>
      </c>
      <c r="AM42" s="134">
        <v>750</v>
      </c>
      <c r="AN42" s="132" t="s">
        <v>202</v>
      </c>
      <c r="AO42" s="132" t="s">
        <v>116</v>
      </c>
      <c r="AP42" s="132" t="s">
        <v>132</v>
      </c>
      <c r="AQ42" s="132" t="s">
        <v>118</v>
      </c>
      <c r="AR42" s="135">
        <v>0.35340000000000005</v>
      </c>
      <c r="AS42" s="135">
        <v>0</v>
      </c>
      <c r="AT42" s="135">
        <v>0</v>
      </c>
      <c r="AU42" s="282">
        <v>0</v>
      </c>
    </row>
    <row r="43" spans="2:47" s="237" customFormat="1" x14ac:dyDescent="0.25">
      <c r="B43" s="262" t="s">
        <v>140</v>
      </c>
      <c r="C43" s="132" t="s">
        <v>196</v>
      </c>
      <c r="D43" s="132" t="s">
        <v>125</v>
      </c>
      <c r="E43" s="133">
        <v>5.85</v>
      </c>
      <c r="F43" s="133">
        <v>6.5</v>
      </c>
      <c r="G43" s="134">
        <v>203</v>
      </c>
      <c r="H43" s="134">
        <v>157</v>
      </c>
      <c r="I43" s="223">
        <v>54393</v>
      </c>
      <c r="J43" s="224">
        <v>3</v>
      </c>
      <c r="K43" s="134">
        <v>236233</v>
      </c>
      <c r="L43" s="134">
        <v>310000</v>
      </c>
      <c r="M43" s="266">
        <v>99.866661071777344</v>
      </c>
      <c r="N43" s="38">
        <v>25.82</v>
      </c>
      <c r="O43" s="38">
        <v>14.501335167500001</v>
      </c>
      <c r="P43" s="260">
        <v>99.768041213032205</v>
      </c>
      <c r="Q43" s="38">
        <v>86.797209695489698</v>
      </c>
      <c r="R43" s="38">
        <v>63.731262348470302</v>
      </c>
      <c r="S43" s="38">
        <v>43.5215577172292</v>
      </c>
      <c r="T43" s="38"/>
      <c r="U43" s="38"/>
      <c r="V43" s="38"/>
      <c r="W43" s="270">
        <v>6.9589999999999996</v>
      </c>
      <c r="X43" s="133">
        <v>7.0880000000000001</v>
      </c>
      <c r="Y43" s="133">
        <v>4.9489999999999998</v>
      </c>
      <c r="Z43" s="133">
        <v>5.8940000000000001</v>
      </c>
      <c r="AA43" s="133">
        <v>6.4109999999999996</v>
      </c>
      <c r="AB43" s="274">
        <v>6.7279999999999998</v>
      </c>
      <c r="AC43" s="37">
        <v>1242831</v>
      </c>
      <c r="AD43" s="11">
        <v>0.32837103000000001</v>
      </c>
      <c r="AE43" s="30">
        <v>45352</v>
      </c>
      <c r="AF43" s="37">
        <v>408109.69558593002</v>
      </c>
      <c r="AG43" s="37">
        <v>407565.52649186295</v>
      </c>
      <c r="AH43" s="37">
        <v>270323.92032798001</v>
      </c>
      <c r="AI43" s="37">
        <v>3307.3638775803111</v>
      </c>
      <c r="AJ43" s="37">
        <v>273631.28420556034</v>
      </c>
      <c r="AK43" s="278"/>
      <c r="AL43" s="135">
        <v>0.54</v>
      </c>
      <c r="AM43" s="134">
        <v>767</v>
      </c>
      <c r="AN43" s="132" t="s">
        <v>121</v>
      </c>
      <c r="AO43" s="132" t="s">
        <v>197</v>
      </c>
      <c r="AP43" s="132" t="s">
        <v>198</v>
      </c>
      <c r="AQ43" s="132" t="s">
        <v>199</v>
      </c>
      <c r="AR43" s="135">
        <v>0</v>
      </c>
      <c r="AS43" s="135">
        <v>0</v>
      </c>
      <c r="AT43" s="135">
        <v>0</v>
      </c>
      <c r="AU43" s="282">
        <v>0</v>
      </c>
    </row>
    <row r="44" spans="2:47" s="237" customFormat="1" x14ac:dyDescent="0.25">
      <c r="B44" s="263" t="s">
        <v>205</v>
      </c>
      <c r="C44" s="199"/>
      <c r="D44" s="199"/>
      <c r="E44" s="200">
        <v>0</v>
      </c>
      <c r="F44" s="200">
        <v>0</v>
      </c>
      <c r="G44" s="129">
        <v>0</v>
      </c>
      <c r="H44" s="129">
        <v>0</v>
      </c>
      <c r="I44" s="201">
        <v>0</v>
      </c>
      <c r="J44" s="202">
        <v>771</v>
      </c>
      <c r="K44" s="129">
        <v>0</v>
      </c>
      <c r="L44" s="129">
        <v>0</v>
      </c>
      <c r="M44" s="267">
        <v>0</v>
      </c>
      <c r="N44" s="208">
        <v>0</v>
      </c>
      <c r="O44" s="208">
        <v>0</v>
      </c>
      <c r="P44" s="208">
        <v>0</v>
      </c>
      <c r="Q44" s="208">
        <v>0</v>
      </c>
      <c r="R44" s="208">
        <v>0</v>
      </c>
      <c r="S44" s="208">
        <v>0</v>
      </c>
      <c r="T44" s="208">
        <v>0</v>
      </c>
      <c r="U44" s="208">
        <v>0</v>
      </c>
      <c r="V44" s="208">
        <v>0</v>
      </c>
      <c r="W44" s="271">
        <v>0</v>
      </c>
      <c r="X44" s="200"/>
      <c r="Y44" s="200"/>
      <c r="Z44" s="200"/>
      <c r="AA44" s="200">
        <v>0</v>
      </c>
      <c r="AB44" s="275">
        <v>0</v>
      </c>
      <c r="AC44" s="207">
        <v>48.578999999999994</v>
      </c>
      <c r="AD44" s="209">
        <v>0</v>
      </c>
      <c r="AE44" s="210">
        <v>0</v>
      </c>
      <c r="AF44" s="207">
        <v>969533.30018806993</v>
      </c>
      <c r="AG44" s="207">
        <v>0.36208352000000005</v>
      </c>
      <c r="AH44" s="207">
        <v>317464</v>
      </c>
      <c r="AI44" s="207">
        <v>969533.30018806993</v>
      </c>
      <c r="AJ44" s="207">
        <v>985098.33381250792</v>
      </c>
      <c r="AK44" s="279"/>
      <c r="AL44" s="206">
        <v>0</v>
      </c>
      <c r="AM44" s="129">
        <v>0</v>
      </c>
      <c r="AN44" s="199"/>
      <c r="AO44" s="199"/>
      <c r="AP44" s="199"/>
      <c r="AQ44" s="199"/>
      <c r="AR44" s="206">
        <v>0</v>
      </c>
      <c r="AS44" s="206">
        <v>0</v>
      </c>
      <c r="AT44" s="206">
        <v>0</v>
      </c>
      <c r="AU44" s="283">
        <v>0</v>
      </c>
    </row>
    <row r="45" spans="2:47" s="237" customFormat="1" x14ac:dyDescent="0.25">
      <c r="B45" s="262" t="s">
        <v>159</v>
      </c>
      <c r="C45" s="132" t="s">
        <v>274</v>
      </c>
      <c r="D45" s="132" t="s">
        <v>125</v>
      </c>
      <c r="E45" s="133">
        <v>5.9349999999999996</v>
      </c>
      <c r="F45" s="133">
        <v>6.4909999999999997</v>
      </c>
      <c r="G45" s="134">
        <v>191</v>
      </c>
      <c r="H45" s="134">
        <v>169</v>
      </c>
      <c r="I45" s="223">
        <v>51683</v>
      </c>
      <c r="J45" s="224">
        <v>437</v>
      </c>
      <c r="K45" s="134">
        <v>269984</v>
      </c>
      <c r="L45" s="134">
        <v>637000</v>
      </c>
      <c r="M45" s="266">
        <v>101.72985458374023</v>
      </c>
      <c r="N45" s="38">
        <v>23.21</v>
      </c>
      <c r="O45" s="38">
        <v>14.501335167500001</v>
      </c>
      <c r="P45" s="197">
        <v>3.4761342535630799</v>
      </c>
      <c r="Q45" s="38">
        <v>7.7740386242646098</v>
      </c>
      <c r="R45" s="38">
        <v>7.9361783980096297</v>
      </c>
      <c r="S45" s="38">
        <v>9.1991948900194203</v>
      </c>
      <c r="T45" s="38"/>
      <c r="U45" s="38"/>
      <c r="V45" s="38"/>
      <c r="W45" s="270">
        <v>6.4729999999999999</v>
      </c>
      <c r="X45" s="133">
        <v>6.7510000000000003</v>
      </c>
      <c r="Y45" s="133">
        <v>7.0490000000000004</v>
      </c>
      <c r="Z45" s="133">
        <v>6.9409999999999998</v>
      </c>
      <c r="AA45" s="133">
        <v>6.9370000000000003</v>
      </c>
      <c r="AB45" s="274">
        <v>6.9029999999999996</v>
      </c>
      <c r="AC45" s="37">
        <v>1600000</v>
      </c>
      <c r="AD45" s="11">
        <v>5.682185E-2</v>
      </c>
      <c r="AE45" s="30">
        <v>45352</v>
      </c>
      <c r="AF45" s="37">
        <v>90914.96</v>
      </c>
      <c r="AG45" s="37">
        <v>92487.656602865609</v>
      </c>
      <c r="AH45" s="37">
        <v>543.66399999999931</v>
      </c>
      <c r="AI45" s="37">
        <v>452.33911119999993</v>
      </c>
      <c r="AJ45" s="37">
        <v>996.00311119999924</v>
      </c>
      <c r="AK45" s="278"/>
      <c r="AL45" s="135">
        <v>0.71</v>
      </c>
      <c r="AM45" s="134">
        <v>759</v>
      </c>
      <c r="AN45" s="132" t="s">
        <v>202</v>
      </c>
      <c r="AO45" s="132" t="s">
        <v>116</v>
      </c>
      <c r="AP45" s="132" t="s">
        <v>275</v>
      </c>
      <c r="AQ45" s="132" t="s">
        <v>276</v>
      </c>
      <c r="AR45" s="135">
        <v>0.60740000000000005</v>
      </c>
      <c r="AS45" s="135">
        <v>1.6E-2</v>
      </c>
      <c r="AT45" s="135">
        <v>0</v>
      </c>
      <c r="AU45" s="282">
        <v>0</v>
      </c>
    </row>
    <row r="46" spans="2:47" s="237" customFormat="1" x14ac:dyDescent="0.25">
      <c r="B46" s="262" t="s">
        <v>168</v>
      </c>
      <c r="C46" s="132" t="s">
        <v>307</v>
      </c>
      <c r="D46" s="132" t="s">
        <v>125</v>
      </c>
      <c r="E46" s="133">
        <v>5.9020000000000001</v>
      </c>
      <c r="F46" s="133">
        <v>6.6289999999999996</v>
      </c>
      <c r="G46" s="134">
        <v>247</v>
      </c>
      <c r="H46" s="134">
        <v>113</v>
      </c>
      <c r="I46" s="223">
        <v>53022</v>
      </c>
      <c r="J46" s="224">
        <v>14</v>
      </c>
      <c r="K46" s="134">
        <v>282571</v>
      </c>
      <c r="L46" s="134">
        <v>506000</v>
      </c>
      <c r="M46" s="266">
        <v>101.3383903503418</v>
      </c>
      <c r="N46" s="38">
        <v>28.42</v>
      </c>
      <c r="O46" s="38">
        <v>19.162170316699999</v>
      </c>
      <c r="P46" s="198">
        <v>66.283279728290296</v>
      </c>
      <c r="Q46" s="38">
        <v>31.428639522809299</v>
      </c>
      <c r="R46" s="38">
        <v>26.776718169104399</v>
      </c>
      <c r="S46" s="38">
        <v>14.745141894142501</v>
      </c>
      <c r="T46" s="38"/>
      <c r="U46" s="38"/>
      <c r="V46" s="38"/>
      <c r="W46" s="270">
        <v>6.3520000000000003</v>
      </c>
      <c r="X46" s="133">
        <v>6.6230000000000002</v>
      </c>
      <c r="Y46" s="133">
        <v>4.835</v>
      </c>
      <c r="Z46" s="133">
        <v>6.258</v>
      </c>
      <c r="AA46" s="133">
        <v>6.4029999999999996</v>
      </c>
      <c r="AB46" s="274">
        <v>6.742</v>
      </c>
      <c r="AC46" s="37">
        <v>1020000</v>
      </c>
      <c r="AD46" s="11">
        <v>3.8146489999999998E-2</v>
      </c>
      <c r="AE46" s="30">
        <v>45352</v>
      </c>
      <c r="AF46" s="37">
        <v>38909.419799999996</v>
      </c>
      <c r="AG46" s="37">
        <v>39430.179719977175</v>
      </c>
      <c r="AH46" s="37">
        <v>3771.011400000004</v>
      </c>
      <c r="AI46" s="37">
        <v>209.91658745199999</v>
      </c>
      <c r="AJ46" s="37">
        <v>3980.9279874520039</v>
      </c>
      <c r="AK46" s="278"/>
      <c r="AL46" s="135">
        <v>0.6</v>
      </c>
      <c r="AM46" s="134">
        <v>763</v>
      </c>
      <c r="AN46" s="132" t="s">
        <v>202</v>
      </c>
      <c r="AO46" s="132" t="s">
        <v>308</v>
      </c>
      <c r="AP46" s="132" t="s">
        <v>117</v>
      </c>
      <c r="AQ46" s="132" t="s">
        <v>309</v>
      </c>
      <c r="AR46" s="135">
        <v>0.57719999999999994</v>
      </c>
      <c r="AS46" s="135">
        <v>0</v>
      </c>
      <c r="AT46" s="135">
        <v>0</v>
      </c>
      <c r="AU46" s="282">
        <v>0</v>
      </c>
    </row>
    <row r="47" spans="2:47" s="237" customFormat="1" x14ac:dyDescent="0.25">
      <c r="B47" s="262" t="s">
        <v>141</v>
      </c>
      <c r="C47" s="132" t="s">
        <v>201</v>
      </c>
      <c r="D47" s="132" t="s">
        <v>125</v>
      </c>
      <c r="E47" s="133">
        <v>5.9240000000000004</v>
      </c>
      <c r="F47" s="133">
        <v>6.35</v>
      </c>
      <c r="G47" s="134">
        <v>190</v>
      </c>
      <c r="H47" s="134">
        <v>170</v>
      </c>
      <c r="I47" s="223">
        <v>51380</v>
      </c>
      <c r="J47" s="224">
        <v>64</v>
      </c>
      <c r="K47" s="134">
        <v>266635</v>
      </c>
      <c r="L47" s="134">
        <v>524000</v>
      </c>
      <c r="M47" s="266">
        <v>101.9951286315918</v>
      </c>
      <c r="N47" s="38">
        <v>20.8</v>
      </c>
      <c r="O47" s="38">
        <v>31.706916589399999</v>
      </c>
      <c r="P47" s="197">
        <v>1.0674994656533401</v>
      </c>
      <c r="Q47" s="38">
        <v>5.2305526747856197</v>
      </c>
      <c r="R47" s="38">
        <v>14.7571931694116</v>
      </c>
      <c r="S47" s="38">
        <v>14.114123218095401</v>
      </c>
      <c r="T47" s="38"/>
      <c r="U47" s="38"/>
      <c r="V47" s="38"/>
      <c r="W47" s="270">
        <v>6.5359999999999996</v>
      </c>
      <c r="X47" s="133">
        <v>6.1349999999999998</v>
      </c>
      <c r="Y47" s="133">
        <v>7.1040000000000001</v>
      </c>
      <c r="Z47" s="133">
        <v>7.0030000000000001</v>
      </c>
      <c r="AA47" s="133">
        <v>6.7320000000000002</v>
      </c>
      <c r="AB47" s="274">
        <v>6.7519999999999998</v>
      </c>
      <c r="AC47" s="37">
        <v>5150000</v>
      </c>
      <c r="AD47" s="11">
        <v>0.10830525000000001</v>
      </c>
      <c r="AE47" s="30">
        <v>45352</v>
      </c>
      <c r="AF47" s="37">
        <v>557772.03749999998</v>
      </c>
      <c r="AG47" s="37">
        <v>568900.30711917544</v>
      </c>
      <c r="AH47" s="37">
        <v>2201.8309999999492</v>
      </c>
      <c r="AI47" s="37">
        <v>2764.4043308283335</v>
      </c>
      <c r="AJ47" s="37">
        <v>4966.2353308282827</v>
      </c>
      <c r="AK47" s="278"/>
      <c r="AL47" s="135">
        <v>0.7</v>
      </c>
      <c r="AM47" s="134">
        <v>758</v>
      </c>
      <c r="AN47" s="132" t="s">
        <v>202</v>
      </c>
      <c r="AO47" s="132" t="s">
        <v>203</v>
      </c>
      <c r="AP47" s="132" t="s">
        <v>126</v>
      </c>
      <c r="AQ47" s="132" t="s">
        <v>204</v>
      </c>
      <c r="AR47" s="135">
        <v>0.35210000000000002</v>
      </c>
      <c r="AS47" s="135">
        <v>4.0999999999999995E-3</v>
      </c>
      <c r="AT47" s="135">
        <v>0</v>
      </c>
      <c r="AU47" s="282">
        <v>0</v>
      </c>
    </row>
    <row r="48" spans="2:47" s="237" customFormat="1" x14ac:dyDescent="0.25">
      <c r="B48" s="262" t="s">
        <v>155</v>
      </c>
      <c r="C48" s="132" t="s">
        <v>259</v>
      </c>
      <c r="D48" s="132" t="s">
        <v>125</v>
      </c>
      <c r="E48" s="133">
        <v>5.8979999999999997</v>
      </c>
      <c r="F48" s="133">
        <v>6.5309999999999997</v>
      </c>
      <c r="G48" s="134">
        <v>213</v>
      </c>
      <c r="H48" s="134">
        <v>147</v>
      </c>
      <c r="I48" s="223">
        <v>52688</v>
      </c>
      <c r="J48" s="224">
        <v>243</v>
      </c>
      <c r="K48" s="134">
        <v>325051</v>
      </c>
      <c r="L48" s="134">
        <v>624000</v>
      </c>
      <c r="M48" s="266">
        <v>101.39543914794922</v>
      </c>
      <c r="N48" s="38">
        <v>26.87</v>
      </c>
      <c r="O48" s="38">
        <v>19.162170316699999</v>
      </c>
      <c r="P48" s="197">
        <v>5.5095754119349696</v>
      </c>
      <c r="Q48" s="38">
        <v>3.77369312404364</v>
      </c>
      <c r="R48" s="38">
        <v>3.9218328006496699</v>
      </c>
      <c r="S48" s="38">
        <v>11.7283849722699</v>
      </c>
      <c r="T48" s="38"/>
      <c r="U48" s="38"/>
      <c r="V48" s="38"/>
      <c r="W48" s="270">
        <v>6.431</v>
      </c>
      <c r="X48" s="133">
        <v>6.6660000000000004</v>
      </c>
      <c r="Y48" s="133">
        <v>7.0209999999999999</v>
      </c>
      <c r="Z48" s="133">
        <v>7.0590000000000002</v>
      </c>
      <c r="AA48" s="133">
        <v>7.056</v>
      </c>
      <c r="AB48" s="274">
        <v>6.8689999999999998</v>
      </c>
      <c r="AC48" s="37">
        <v>2172275</v>
      </c>
      <c r="AD48" s="11">
        <v>6.2615649999999995E-2</v>
      </c>
      <c r="AE48" s="30">
        <v>45352</v>
      </c>
      <c r="AF48" s="37">
        <v>136018.41110375</v>
      </c>
      <c r="AG48" s="37">
        <v>137916.46526071022</v>
      </c>
      <c r="AH48" s="37">
        <v>989.62332175000518</v>
      </c>
      <c r="AI48" s="37">
        <v>673.39448920133248</v>
      </c>
      <c r="AJ48" s="37">
        <v>1663.0178109513377</v>
      </c>
      <c r="AK48" s="278"/>
      <c r="AL48" s="135">
        <v>0.73</v>
      </c>
      <c r="AM48" s="134">
        <v>761</v>
      </c>
      <c r="AN48" s="132" t="s">
        <v>202</v>
      </c>
      <c r="AO48" s="132" t="s">
        <v>260</v>
      </c>
      <c r="AP48" s="132" t="s">
        <v>261</v>
      </c>
      <c r="AQ48" s="132" t="s">
        <v>120</v>
      </c>
      <c r="AR48" s="135">
        <v>0.17370000000000002</v>
      </c>
      <c r="AS48" s="135">
        <v>1.5700000000000002E-2</v>
      </c>
      <c r="AT48" s="135">
        <v>0</v>
      </c>
      <c r="AU48" s="282">
        <v>0</v>
      </c>
    </row>
    <row r="49" spans="2:47" s="237" customFormat="1" x14ac:dyDescent="0.25">
      <c r="B49" s="262" t="s">
        <v>184</v>
      </c>
      <c r="C49" s="132" t="s">
        <v>358</v>
      </c>
      <c r="D49" s="132" t="s">
        <v>125</v>
      </c>
      <c r="E49" s="133">
        <v>5.915</v>
      </c>
      <c r="F49" s="133">
        <v>6.5</v>
      </c>
      <c r="G49" s="134">
        <v>221</v>
      </c>
      <c r="H49" s="134">
        <v>139</v>
      </c>
      <c r="I49" s="223">
        <v>52140</v>
      </c>
      <c r="J49" s="224">
        <v>8</v>
      </c>
      <c r="K49" s="134">
        <v>342486</v>
      </c>
      <c r="L49" s="134">
        <v>465000</v>
      </c>
      <c r="M49" s="266">
        <v>100.64052581787109</v>
      </c>
      <c r="N49" s="38">
        <v>23.78</v>
      </c>
      <c r="O49" s="38">
        <v>21.5015529149</v>
      </c>
      <c r="P49" s="197">
        <v>0.32343820419810099</v>
      </c>
      <c r="Q49" s="38">
        <v>0.75277399930034905</v>
      </c>
      <c r="R49" s="38">
        <v>0.73446902797695801</v>
      </c>
      <c r="S49" s="38">
        <v>7.0147568006621004</v>
      </c>
      <c r="T49" s="38"/>
      <c r="U49" s="38"/>
      <c r="V49" s="38"/>
      <c r="W49" s="270">
        <v>6.609</v>
      </c>
      <c r="X49" s="133">
        <v>6.65</v>
      </c>
      <c r="Y49" s="133">
        <v>6.9589999999999996</v>
      </c>
      <c r="Z49" s="133">
        <v>6.9539999999999997</v>
      </c>
      <c r="AA49" s="133">
        <v>6.9550000000000001</v>
      </c>
      <c r="AB49" s="274">
        <v>6.875</v>
      </c>
      <c r="AC49" s="37">
        <v>500000</v>
      </c>
      <c r="AD49" s="11">
        <v>3.2939749999999997E-2</v>
      </c>
      <c r="AE49" s="30">
        <v>45352</v>
      </c>
      <c r="AF49" s="37">
        <v>16469.875</v>
      </c>
      <c r="AG49" s="37">
        <v>16575.368801546098</v>
      </c>
      <c r="AH49" s="37">
        <v>43.040000000001136</v>
      </c>
      <c r="AI49" s="37">
        <v>81.394910187500003</v>
      </c>
      <c r="AJ49" s="37">
        <v>124.43491018750115</v>
      </c>
      <c r="AK49" s="278"/>
      <c r="AL49" s="135">
        <v>0.61</v>
      </c>
      <c r="AM49" s="134">
        <v>770</v>
      </c>
      <c r="AN49" s="132" t="s">
        <v>123</v>
      </c>
      <c r="AO49" s="132" t="s">
        <v>359</v>
      </c>
      <c r="AP49" s="132" t="s">
        <v>360</v>
      </c>
      <c r="AQ49" s="132" t="s">
        <v>361</v>
      </c>
      <c r="AR49" s="135">
        <v>0</v>
      </c>
      <c r="AS49" s="135">
        <v>0</v>
      </c>
      <c r="AT49" s="135">
        <v>0</v>
      </c>
      <c r="AU49" s="282">
        <v>0</v>
      </c>
    </row>
    <row r="50" spans="2:47" s="237" customFormat="1" x14ac:dyDescent="0.25">
      <c r="B50" s="262" t="s">
        <v>183</v>
      </c>
      <c r="C50" s="132" t="s">
        <v>355</v>
      </c>
      <c r="D50" s="132" t="s">
        <v>125</v>
      </c>
      <c r="E50" s="133">
        <v>5.86</v>
      </c>
      <c r="F50" s="133">
        <v>6.5</v>
      </c>
      <c r="G50" s="134">
        <v>271</v>
      </c>
      <c r="H50" s="134">
        <v>89</v>
      </c>
      <c r="I50" s="223">
        <v>53601</v>
      </c>
      <c r="J50" s="224">
        <v>4</v>
      </c>
      <c r="K50" s="134">
        <v>266410</v>
      </c>
      <c r="L50" s="134">
        <v>361000</v>
      </c>
      <c r="M50" s="266">
        <v>99.658164978027344</v>
      </c>
      <c r="N50" s="38">
        <v>30.2</v>
      </c>
      <c r="O50" s="38">
        <v>19.162170316699999</v>
      </c>
      <c r="P50" s="197">
        <v>0.138062299283714</v>
      </c>
      <c r="Q50" s="38">
        <v>0.136760259249424</v>
      </c>
      <c r="R50" s="38">
        <v>4.4441427805018598</v>
      </c>
      <c r="S50" s="38">
        <v>5.4322508500470503</v>
      </c>
      <c r="T50" s="38"/>
      <c r="U50" s="38"/>
      <c r="V50" s="38"/>
      <c r="W50" s="270">
        <v>6.8890000000000002</v>
      </c>
      <c r="X50" s="133">
        <v>6.9870000000000001</v>
      </c>
      <c r="Y50" s="133">
        <v>7.1280000000000001</v>
      </c>
      <c r="Z50" s="133">
        <v>7.1280000000000001</v>
      </c>
      <c r="AA50" s="133">
        <v>7.1</v>
      </c>
      <c r="AB50" s="274">
        <v>7.093</v>
      </c>
      <c r="AC50" s="37">
        <v>300000</v>
      </c>
      <c r="AD50" s="11">
        <v>5.7987410000000003E-2</v>
      </c>
      <c r="AE50" s="30">
        <v>45352</v>
      </c>
      <c r="AF50" s="37">
        <v>17396.223000000002</v>
      </c>
      <c r="AG50" s="37">
        <v>17336.75661728554</v>
      </c>
      <c r="AH50" s="37">
        <v>30.209999999998573</v>
      </c>
      <c r="AI50" s="37">
        <v>85.099081150000004</v>
      </c>
      <c r="AJ50" s="37">
        <v>115.30908114999858</v>
      </c>
      <c r="AK50" s="278"/>
      <c r="AL50" s="135">
        <v>0.41</v>
      </c>
      <c r="AM50" s="134">
        <v>733</v>
      </c>
      <c r="AN50" s="132" t="s">
        <v>356</v>
      </c>
      <c r="AO50" s="132" t="s">
        <v>128</v>
      </c>
      <c r="AP50" s="132" t="s">
        <v>130</v>
      </c>
      <c r="AQ50" s="132" t="s">
        <v>357</v>
      </c>
      <c r="AR50" s="135">
        <v>0</v>
      </c>
      <c r="AS50" s="135">
        <v>0</v>
      </c>
      <c r="AT50" s="135">
        <v>0</v>
      </c>
      <c r="AU50" s="282">
        <v>0</v>
      </c>
    </row>
    <row r="51" spans="2:47" s="237" customFormat="1" x14ac:dyDescent="0.25">
      <c r="B51" s="262" t="s">
        <v>157</v>
      </c>
      <c r="C51" s="132" t="s">
        <v>266</v>
      </c>
      <c r="D51" s="132" t="s">
        <v>125</v>
      </c>
      <c r="E51" s="133">
        <v>5.9450000000000003</v>
      </c>
      <c r="F51" s="133">
        <v>6.5</v>
      </c>
      <c r="G51" s="134">
        <v>174</v>
      </c>
      <c r="H51" s="134">
        <v>186</v>
      </c>
      <c r="I51" s="223">
        <v>50649</v>
      </c>
      <c r="J51" s="224">
        <v>1</v>
      </c>
      <c r="K51" s="134">
        <v>417000</v>
      </c>
      <c r="L51" s="134">
        <v>417000</v>
      </c>
      <c r="M51" s="266">
        <v>100.35628509521484</v>
      </c>
      <c r="N51" s="38">
        <v>26.61</v>
      </c>
      <c r="O51" s="38">
        <v>15.010369826</v>
      </c>
      <c r="P51" s="197">
        <v>3.3688483470661897E-2</v>
      </c>
      <c r="Q51" s="38">
        <v>5.0249872071061998E-2</v>
      </c>
      <c r="R51" s="38">
        <v>1.59050425442732</v>
      </c>
      <c r="S51" s="38">
        <v>0.79856205143341596</v>
      </c>
      <c r="T51" s="38"/>
      <c r="U51" s="38"/>
      <c r="V51" s="38"/>
      <c r="W51" s="270">
        <v>6.859</v>
      </c>
      <c r="X51" s="133">
        <v>7.0449999999999999</v>
      </c>
      <c r="Y51" s="133">
        <v>7.2359999999999998</v>
      </c>
      <c r="Z51" s="133">
        <v>7.2359999999999998</v>
      </c>
      <c r="AA51" s="133">
        <v>7.2190000000000003</v>
      </c>
      <c r="AB51" s="274">
        <v>7.2270000000000003</v>
      </c>
      <c r="AC51" s="37">
        <v>21273936</v>
      </c>
      <c r="AD51" s="11">
        <v>5.2671200000000001E-3</v>
      </c>
      <c r="AE51" s="30">
        <v>45352</v>
      </c>
      <c r="AF51" s="37">
        <v>112052.37378432001</v>
      </c>
      <c r="AG51" s="37">
        <v>112451.59969094796</v>
      </c>
      <c r="AH51" s="37">
        <v>390.16398623998941</v>
      </c>
      <c r="AI51" s="37">
        <v>557.05907253831606</v>
      </c>
      <c r="AJ51" s="37">
        <v>947.22305877830547</v>
      </c>
      <c r="AK51" s="278"/>
      <c r="AL51" s="135">
        <v>0.69</v>
      </c>
      <c r="AM51" s="134">
        <v>741</v>
      </c>
      <c r="AN51" s="132" t="s">
        <v>123</v>
      </c>
      <c r="AO51" s="132" t="s">
        <v>112</v>
      </c>
      <c r="AP51" s="132" t="s">
        <v>267</v>
      </c>
      <c r="AQ51" s="132" t="s">
        <v>268</v>
      </c>
      <c r="AR51" s="135">
        <v>0</v>
      </c>
      <c r="AS51" s="135">
        <v>0</v>
      </c>
      <c r="AT51" s="135">
        <v>0</v>
      </c>
      <c r="AU51" s="282">
        <v>0</v>
      </c>
    </row>
    <row r="52" spans="2:47" s="237" customFormat="1" x14ac:dyDescent="0.25">
      <c r="B52" s="263" t="s">
        <v>221</v>
      </c>
      <c r="C52" s="199"/>
      <c r="D52" s="199"/>
      <c r="E52" s="200">
        <v>0</v>
      </c>
      <c r="F52" s="200">
        <v>0</v>
      </c>
      <c r="G52" s="129">
        <v>0</v>
      </c>
      <c r="H52" s="129">
        <v>0</v>
      </c>
      <c r="I52" s="201">
        <v>0</v>
      </c>
      <c r="J52" s="202">
        <v>148</v>
      </c>
      <c r="K52" s="129">
        <v>0</v>
      </c>
      <c r="L52" s="129">
        <v>0</v>
      </c>
      <c r="M52" s="267">
        <v>0</v>
      </c>
      <c r="N52" s="208">
        <v>0</v>
      </c>
      <c r="O52" s="208">
        <v>0</v>
      </c>
      <c r="P52" s="208">
        <v>0</v>
      </c>
      <c r="Q52" s="208">
        <v>0</v>
      </c>
      <c r="R52" s="208">
        <v>0</v>
      </c>
      <c r="S52" s="208">
        <v>0</v>
      </c>
      <c r="T52" s="208">
        <v>0</v>
      </c>
      <c r="U52" s="208">
        <v>0</v>
      </c>
      <c r="V52" s="208">
        <v>0</v>
      </c>
      <c r="W52" s="271">
        <v>0</v>
      </c>
      <c r="X52" s="200"/>
      <c r="Y52" s="200"/>
      <c r="Z52" s="200"/>
      <c r="AA52" s="200">
        <v>0</v>
      </c>
      <c r="AB52" s="275">
        <v>0</v>
      </c>
      <c r="AC52" s="207">
        <v>28.568999999999999</v>
      </c>
      <c r="AD52" s="209">
        <v>0</v>
      </c>
      <c r="AE52" s="210">
        <v>0</v>
      </c>
      <c r="AF52" s="207">
        <v>798304.13409562991</v>
      </c>
      <c r="AG52" s="207">
        <v>0.22399814000000001</v>
      </c>
      <c r="AH52" s="207">
        <v>226760</v>
      </c>
      <c r="AI52" s="207">
        <v>798304.13409562991</v>
      </c>
      <c r="AJ52" s="207">
        <v>801045.10662712692</v>
      </c>
      <c r="AK52" s="279"/>
      <c r="AL52" s="206">
        <v>0</v>
      </c>
      <c r="AM52" s="129">
        <v>0</v>
      </c>
      <c r="AN52" s="199"/>
      <c r="AO52" s="199"/>
      <c r="AP52" s="199"/>
      <c r="AQ52" s="199"/>
      <c r="AR52" s="206">
        <v>0</v>
      </c>
      <c r="AS52" s="206">
        <v>0</v>
      </c>
      <c r="AT52" s="206">
        <v>0</v>
      </c>
      <c r="AU52" s="283">
        <v>0</v>
      </c>
    </row>
    <row r="53" spans="2:47" s="237" customFormat="1" x14ac:dyDescent="0.25">
      <c r="B53" s="262" t="s">
        <v>178</v>
      </c>
      <c r="C53" s="132" t="s">
        <v>336</v>
      </c>
      <c r="D53" s="132" t="s">
        <v>125</v>
      </c>
      <c r="E53" s="133">
        <v>6</v>
      </c>
      <c r="F53" s="133">
        <v>6.5</v>
      </c>
      <c r="G53" s="134">
        <v>208</v>
      </c>
      <c r="H53" s="134">
        <v>152</v>
      </c>
      <c r="I53" s="223">
        <v>51714</v>
      </c>
      <c r="J53" s="224">
        <v>6</v>
      </c>
      <c r="K53" s="134">
        <v>231085</v>
      </c>
      <c r="L53" s="134">
        <v>351000</v>
      </c>
      <c r="M53" s="266">
        <v>101.72831344604492</v>
      </c>
      <c r="N53" s="38">
        <v>25.46</v>
      </c>
      <c r="O53" s="38">
        <v>12.0609634215</v>
      </c>
      <c r="P53" s="197">
        <v>1.1313495852227601E-2</v>
      </c>
      <c r="Q53" s="38">
        <v>9.5868627384421094E-3</v>
      </c>
      <c r="R53" s="38">
        <v>9.10640277507202E-3</v>
      </c>
      <c r="S53" s="38">
        <v>0.292329738690011</v>
      </c>
      <c r="T53" s="38"/>
      <c r="U53" s="38"/>
      <c r="V53" s="38"/>
      <c r="W53" s="270">
        <v>6.5010000000000003</v>
      </c>
      <c r="X53" s="133">
        <v>6.8869999999999996</v>
      </c>
      <c r="Y53" s="133">
        <v>7.16</v>
      </c>
      <c r="Z53" s="133">
        <v>7.16</v>
      </c>
      <c r="AA53" s="133">
        <v>7.16</v>
      </c>
      <c r="AB53" s="274">
        <v>7.1550000000000002</v>
      </c>
      <c r="AC53" s="37">
        <v>1176894</v>
      </c>
      <c r="AD53" s="11">
        <v>1.7146620000000001E-2</v>
      </c>
      <c r="AE53" s="30">
        <v>45352</v>
      </c>
      <c r="AF53" s="37">
        <v>20179.754198280003</v>
      </c>
      <c r="AG53" s="37">
        <v>20528.523603467689</v>
      </c>
      <c r="AH53" s="37">
        <v>52.560086039998176</v>
      </c>
      <c r="AI53" s="37">
        <v>101.1615714216</v>
      </c>
      <c r="AJ53" s="37">
        <v>153.72165746159817</v>
      </c>
      <c r="AK53" s="278"/>
      <c r="AL53" s="135">
        <v>0.55000000000000004</v>
      </c>
      <c r="AM53" s="134">
        <v>766</v>
      </c>
      <c r="AN53" s="132" t="s">
        <v>137</v>
      </c>
      <c r="AO53" s="132" t="s">
        <v>337</v>
      </c>
      <c r="AP53" s="132" t="s">
        <v>338</v>
      </c>
      <c r="AQ53" s="132" t="s">
        <v>339</v>
      </c>
      <c r="AR53" s="135">
        <v>0.25319999999999998</v>
      </c>
      <c r="AS53" s="135">
        <v>0</v>
      </c>
      <c r="AT53" s="135">
        <v>0</v>
      </c>
      <c r="AU53" s="282">
        <v>0</v>
      </c>
    </row>
    <row r="54" spans="2:47" s="237" customFormat="1" x14ac:dyDescent="0.25">
      <c r="B54" s="262" t="s">
        <v>164</v>
      </c>
      <c r="C54" s="132" t="s">
        <v>292</v>
      </c>
      <c r="D54" s="132" t="s">
        <v>125</v>
      </c>
      <c r="E54" s="133">
        <v>5.98</v>
      </c>
      <c r="F54" s="133">
        <v>6.4909999999999997</v>
      </c>
      <c r="G54" s="134">
        <v>188</v>
      </c>
      <c r="H54" s="134">
        <v>172</v>
      </c>
      <c r="I54" s="223">
        <v>51380</v>
      </c>
      <c r="J54" s="224">
        <v>135</v>
      </c>
      <c r="K54" s="134">
        <v>298435</v>
      </c>
      <c r="L54" s="134">
        <v>626000</v>
      </c>
      <c r="M54" s="266">
        <v>101.5996208190918</v>
      </c>
      <c r="N54" s="38">
        <v>21.2</v>
      </c>
      <c r="O54" s="38">
        <v>31.706916589399999</v>
      </c>
      <c r="P54" s="197">
        <v>0.56509417788369598</v>
      </c>
      <c r="Q54" s="38">
        <v>3.1613742221718</v>
      </c>
      <c r="R54" s="38">
        <v>6.7537892363765097</v>
      </c>
      <c r="S54" s="38">
        <v>12.0139922623303</v>
      </c>
      <c r="T54" s="38"/>
      <c r="U54" s="38"/>
      <c r="V54" s="38"/>
      <c r="W54" s="270">
        <v>6.5529999999999999</v>
      </c>
      <c r="X54" s="133">
        <v>6.2009999999999996</v>
      </c>
      <c r="Y54" s="133">
        <v>7.093</v>
      </c>
      <c r="Z54" s="133">
        <v>7.0369999999999999</v>
      </c>
      <c r="AA54" s="133">
        <v>6.9539999999999997</v>
      </c>
      <c r="AB54" s="274">
        <v>6.819</v>
      </c>
      <c r="AC54" s="37">
        <v>560000</v>
      </c>
      <c r="AD54" s="11">
        <v>0.11530430999999999</v>
      </c>
      <c r="AE54" s="30">
        <v>45352</v>
      </c>
      <c r="AF54" s="37">
        <v>64570.413599999993</v>
      </c>
      <c r="AG54" s="37">
        <v>65603.295378919269</v>
      </c>
      <c r="AH54" s="37">
        <v>228.69840000000474</v>
      </c>
      <c r="AI54" s="37">
        <v>322.91557480000006</v>
      </c>
      <c r="AJ54" s="37">
        <v>551.61397480000483</v>
      </c>
      <c r="AK54" s="278"/>
      <c r="AL54" s="135">
        <v>0.7</v>
      </c>
      <c r="AM54" s="134">
        <v>750</v>
      </c>
      <c r="AN54" s="132" t="s">
        <v>202</v>
      </c>
      <c r="AO54" s="132" t="s">
        <v>293</v>
      </c>
      <c r="AP54" s="132" t="s">
        <v>139</v>
      </c>
      <c r="AQ54" s="132" t="s">
        <v>294</v>
      </c>
      <c r="AR54" s="135">
        <v>0.40840000000000004</v>
      </c>
      <c r="AS54" s="135">
        <v>4.0000000000000002E-4</v>
      </c>
      <c r="AT54" s="135">
        <v>0</v>
      </c>
      <c r="AU54" s="282">
        <v>2.5499999999999998E-2</v>
      </c>
    </row>
    <row r="55" spans="2:47" s="237" customFormat="1" x14ac:dyDescent="0.25">
      <c r="B55" s="262" t="s">
        <v>149</v>
      </c>
      <c r="C55" s="132" t="s">
        <v>239</v>
      </c>
      <c r="D55" s="132" t="s">
        <v>125</v>
      </c>
      <c r="E55" s="133">
        <v>5.9950000000000001</v>
      </c>
      <c r="F55" s="133">
        <v>6.6959999999999997</v>
      </c>
      <c r="G55" s="134">
        <v>251</v>
      </c>
      <c r="H55" s="134">
        <v>109</v>
      </c>
      <c r="I55" s="223">
        <v>52994</v>
      </c>
      <c r="J55" s="224">
        <v>2</v>
      </c>
      <c r="K55" s="134">
        <v>430224</v>
      </c>
      <c r="L55" s="134">
        <v>450000</v>
      </c>
      <c r="M55" s="266">
        <v>99.089771270751953</v>
      </c>
      <c r="N55" s="38">
        <v>23.73</v>
      </c>
      <c r="O55" s="38">
        <v>19.162170316699999</v>
      </c>
      <c r="P55" s="197">
        <v>3.74947011277622</v>
      </c>
      <c r="Q55" s="38">
        <v>5.28394717264257</v>
      </c>
      <c r="R55" s="38">
        <v>4.5336954086615604</v>
      </c>
      <c r="S55" s="38">
        <v>4.0636901848874398</v>
      </c>
      <c r="T55" s="38"/>
      <c r="U55" s="38"/>
      <c r="V55" s="38"/>
      <c r="W55" s="270">
        <v>7.1059999999999999</v>
      </c>
      <c r="X55" s="133">
        <v>7.1230000000000002</v>
      </c>
      <c r="Y55" s="133">
        <v>7.181</v>
      </c>
      <c r="Z55" s="133">
        <v>7.1749999999999998</v>
      </c>
      <c r="AA55" s="133">
        <v>7.1779999999999999</v>
      </c>
      <c r="AB55" s="274">
        <v>7.18</v>
      </c>
      <c r="AC55" s="37">
        <v>2900000</v>
      </c>
      <c r="AD55" s="11">
        <v>6.5979549999999998E-2</v>
      </c>
      <c r="AE55" s="30">
        <v>45352</v>
      </c>
      <c r="AF55" s="37">
        <v>191340.69500000001</v>
      </c>
      <c r="AG55" s="37">
        <v>189599.05702336715</v>
      </c>
      <c r="AH55" s="37">
        <v>960.53800000002047</v>
      </c>
      <c r="AI55" s="37">
        <v>960.70490986250013</v>
      </c>
      <c r="AJ55" s="37">
        <v>1921.2429098625207</v>
      </c>
      <c r="AK55" s="278"/>
      <c r="AL55" s="135">
        <v>0.51</v>
      </c>
      <c r="AM55" s="134">
        <v>722</v>
      </c>
      <c r="AN55" s="132" t="s">
        <v>240</v>
      </c>
      <c r="AO55" s="132" t="s">
        <v>138</v>
      </c>
      <c r="AP55" s="132" t="s">
        <v>241</v>
      </c>
      <c r="AQ55" s="132" t="s">
        <v>242</v>
      </c>
      <c r="AR55" s="135">
        <v>1</v>
      </c>
      <c r="AS55" s="135">
        <v>0</v>
      </c>
      <c r="AT55" s="135">
        <v>0</v>
      </c>
      <c r="AU55" s="282">
        <v>0</v>
      </c>
    </row>
    <row r="56" spans="2:47" s="237" customFormat="1" x14ac:dyDescent="0.25">
      <c r="B56" s="262" t="s">
        <v>152</v>
      </c>
      <c r="C56" s="132" t="s">
        <v>248</v>
      </c>
      <c r="D56" s="132" t="s">
        <v>125</v>
      </c>
      <c r="E56" s="133">
        <v>6.05</v>
      </c>
      <c r="F56" s="133">
        <v>6.5</v>
      </c>
      <c r="G56" s="134">
        <v>172</v>
      </c>
      <c r="H56" s="134">
        <v>188</v>
      </c>
      <c r="I56" s="223">
        <v>50618</v>
      </c>
      <c r="J56" s="224">
        <v>1</v>
      </c>
      <c r="K56" s="134">
        <v>250000</v>
      </c>
      <c r="L56" s="134">
        <v>250000</v>
      </c>
      <c r="M56" s="266">
        <v>100.81143188476563</v>
      </c>
      <c r="N56" s="38">
        <v>24.81</v>
      </c>
      <c r="O56" s="38">
        <v>12.957252673099999</v>
      </c>
      <c r="P56" s="197">
        <v>8.9376601712931603E-4</v>
      </c>
      <c r="Q56" s="38">
        <v>-1.13997853712355E-4</v>
      </c>
      <c r="R56" s="38">
        <v>-8.5259211690669207E-6</v>
      </c>
      <c r="S56" s="38">
        <v>34.6029729434199</v>
      </c>
      <c r="T56" s="38"/>
      <c r="U56" s="38"/>
      <c r="V56" s="38"/>
      <c r="W56" s="270">
        <v>6.891</v>
      </c>
      <c r="X56" s="133">
        <v>7.1109999999999998</v>
      </c>
      <c r="Y56" s="133">
        <v>7.3010000000000002</v>
      </c>
      <c r="Z56" s="133"/>
      <c r="AA56" s="133"/>
      <c r="AB56" s="274">
        <v>6.6769999999999996</v>
      </c>
      <c r="AC56" s="37">
        <v>21606070</v>
      </c>
      <c r="AD56" s="11">
        <v>7.2571099999999998E-3</v>
      </c>
      <c r="AE56" s="30">
        <v>45352</v>
      </c>
      <c r="AF56" s="37">
        <v>156797.62665769999</v>
      </c>
      <c r="AG56" s="37">
        <v>158069.93259495634</v>
      </c>
      <c r="AH56" s="37">
        <v>551.38690640000493</v>
      </c>
      <c r="AI56" s="37">
        <v>793.30127671900414</v>
      </c>
      <c r="AJ56" s="37">
        <v>1344.688183119009</v>
      </c>
      <c r="AK56" s="278"/>
      <c r="AL56" s="135">
        <v>0.36</v>
      </c>
      <c r="AM56" s="134">
        <v>762</v>
      </c>
      <c r="AN56" s="132" t="s">
        <v>249</v>
      </c>
      <c r="AO56" s="132" t="s">
        <v>128</v>
      </c>
      <c r="AP56" s="132" t="s">
        <v>250</v>
      </c>
      <c r="AQ56" s="132" t="s">
        <v>251</v>
      </c>
      <c r="AR56" s="135">
        <v>0</v>
      </c>
      <c r="AS56" s="135">
        <v>0</v>
      </c>
      <c r="AT56" s="135">
        <v>0</v>
      </c>
      <c r="AU56" s="282">
        <v>0</v>
      </c>
    </row>
    <row r="57" spans="2:47" s="237" customFormat="1" x14ac:dyDescent="0.25">
      <c r="B57" s="262" t="s">
        <v>144</v>
      </c>
      <c r="C57" s="132" t="s">
        <v>216</v>
      </c>
      <c r="D57" s="132" t="s">
        <v>125</v>
      </c>
      <c r="E57" s="133">
        <v>5.9539999999999997</v>
      </c>
      <c r="F57" s="133">
        <v>6.5030000000000001</v>
      </c>
      <c r="G57" s="134">
        <v>174</v>
      </c>
      <c r="H57" s="134">
        <v>186</v>
      </c>
      <c r="I57" s="223">
        <v>50679</v>
      </c>
      <c r="J57" s="224">
        <v>4</v>
      </c>
      <c r="K57" s="134">
        <v>219585</v>
      </c>
      <c r="L57" s="134">
        <v>293000</v>
      </c>
      <c r="M57" s="266">
        <v>100.50043106079102</v>
      </c>
      <c r="N57" s="38">
        <v>20.61</v>
      </c>
      <c r="O57" s="38">
        <v>11.762373414500001</v>
      </c>
      <c r="P57" s="197">
        <v>3.5696351331140099</v>
      </c>
      <c r="Q57" s="38">
        <v>1.3162773811078601</v>
      </c>
      <c r="R57" s="38">
        <v>0.80840803564349295</v>
      </c>
      <c r="S57" s="38">
        <v>0.57453330259232804</v>
      </c>
      <c r="T57" s="38"/>
      <c r="U57" s="38"/>
      <c r="V57" s="38"/>
      <c r="W57" s="270">
        <v>6.9039999999999999</v>
      </c>
      <c r="X57" s="133">
        <v>7.0510000000000002</v>
      </c>
      <c r="Y57" s="133">
        <v>7.1680000000000001</v>
      </c>
      <c r="Z57" s="133">
        <v>7.1970000000000001</v>
      </c>
      <c r="AA57" s="133">
        <v>7.2030000000000003</v>
      </c>
      <c r="AB57" s="274">
        <v>7.2060000000000004</v>
      </c>
      <c r="AC57" s="37">
        <v>19956563</v>
      </c>
      <c r="AD57" s="11">
        <v>1.8310549999999998E-2</v>
      </c>
      <c r="AE57" s="30">
        <v>45352</v>
      </c>
      <c r="AF57" s="37">
        <v>365415.64463964995</v>
      </c>
      <c r="AG57" s="37">
        <v>367244.29802641645</v>
      </c>
      <c r="AH57" s="37">
        <v>2374.0327344800257</v>
      </c>
      <c r="AI57" s="37">
        <v>1824.8497825713084</v>
      </c>
      <c r="AJ57" s="37">
        <v>4198.8825170513337</v>
      </c>
      <c r="AK57" s="278"/>
      <c r="AL57" s="135">
        <v>0.78</v>
      </c>
      <c r="AM57" s="134">
        <v>736</v>
      </c>
      <c r="AN57" s="132" t="s">
        <v>217</v>
      </c>
      <c r="AO57" s="132" t="s">
        <v>218</v>
      </c>
      <c r="AP57" s="132" t="s">
        <v>219</v>
      </c>
      <c r="AQ57" s="132" t="s">
        <v>220</v>
      </c>
      <c r="AR57" s="135">
        <v>0</v>
      </c>
      <c r="AS57" s="135">
        <v>0</v>
      </c>
      <c r="AT57" s="135">
        <v>0</v>
      </c>
      <c r="AU57" s="282">
        <v>0</v>
      </c>
    </row>
    <row r="58" spans="2:47" s="237" customFormat="1" x14ac:dyDescent="0.25">
      <c r="B58" s="263" t="s">
        <v>210</v>
      </c>
      <c r="C58" s="199"/>
      <c r="D58" s="199"/>
      <c r="E58" s="200">
        <v>0</v>
      </c>
      <c r="F58" s="200">
        <v>0</v>
      </c>
      <c r="G58" s="129">
        <v>0</v>
      </c>
      <c r="H58" s="129">
        <v>0</v>
      </c>
      <c r="I58" s="201">
        <v>0</v>
      </c>
      <c r="J58" s="202">
        <v>22</v>
      </c>
      <c r="K58" s="129">
        <v>0</v>
      </c>
      <c r="L58" s="129">
        <v>0</v>
      </c>
      <c r="M58" s="267">
        <v>0</v>
      </c>
      <c r="N58" s="208">
        <v>0</v>
      </c>
      <c r="O58" s="208">
        <v>0</v>
      </c>
      <c r="P58" s="208">
        <v>0</v>
      </c>
      <c r="Q58" s="208">
        <v>0</v>
      </c>
      <c r="R58" s="208">
        <v>0</v>
      </c>
      <c r="S58" s="208">
        <v>0</v>
      </c>
      <c r="T58" s="208">
        <v>0</v>
      </c>
      <c r="U58" s="208">
        <v>0</v>
      </c>
      <c r="V58" s="208">
        <v>0</v>
      </c>
      <c r="W58" s="271">
        <v>0</v>
      </c>
      <c r="X58" s="200"/>
      <c r="Y58" s="200"/>
      <c r="Z58" s="200"/>
      <c r="AA58" s="200">
        <v>0</v>
      </c>
      <c r="AB58" s="275">
        <v>0</v>
      </c>
      <c r="AC58" s="207">
        <v>69.989999999999995</v>
      </c>
      <c r="AD58" s="209">
        <v>0</v>
      </c>
      <c r="AE58" s="210">
        <v>0</v>
      </c>
      <c r="AF58" s="207">
        <v>1748469.0674572298</v>
      </c>
      <c r="AG58" s="207">
        <v>0.15604368999999998</v>
      </c>
      <c r="AH58" s="207">
        <v>453520</v>
      </c>
      <c r="AI58" s="207">
        <v>1748469.0674572298</v>
      </c>
      <c r="AJ58" s="207">
        <v>1763366.1649386985</v>
      </c>
      <c r="AK58" s="279"/>
      <c r="AL58" s="206">
        <v>0</v>
      </c>
      <c r="AM58" s="129">
        <v>0</v>
      </c>
      <c r="AN58" s="199"/>
      <c r="AO58" s="199"/>
      <c r="AP58" s="199"/>
      <c r="AQ58" s="199"/>
      <c r="AR58" s="206">
        <v>0</v>
      </c>
      <c r="AS58" s="206">
        <v>0</v>
      </c>
      <c r="AT58" s="206">
        <v>0</v>
      </c>
      <c r="AU58" s="283">
        <v>0</v>
      </c>
    </row>
    <row r="59" spans="2:47" s="237" customFormat="1" x14ac:dyDescent="0.25">
      <c r="B59" s="262" t="s">
        <v>162</v>
      </c>
      <c r="C59" s="132" t="s">
        <v>286</v>
      </c>
      <c r="D59" s="132" t="s">
        <v>125</v>
      </c>
      <c r="E59" s="133">
        <v>6.1440000000000001</v>
      </c>
      <c r="F59" s="133">
        <v>6.6539999999999999</v>
      </c>
      <c r="G59" s="134">
        <v>202</v>
      </c>
      <c r="H59" s="134">
        <v>158</v>
      </c>
      <c r="I59" s="223">
        <v>51561</v>
      </c>
      <c r="J59" s="224">
        <v>4</v>
      </c>
      <c r="K59" s="134">
        <v>331955</v>
      </c>
      <c r="L59" s="134">
        <v>412000</v>
      </c>
      <c r="M59" s="266">
        <v>100.13597869873047</v>
      </c>
      <c r="N59" s="38">
        <v>15.45</v>
      </c>
      <c r="O59" s="38">
        <v>12.0609634215</v>
      </c>
      <c r="P59" s="197">
        <v>-5.7093611889769101E-3</v>
      </c>
      <c r="Q59" s="38">
        <v>1.0685301398138901E-4</v>
      </c>
      <c r="R59" s="38">
        <v>-2.4718286727454198E-3</v>
      </c>
      <c r="S59" s="38">
        <v>-3.5496605787832501E-3</v>
      </c>
      <c r="T59" s="38"/>
      <c r="U59" s="38"/>
      <c r="V59" s="38"/>
      <c r="W59" s="270">
        <v>7.0830000000000002</v>
      </c>
      <c r="X59" s="133">
        <v>7.1340000000000003</v>
      </c>
      <c r="Y59" s="133"/>
      <c r="Z59" s="133">
        <v>7.2919999999999998</v>
      </c>
      <c r="AA59" s="133"/>
      <c r="AB59" s="274"/>
      <c r="AC59" s="37">
        <v>1000000</v>
      </c>
      <c r="AD59" s="11">
        <v>7.7269119999999997E-2</v>
      </c>
      <c r="AE59" s="30">
        <v>45352</v>
      </c>
      <c r="AF59" s="37">
        <v>77269.119999999995</v>
      </c>
      <c r="AG59" s="37">
        <v>77374.189543896471</v>
      </c>
      <c r="AH59" s="37">
        <v>206.9100000000046</v>
      </c>
      <c r="AI59" s="37">
        <v>396.67727359999998</v>
      </c>
      <c r="AJ59" s="37">
        <v>603.58727360000455</v>
      </c>
      <c r="AK59" s="278"/>
      <c r="AL59" s="135">
        <v>0.59</v>
      </c>
      <c r="AM59" s="134">
        <v>775</v>
      </c>
      <c r="AN59" s="132" t="s">
        <v>202</v>
      </c>
      <c r="AO59" s="132" t="s">
        <v>287</v>
      </c>
      <c r="AP59" s="132" t="s">
        <v>288</v>
      </c>
      <c r="AQ59" s="132" t="s">
        <v>208</v>
      </c>
      <c r="AR59" s="135">
        <v>0</v>
      </c>
      <c r="AS59" s="135">
        <v>0</v>
      </c>
      <c r="AT59" s="135">
        <v>0</v>
      </c>
      <c r="AU59" s="282">
        <v>0</v>
      </c>
    </row>
    <row r="60" spans="2:47" s="237" customFormat="1" x14ac:dyDescent="0.25">
      <c r="B60" s="262" t="s">
        <v>154</v>
      </c>
      <c r="C60" s="132" t="s">
        <v>255</v>
      </c>
      <c r="D60" s="132" t="s">
        <v>125</v>
      </c>
      <c r="E60" s="133">
        <v>6.0759999999999996</v>
      </c>
      <c r="F60" s="133">
        <v>6.5</v>
      </c>
      <c r="G60" s="134">
        <v>174</v>
      </c>
      <c r="H60" s="134">
        <v>186</v>
      </c>
      <c r="I60" s="223">
        <v>50679</v>
      </c>
      <c r="J60" s="224">
        <v>2</v>
      </c>
      <c r="K60" s="134">
        <v>224528</v>
      </c>
      <c r="L60" s="134">
        <v>235000</v>
      </c>
      <c r="M60" s="266">
        <v>100.65879058837891</v>
      </c>
      <c r="N60" s="38">
        <v>26.73</v>
      </c>
      <c r="O60" s="38">
        <v>11.762373414500001</v>
      </c>
      <c r="P60" s="197">
        <v>0.81084079117438301</v>
      </c>
      <c r="Q60" s="38">
        <v>1.0858308614625101</v>
      </c>
      <c r="R60" s="38">
        <v>13.6555555967446</v>
      </c>
      <c r="S60" s="38">
        <v>7.5833516388316697</v>
      </c>
      <c r="T60" s="38"/>
      <c r="U60" s="38"/>
      <c r="V60" s="38"/>
      <c r="W60" s="270">
        <v>6.8609999999999998</v>
      </c>
      <c r="X60" s="133">
        <v>7.1449999999999996</v>
      </c>
      <c r="Y60" s="133">
        <v>7.3090000000000002</v>
      </c>
      <c r="Z60" s="133">
        <v>7.3049999999999997</v>
      </c>
      <c r="AA60" s="133">
        <v>7.1130000000000004</v>
      </c>
      <c r="AB60" s="274">
        <v>7.2119999999999997</v>
      </c>
      <c r="AC60" s="37">
        <v>27753362</v>
      </c>
      <c r="AD60" s="11">
        <v>5.1320100000000002E-3</v>
      </c>
      <c r="AE60" s="30">
        <v>45352</v>
      </c>
      <c r="AF60" s="37">
        <v>142430.53131762001</v>
      </c>
      <c r="AG60" s="37">
        <v>143368.85025291855</v>
      </c>
      <c r="AH60" s="37">
        <v>588.92634163999298</v>
      </c>
      <c r="AI60" s="37">
        <v>724.15518728138636</v>
      </c>
      <c r="AJ60" s="37">
        <v>1313.0815289213792</v>
      </c>
      <c r="AK60" s="278"/>
      <c r="AL60" s="135">
        <v>0.7</v>
      </c>
      <c r="AM60" s="134">
        <v>743</v>
      </c>
      <c r="AN60" s="132" t="s">
        <v>202</v>
      </c>
      <c r="AO60" s="132" t="s">
        <v>256</v>
      </c>
      <c r="AP60" s="132" t="s">
        <v>257</v>
      </c>
      <c r="AQ60" s="132" t="s">
        <v>258</v>
      </c>
      <c r="AR60" s="135">
        <v>0.90890000000000004</v>
      </c>
      <c r="AS60" s="135">
        <v>0</v>
      </c>
      <c r="AT60" s="135">
        <v>0</v>
      </c>
      <c r="AU60" s="282">
        <v>0</v>
      </c>
    </row>
    <row r="61" spans="2:47" s="237" customFormat="1" x14ac:dyDescent="0.25">
      <c r="B61" s="262" t="s">
        <v>142</v>
      </c>
      <c r="C61" s="132" t="s">
        <v>206</v>
      </c>
      <c r="D61" s="132" t="s">
        <v>125</v>
      </c>
      <c r="E61" s="133">
        <v>6.0810000000000004</v>
      </c>
      <c r="F61" s="133">
        <v>6.5069999999999997</v>
      </c>
      <c r="G61" s="134">
        <v>173</v>
      </c>
      <c r="H61" s="134">
        <v>187</v>
      </c>
      <c r="I61" s="223">
        <v>50679</v>
      </c>
      <c r="J61" s="224">
        <v>5</v>
      </c>
      <c r="K61" s="134">
        <v>206328</v>
      </c>
      <c r="L61" s="134">
        <v>272000</v>
      </c>
      <c r="M61" s="266">
        <v>101.312255859375</v>
      </c>
      <c r="N61" s="38">
        <v>20.37</v>
      </c>
      <c r="O61" s="38">
        <v>11.762373414500001</v>
      </c>
      <c r="P61" s="197">
        <v>0.74528029499013604</v>
      </c>
      <c r="Q61" s="38">
        <v>1.99231947142682</v>
      </c>
      <c r="R61" s="38">
        <v>2.3452267710627801</v>
      </c>
      <c r="S61" s="38">
        <v>2.26865155786858</v>
      </c>
      <c r="T61" s="38"/>
      <c r="U61" s="38"/>
      <c r="V61" s="38"/>
      <c r="W61" s="270">
        <v>6.7949999999999999</v>
      </c>
      <c r="X61" s="133">
        <v>7</v>
      </c>
      <c r="Y61" s="133">
        <v>7.2169999999999996</v>
      </c>
      <c r="Z61" s="133">
        <v>7.1950000000000003</v>
      </c>
      <c r="AA61" s="133">
        <v>7.1890000000000001</v>
      </c>
      <c r="AB61" s="274">
        <v>7.19</v>
      </c>
      <c r="AC61" s="37">
        <v>25986475</v>
      </c>
      <c r="AD61" s="11">
        <v>1.901253E-2</v>
      </c>
      <c r="AE61" s="30">
        <v>45352</v>
      </c>
      <c r="AF61" s="37">
        <v>494068.63553174998</v>
      </c>
      <c r="AG61" s="37">
        <v>500552.08015084954</v>
      </c>
      <c r="AH61" s="37">
        <v>2029.8035622499815</v>
      </c>
      <c r="AI61" s="37">
        <v>2513.9788401088449</v>
      </c>
      <c r="AJ61" s="37">
        <v>4543.7824023588264</v>
      </c>
      <c r="AK61" s="278"/>
      <c r="AL61" s="135">
        <v>0.75</v>
      </c>
      <c r="AM61" s="134">
        <v>723</v>
      </c>
      <c r="AN61" s="132" t="s">
        <v>202</v>
      </c>
      <c r="AO61" s="132" t="s">
        <v>207</v>
      </c>
      <c r="AP61" s="132" t="s">
        <v>208</v>
      </c>
      <c r="AQ61" s="132" t="s">
        <v>209</v>
      </c>
      <c r="AR61" s="135">
        <v>1</v>
      </c>
      <c r="AS61" s="135">
        <v>0</v>
      </c>
      <c r="AT61" s="135">
        <v>0</v>
      </c>
      <c r="AU61" s="282">
        <v>0</v>
      </c>
    </row>
    <row r="62" spans="2:47" s="237" customFormat="1" x14ac:dyDescent="0.25">
      <c r="B62" s="262" t="s">
        <v>151</v>
      </c>
      <c r="C62" s="132" t="s">
        <v>243</v>
      </c>
      <c r="D62" s="132" t="s">
        <v>125</v>
      </c>
      <c r="E62" s="133">
        <v>6.0780000000000003</v>
      </c>
      <c r="F62" s="133">
        <v>6.5</v>
      </c>
      <c r="G62" s="134">
        <v>174</v>
      </c>
      <c r="H62" s="134">
        <v>186</v>
      </c>
      <c r="I62" s="223">
        <v>50649</v>
      </c>
      <c r="J62" s="224">
        <v>2</v>
      </c>
      <c r="K62" s="134">
        <v>190814</v>
      </c>
      <c r="L62" s="134">
        <v>218000</v>
      </c>
      <c r="M62" s="266">
        <v>100.58757019042969</v>
      </c>
      <c r="N62" s="38">
        <v>24.16</v>
      </c>
      <c r="O62" s="38">
        <v>11.762373414500001</v>
      </c>
      <c r="P62" s="197">
        <v>5.38500305962142E-3</v>
      </c>
      <c r="Q62" s="38">
        <v>5.2363127814203398E-3</v>
      </c>
      <c r="R62" s="38">
        <v>5.4105769857315496E-3</v>
      </c>
      <c r="S62" s="38">
        <v>5.7007907736772402E-3</v>
      </c>
      <c r="T62" s="38"/>
      <c r="U62" s="38"/>
      <c r="V62" s="38"/>
      <c r="W62" s="270">
        <v>6.9470000000000001</v>
      </c>
      <c r="X62" s="133">
        <v>7.1669999999999998</v>
      </c>
      <c r="Y62" s="133">
        <v>7.3339999999999996</v>
      </c>
      <c r="Z62" s="133">
        <v>7.3339999999999996</v>
      </c>
      <c r="AA62" s="133">
        <v>7.3339999999999996</v>
      </c>
      <c r="AB62" s="274">
        <v>7.3339999999999996</v>
      </c>
      <c r="AC62" s="37">
        <v>19042676</v>
      </c>
      <c r="AD62" s="11">
        <v>8.5706700000000007E-3</v>
      </c>
      <c r="AE62" s="30">
        <v>45352</v>
      </c>
      <c r="AF62" s="37">
        <v>163208.49191292003</v>
      </c>
      <c r="AG62" s="37">
        <v>164167.45635965018</v>
      </c>
      <c r="AH62" s="37">
        <v>564.42491663998442</v>
      </c>
      <c r="AI62" s="37">
        <v>829.50982374172156</v>
      </c>
      <c r="AJ62" s="37">
        <v>1393.934740381706</v>
      </c>
      <c r="AK62" s="278"/>
      <c r="AL62" s="135">
        <v>0.77</v>
      </c>
      <c r="AM62" s="134">
        <v>740</v>
      </c>
      <c r="AN62" s="132" t="s">
        <v>244</v>
      </c>
      <c r="AO62" s="132" t="s">
        <v>245</v>
      </c>
      <c r="AP62" s="132" t="s">
        <v>246</v>
      </c>
      <c r="AQ62" s="132" t="s">
        <v>247</v>
      </c>
      <c r="AR62" s="135">
        <v>0</v>
      </c>
      <c r="AS62" s="135">
        <v>0</v>
      </c>
      <c r="AT62" s="135">
        <v>0</v>
      </c>
      <c r="AU62" s="282">
        <v>0</v>
      </c>
    </row>
    <row r="63" spans="2:47" s="237" customFormat="1" x14ac:dyDescent="0.25">
      <c r="B63" s="262" t="s">
        <v>156</v>
      </c>
      <c r="C63" s="132" t="s">
        <v>262</v>
      </c>
      <c r="D63" s="132" t="s">
        <v>125</v>
      </c>
      <c r="E63" s="133">
        <v>6.0759999999999996</v>
      </c>
      <c r="F63" s="133">
        <v>6.5</v>
      </c>
      <c r="G63" s="134">
        <v>175</v>
      </c>
      <c r="H63" s="134">
        <v>185</v>
      </c>
      <c r="I63" s="223">
        <v>50679</v>
      </c>
      <c r="J63" s="224">
        <v>1</v>
      </c>
      <c r="K63" s="134">
        <v>241000</v>
      </c>
      <c r="L63" s="134">
        <v>241000</v>
      </c>
      <c r="M63" s="266">
        <v>100.43116760253906</v>
      </c>
      <c r="N63" s="38">
        <v>26.67</v>
      </c>
      <c r="O63" s="38">
        <v>12.957252673099999</v>
      </c>
      <c r="P63" s="197">
        <v>0.25393701472555802</v>
      </c>
      <c r="Q63" s="38">
        <v>0.24961686694698901</v>
      </c>
      <c r="R63" s="38">
        <v>0.35339077194009899</v>
      </c>
      <c r="S63" s="38">
        <v>0.59195308073455299</v>
      </c>
      <c r="T63" s="38"/>
      <c r="U63" s="38"/>
      <c r="V63" s="38"/>
      <c r="W63" s="270">
        <v>6.9160000000000004</v>
      </c>
      <c r="X63" s="133">
        <v>7.157</v>
      </c>
      <c r="Y63" s="133">
        <v>7.335</v>
      </c>
      <c r="Z63" s="133">
        <v>7.335</v>
      </c>
      <c r="AA63" s="133">
        <v>7.3339999999999996</v>
      </c>
      <c r="AB63" s="274">
        <v>7.3310000000000004</v>
      </c>
      <c r="AC63" s="37">
        <v>25002074</v>
      </c>
      <c r="AD63" s="11">
        <v>5.3465300000000004E-3</v>
      </c>
      <c r="AE63" s="30">
        <v>45352</v>
      </c>
      <c r="AF63" s="37">
        <v>133674.33870322001</v>
      </c>
      <c r="AG63" s="37">
        <v>134250.69914461664</v>
      </c>
      <c r="AH63" s="37">
        <v>486.04031855999773</v>
      </c>
      <c r="AI63" s="37">
        <v>679.29871911361283</v>
      </c>
      <c r="AJ63" s="37">
        <v>1165.3390376736106</v>
      </c>
      <c r="AK63" s="278"/>
      <c r="AL63" s="135">
        <v>0.85</v>
      </c>
      <c r="AM63" s="134">
        <v>791</v>
      </c>
      <c r="AN63" s="132" t="s">
        <v>244</v>
      </c>
      <c r="AO63" s="132" t="s">
        <v>263</v>
      </c>
      <c r="AP63" s="132" t="s">
        <v>264</v>
      </c>
      <c r="AQ63" s="132" t="s">
        <v>265</v>
      </c>
      <c r="AR63" s="135">
        <v>0</v>
      </c>
      <c r="AS63" s="135">
        <v>0</v>
      </c>
      <c r="AT63" s="135">
        <v>0</v>
      </c>
      <c r="AU63" s="282">
        <v>0</v>
      </c>
    </row>
    <row r="64" spans="2:47" s="237" customFormat="1" x14ac:dyDescent="0.25">
      <c r="B64" s="262" t="s">
        <v>143</v>
      </c>
      <c r="C64" s="132" t="s">
        <v>211</v>
      </c>
      <c r="D64" s="132" t="s">
        <v>125</v>
      </c>
      <c r="E64" s="133">
        <v>6.0750000000000002</v>
      </c>
      <c r="F64" s="133">
        <v>6.5</v>
      </c>
      <c r="G64" s="134">
        <v>172</v>
      </c>
      <c r="H64" s="134">
        <v>188</v>
      </c>
      <c r="I64" s="223">
        <v>50618</v>
      </c>
      <c r="J64" s="224">
        <v>3</v>
      </c>
      <c r="K64" s="134">
        <v>269998</v>
      </c>
      <c r="L64" s="134">
        <v>359000</v>
      </c>
      <c r="M64" s="266">
        <v>100.84714126586914</v>
      </c>
      <c r="N64" s="38">
        <v>19.309999999999999</v>
      </c>
      <c r="O64" s="38">
        <v>12.957252673099999</v>
      </c>
      <c r="P64" s="197">
        <v>0.433068529778047</v>
      </c>
      <c r="Q64" s="38">
        <v>4.79719601172149</v>
      </c>
      <c r="R64" s="38">
        <v>5.4268302973362896</v>
      </c>
      <c r="S64" s="38">
        <v>3.1618069306819701</v>
      </c>
      <c r="T64" s="38"/>
      <c r="U64" s="38"/>
      <c r="V64" s="38"/>
      <c r="W64" s="270">
        <v>7.0110000000000001</v>
      </c>
      <c r="X64" s="133">
        <v>7.1260000000000003</v>
      </c>
      <c r="Y64" s="133">
        <v>7.3150000000000004</v>
      </c>
      <c r="Z64" s="133">
        <v>7.2549999999999999</v>
      </c>
      <c r="AA64" s="133">
        <v>7.2460000000000004</v>
      </c>
      <c r="AB64" s="274">
        <v>7.2779999999999996</v>
      </c>
      <c r="AC64" s="37">
        <v>16786252</v>
      </c>
      <c r="AD64" s="11">
        <v>2.1924220000000001E-2</v>
      </c>
      <c r="AE64" s="30">
        <v>45352</v>
      </c>
      <c r="AF64" s="37">
        <v>368025.48182344</v>
      </c>
      <c r="AG64" s="37">
        <v>371143.17754888011</v>
      </c>
      <c r="AH64" s="37">
        <v>1427.5028700799669</v>
      </c>
      <c r="AI64" s="37">
        <v>1870.3557350109452</v>
      </c>
      <c r="AJ64" s="37">
        <v>3297.8586050909121</v>
      </c>
      <c r="AK64" s="278"/>
      <c r="AL64" s="135">
        <v>0.79</v>
      </c>
      <c r="AM64" s="134">
        <v>713</v>
      </c>
      <c r="AN64" s="132" t="s">
        <v>212</v>
      </c>
      <c r="AO64" s="132" t="s">
        <v>213</v>
      </c>
      <c r="AP64" s="132" t="s">
        <v>214</v>
      </c>
      <c r="AQ64" s="132" t="s">
        <v>215</v>
      </c>
      <c r="AR64" s="135">
        <v>0.20559999999999998</v>
      </c>
      <c r="AS64" s="135">
        <v>0</v>
      </c>
      <c r="AT64" s="135">
        <v>0</v>
      </c>
      <c r="AU64" s="282">
        <v>0</v>
      </c>
    </row>
    <row r="65" spans="2:47" s="237" customFormat="1" x14ac:dyDescent="0.25">
      <c r="B65" s="262" t="s">
        <v>167</v>
      </c>
      <c r="C65" s="132" t="s">
        <v>302</v>
      </c>
      <c r="D65" s="132" t="s">
        <v>125</v>
      </c>
      <c r="E65" s="133">
        <v>6.08</v>
      </c>
      <c r="F65" s="133">
        <v>6.5</v>
      </c>
      <c r="G65" s="134">
        <v>174</v>
      </c>
      <c r="H65" s="134">
        <v>186</v>
      </c>
      <c r="I65" s="223">
        <v>50649</v>
      </c>
      <c r="J65" s="224">
        <v>1</v>
      </c>
      <c r="K65" s="134">
        <v>417000</v>
      </c>
      <c r="L65" s="134">
        <v>417000</v>
      </c>
      <c r="M65" s="266">
        <v>100.57480621337891</v>
      </c>
      <c r="N65" s="38">
        <v>30.16</v>
      </c>
      <c r="O65" s="38">
        <v>11.762373414500001</v>
      </c>
      <c r="P65" s="198">
        <v>91.365097260925893</v>
      </c>
      <c r="Q65" s="38">
        <v>91.2062306495027</v>
      </c>
      <c r="R65" s="38">
        <v>95.486833804331795</v>
      </c>
      <c r="S65" s="38">
        <v>80.298313051407305</v>
      </c>
      <c r="T65" s="38"/>
      <c r="U65" s="38"/>
      <c r="V65" s="38"/>
      <c r="W65" s="270">
        <v>6.827</v>
      </c>
      <c r="X65" s="133">
        <v>7.1680000000000001</v>
      </c>
      <c r="Y65" s="133">
        <v>4.4240000000000004</v>
      </c>
      <c r="Z65" s="133">
        <v>4.4400000000000004</v>
      </c>
      <c r="AA65" s="133">
        <v>3.8959999999999999</v>
      </c>
      <c r="AB65" s="274">
        <v>5.2210000000000001</v>
      </c>
      <c r="AC65" s="37">
        <v>12045629</v>
      </c>
      <c r="AD65" s="11">
        <v>2.4484900000000002E-3</v>
      </c>
      <c r="AE65" s="30">
        <v>45352</v>
      </c>
      <c r="AF65" s="37">
        <v>29493.602150210001</v>
      </c>
      <c r="AG65" s="37">
        <v>29663.133207918661</v>
      </c>
      <c r="AH65" s="37">
        <v>6803.3712591999983</v>
      </c>
      <c r="AI65" s="37">
        <v>183.90466527434401</v>
      </c>
      <c r="AJ65" s="37">
        <v>6987.275924474342</v>
      </c>
      <c r="AK65" s="278"/>
      <c r="AL65" s="135">
        <v>0.7</v>
      </c>
      <c r="AM65" s="134">
        <v>723</v>
      </c>
      <c r="AN65" s="132" t="s">
        <v>303</v>
      </c>
      <c r="AO65" s="132" t="s">
        <v>304</v>
      </c>
      <c r="AP65" s="132" t="s">
        <v>305</v>
      </c>
      <c r="AQ65" s="132" t="s">
        <v>306</v>
      </c>
      <c r="AR65" s="135">
        <v>1</v>
      </c>
      <c r="AS65" s="135">
        <v>0</v>
      </c>
      <c r="AT65" s="135">
        <v>0</v>
      </c>
      <c r="AU65" s="282">
        <v>0</v>
      </c>
    </row>
    <row r="66" spans="2:47" s="237" customFormat="1" x14ac:dyDescent="0.25">
      <c r="B66" s="262" t="s">
        <v>173</v>
      </c>
      <c r="C66" s="132" t="s">
        <v>323</v>
      </c>
      <c r="D66" s="132" t="s">
        <v>125</v>
      </c>
      <c r="E66" s="133">
        <v>6.06</v>
      </c>
      <c r="F66" s="133">
        <v>6.5</v>
      </c>
      <c r="G66" s="134">
        <v>172</v>
      </c>
      <c r="H66" s="134">
        <v>188</v>
      </c>
      <c r="I66" s="223">
        <v>50587</v>
      </c>
      <c r="J66" s="224">
        <v>1</v>
      </c>
      <c r="K66" s="134">
        <v>139000</v>
      </c>
      <c r="L66" s="134">
        <v>139000</v>
      </c>
      <c r="M66" s="266">
        <v>100.90427017211914</v>
      </c>
      <c r="N66" s="38">
        <v>32.31</v>
      </c>
      <c r="O66" s="38">
        <v>12.957252673099999</v>
      </c>
      <c r="P66" s="197">
        <v>3.16303205046276E-2</v>
      </c>
      <c r="Q66" s="38">
        <v>3.6831438366258198E-2</v>
      </c>
      <c r="R66" s="38">
        <v>3.5781843681359497E-2</v>
      </c>
      <c r="S66" s="38">
        <v>0.84146597312068105</v>
      </c>
      <c r="T66" s="38"/>
      <c r="U66" s="38"/>
      <c r="V66" s="38"/>
      <c r="W66" s="270">
        <v>6.6929999999999996</v>
      </c>
      <c r="X66" s="133">
        <v>7.0949999999999998</v>
      </c>
      <c r="Y66" s="133">
        <v>7.2949999999999999</v>
      </c>
      <c r="Z66" s="133">
        <v>7.2949999999999999</v>
      </c>
      <c r="AA66" s="133">
        <v>7.2949999999999999</v>
      </c>
      <c r="AB66" s="274">
        <v>7.2839999999999998</v>
      </c>
      <c r="AC66" s="37">
        <v>21549592</v>
      </c>
      <c r="AD66" s="11">
        <v>1.39459E-3</v>
      </c>
      <c r="AE66" s="30">
        <v>45352</v>
      </c>
      <c r="AF66" s="37">
        <v>30052.845507279999</v>
      </c>
      <c r="AG66" s="37">
        <v>30324.60442507538</v>
      </c>
      <c r="AH66" s="37">
        <v>106.45498447999861</v>
      </c>
      <c r="AI66" s="37">
        <v>152.30446748338798</v>
      </c>
      <c r="AJ66" s="37">
        <v>258.7594519633866</v>
      </c>
      <c r="AK66" s="278"/>
      <c r="AL66" s="135">
        <v>0.64</v>
      </c>
      <c r="AM66" s="134">
        <v>748</v>
      </c>
      <c r="AN66" s="132" t="s">
        <v>324</v>
      </c>
      <c r="AO66" s="132" t="s">
        <v>128</v>
      </c>
      <c r="AP66" s="132" t="s">
        <v>139</v>
      </c>
      <c r="AQ66" s="132" t="s">
        <v>325</v>
      </c>
      <c r="AR66" s="135">
        <v>0</v>
      </c>
      <c r="AS66" s="135">
        <v>0</v>
      </c>
      <c r="AT66" s="135">
        <v>0</v>
      </c>
      <c r="AU66" s="282">
        <v>0</v>
      </c>
    </row>
    <row r="67" spans="2:47" s="237" customFormat="1" x14ac:dyDescent="0.25">
      <c r="B67" s="262" t="s">
        <v>146</v>
      </c>
      <c r="C67" s="132" t="s">
        <v>226</v>
      </c>
      <c r="D67" s="132" t="s">
        <v>125</v>
      </c>
      <c r="E67" s="133">
        <v>6.1029999999999998</v>
      </c>
      <c r="F67" s="133">
        <v>6.5</v>
      </c>
      <c r="G67" s="134">
        <v>173</v>
      </c>
      <c r="H67" s="134">
        <v>187</v>
      </c>
      <c r="I67" s="223">
        <v>50649</v>
      </c>
      <c r="J67" s="224">
        <v>2</v>
      </c>
      <c r="K67" s="134">
        <v>272499</v>
      </c>
      <c r="L67" s="134">
        <v>300000</v>
      </c>
      <c r="M67" s="266">
        <v>100.74744415283203</v>
      </c>
      <c r="N67" s="38">
        <v>22</v>
      </c>
      <c r="O67" s="38">
        <v>11.762373414500001</v>
      </c>
      <c r="P67" s="197">
        <v>3.36336967478544</v>
      </c>
      <c r="Q67" s="38">
        <v>3.9904781521364998</v>
      </c>
      <c r="R67" s="38">
        <v>19.8654275991364</v>
      </c>
      <c r="S67" s="38">
        <v>12.0246683545131</v>
      </c>
      <c r="T67" s="38"/>
      <c r="U67" s="38"/>
      <c r="V67" s="38"/>
      <c r="W67" s="270">
        <v>6.9850000000000003</v>
      </c>
      <c r="X67" s="133">
        <v>7.173</v>
      </c>
      <c r="Y67" s="133">
        <v>7.3019999999999996</v>
      </c>
      <c r="Z67" s="133">
        <v>7.2930000000000001</v>
      </c>
      <c r="AA67" s="133">
        <v>7.0270000000000001</v>
      </c>
      <c r="AB67" s="274">
        <v>7.1689999999999996</v>
      </c>
      <c r="AC67" s="37">
        <v>21116365</v>
      </c>
      <c r="AD67" s="11">
        <v>1.323064E-2</v>
      </c>
      <c r="AE67" s="30">
        <v>45352</v>
      </c>
      <c r="AF67" s="37">
        <v>279383.02342360001</v>
      </c>
      <c r="AG67" s="37">
        <v>281471.25549618504</v>
      </c>
      <c r="AH67" s="37">
        <v>1773.9858236500145</v>
      </c>
      <c r="AI67" s="37">
        <v>1429.9176895299724</v>
      </c>
      <c r="AJ67" s="37">
        <v>3203.9035131799869</v>
      </c>
      <c r="AK67" s="278"/>
      <c r="AL67" s="135">
        <v>0.81</v>
      </c>
      <c r="AM67" s="134">
        <v>788</v>
      </c>
      <c r="AN67" s="132" t="s">
        <v>227</v>
      </c>
      <c r="AO67" s="132" t="s">
        <v>228</v>
      </c>
      <c r="AP67" s="132" t="s">
        <v>229</v>
      </c>
      <c r="AQ67" s="132" t="s">
        <v>124</v>
      </c>
      <c r="AR67" s="135">
        <v>1</v>
      </c>
      <c r="AS67" s="135">
        <v>0</v>
      </c>
      <c r="AT67" s="135">
        <v>0</v>
      </c>
      <c r="AU67" s="282">
        <v>0</v>
      </c>
    </row>
    <row r="68" spans="2:47" s="237" customFormat="1" x14ac:dyDescent="0.25">
      <c r="B68" s="262" t="s">
        <v>172</v>
      </c>
      <c r="C68" s="132" t="s">
        <v>319</v>
      </c>
      <c r="D68" s="132" t="s">
        <v>125</v>
      </c>
      <c r="E68" s="133">
        <v>6.1029999999999998</v>
      </c>
      <c r="F68" s="133">
        <v>6.5</v>
      </c>
      <c r="G68" s="134">
        <v>174</v>
      </c>
      <c r="H68" s="134">
        <v>186</v>
      </c>
      <c r="I68" s="223">
        <v>50649</v>
      </c>
      <c r="J68" s="224">
        <v>1</v>
      </c>
      <c r="K68" s="134">
        <v>98000</v>
      </c>
      <c r="L68" s="134">
        <v>98000</v>
      </c>
      <c r="M68" s="266">
        <v>100.60824203491211</v>
      </c>
      <c r="N68" s="38">
        <v>31.75</v>
      </c>
      <c r="O68" s="38">
        <v>11.762373414500001</v>
      </c>
      <c r="P68" s="197">
        <v>7.88425793356389</v>
      </c>
      <c r="Q68" s="38">
        <v>7.7419883434599601</v>
      </c>
      <c r="R68" s="38">
        <v>7.5392760128165399</v>
      </c>
      <c r="S68" s="38">
        <v>7.4601646465863301</v>
      </c>
      <c r="T68" s="38"/>
      <c r="U68" s="38"/>
      <c r="V68" s="38"/>
      <c r="W68" s="270">
        <v>6.7990000000000004</v>
      </c>
      <c r="X68" s="133">
        <v>7.1829999999999998</v>
      </c>
      <c r="Y68" s="133">
        <v>7.2439999999999998</v>
      </c>
      <c r="Z68" s="133">
        <v>7.2460000000000004</v>
      </c>
      <c r="AA68" s="133">
        <v>7.2489999999999997</v>
      </c>
      <c r="AB68" s="274">
        <v>7.25</v>
      </c>
      <c r="AC68" s="37">
        <v>17997071</v>
      </c>
      <c r="AD68" s="11">
        <v>1.7148899999999999E-3</v>
      </c>
      <c r="AE68" s="30">
        <v>45352</v>
      </c>
      <c r="AF68" s="37">
        <v>30862.99708719</v>
      </c>
      <c r="AG68" s="37">
        <v>31050.718808707992</v>
      </c>
      <c r="AH68" s="37">
        <v>319.26803954000053</v>
      </c>
      <c r="AI68" s="37">
        <v>158.58780339036099</v>
      </c>
      <c r="AJ68" s="37">
        <v>477.85584293036152</v>
      </c>
      <c r="AK68" s="278"/>
      <c r="AL68" s="135">
        <v>0.85</v>
      </c>
      <c r="AM68" s="134">
        <v>674</v>
      </c>
      <c r="AN68" s="132" t="s">
        <v>227</v>
      </c>
      <c r="AO68" s="132" t="s">
        <v>320</v>
      </c>
      <c r="AP68" s="132" t="s">
        <v>321</v>
      </c>
      <c r="AQ68" s="132" t="s">
        <v>322</v>
      </c>
      <c r="AR68" s="135">
        <v>1</v>
      </c>
      <c r="AS68" s="135">
        <v>0</v>
      </c>
      <c r="AT68" s="135">
        <v>0</v>
      </c>
      <c r="AU68" s="282">
        <v>0</v>
      </c>
    </row>
    <row r="69" spans="2:47" s="237" customFormat="1" x14ac:dyDescent="0.25">
      <c r="B69" s="263" t="s">
        <v>366</v>
      </c>
      <c r="C69" s="199"/>
      <c r="D69" s="199"/>
      <c r="E69" s="200">
        <v>0</v>
      </c>
      <c r="F69" s="200">
        <v>0</v>
      </c>
      <c r="G69" s="129">
        <v>0</v>
      </c>
      <c r="H69" s="129">
        <v>0</v>
      </c>
      <c r="I69" s="201">
        <v>0</v>
      </c>
      <c r="J69" s="202">
        <v>3</v>
      </c>
      <c r="K69" s="129">
        <v>0</v>
      </c>
      <c r="L69" s="129">
        <v>0</v>
      </c>
      <c r="M69" s="267">
        <v>0</v>
      </c>
      <c r="N69" s="208">
        <v>0</v>
      </c>
      <c r="O69" s="208">
        <v>0</v>
      </c>
      <c r="P69" s="208">
        <v>0</v>
      </c>
      <c r="Q69" s="208">
        <v>0</v>
      </c>
      <c r="R69" s="208">
        <v>0</v>
      </c>
      <c r="S69" s="208">
        <v>0</v>
      </c>
      <c r="T69" s="208">
        <v>0</v>
      </c>
      <c r="U69" s="208">
        <v>0</v>
      </c>
      <c r="V69" s="208">
        <v>0</v>
      </c>
      <c r="W69" s="271">
        <v>0</v>
      </c>
      <c r="X69" s="200"/>
      <c r="Y69" s="200"/>
      <c r="Z69" s="200"/>
      <c r="AA69" s="200">
        <v>0</v>
      </c>
      <c r="AB69" s="275">
        <v>0</v>
      </c>
      <c r="AC69" s="207">
        <v>0</v>
      </c>
      <c r="AD69" s="209">
        <v>0</v>
      </c>
      <c r="AE69" s="210">
        <v>0</v>
      </c>
      <c r="AF69" s="207">
        <v>16401.84</v>
      </c>
      <c r="AG69" s="207">
        <v>8.2009200000000004E-3</v>
      </c>
      <c r="AH69" s="207">
        <v>45352</v>
      </c>
      <c r="AI69" s="207">
        <v>16401.84</v>
      </c>
      <c r="AJ69" s="207">
        <v>16368.423027932738</v>
      </c>
      <c r="AK69" s="279"/>
      <c r="AL69" s="206">
        <v>0</v>
      </c>
      <c r="AM69" s="129">
        <v>0</v>
      </c>
      <c r="AN69" s="199"/>
      <c r="AO69" s="199"/>
      <c r="AP69" s="199"/>
      <c r="AQ69" s="199"/>
      <c r="AR69" s="206">
        <v>0</v>
      </c>
      <c r="AS69" s="206">
        <v>0</v>
      </c>
      <c r="AT69" s="206">
        <v>0</v>
      </c>
      <c r="AU69" s="283">
        <v>0</v>
      </c>
    </row>
    <row r="70" spans="2:47" s="237" customFormat="1" ht="15.75" thickBot="1" x14ac:dyDescent="0.3">
      <c r="B70" s="262" t="s">
        <v>185</v>
      </c>
      <c r="C70" s="132" t="s">
        <v>362</v>
      </c>
      <c r="D70" s="132" t="s">
        <v>125</v>
      </c>
      <c r="E70" s="133">
        <v>6.3250000000000002</v>
      </c>
      <c r="F70" s="133">
        <v>6.75</v>
      </c>
      <c r="G70" s="134">
        <v>203</v>
      </c>
      <c r="H70" s="134">
        <v>157</v>
      </c>
      <c r="I70" s="223">
        <v>51533</v>
      </c>
      <c r="J70" s="224">
        <v>3</v>
      </c>
      <c r="K70" s="134">
        <v>212266</v>
      </c>
      <c r="L70" s="134">
        <v>263000</v>
      </c>
      <c r="M70" s="266">
        <v>99.796260833740234</v>
      </c>
      <c r="N70" s="38">
        <v>28.75</v>
      </c>
      <c r="O70" s="38">
        <v>12.0609634215</v>
      </c>
      <c r="P70" s="197">
        <v>-1.45650401051078E-4</v>
      </c>
      <c r="Q70" s="38">
        <v>-3.3695234513686501E-5</v>
      </c>
      <c r="R70" s="38">
        <v>-9.68870799145094E-6</v>
      </c>
      <c r="S70" s="38">
        <v>2.12166361812649E-5</v>
      </c>
      <c r="T70" s="38"/>
      <c r="U70" s="38"/>
      <c r="V70" s="38"/>
      <c r="W70" s="270">
        <v>7.08</v>
      </c>
      <c r="X70" s="133">
        <v>7.28</v>
      </c>
      <c r="Y70" s="133"/>
      <c r="Z70" s="133"/>
      <c r="AA70" s="133"/>
      <c r="AB70" s="274">
        <v>7.3810000000000002</v>
      </c>
      <c r="AC70" s="37">
        <v>2000000</v>
      </c>
      <c r="AD70" s="11">
        <v>8.2009200000000004E-3</v>
      </c>
      <c r="AE70" s="30">
        <v>45352</v>
      </c>
      <c r="AF70" s="37">
        <v>16401.84</v>
      </c>
      <c r="AG70" s="37">
        <v>16368.423027932738</v>
      </c>
      <c r="AH70" s="37">
        <v>43.220000000000063</v>
      </c>
      <c r="AI70" s="37">
        <v>86.679170416666679</v>
      </c>
      <c r="AJ70" s="37">
        <v>129.89917041666675</v>
      </c>
      <c r="AK70" s="278"/>
      <c r="AL70" s="135">
        <v>0.72</v>
      </c>
      <c r="AM70" s="134">
        <v>778</v>
      </c>
      <c r="AN70" s="132" t="s">
        <v>123</v>
      </c>
      <c r="AO70" s="132" t="s">
        <v>363</v>
      </c>
      <c r="AP70" s="132" t="s">
        <v>364</v>
      </c>
      <c r="AQ70" s="132" t="s">
        <v>365</v>
      </c>
      <c r="AR70" s="135">
        <v>0</v>
      </c>
      <c r="AS70" s="135">
        <v>0</v>
      </c>
      <c r="AT70" s="135">
        <v>0</v>
      </c>
      <c r="AU70" s="282">
        <v>0</v>
      </c>
    </row>
    <row r="71" spans="2:47" ht="15.75" thickBot="1" x14ac:dyDescent="0.3">
      <c r="B71" s="264" t="s">
        <v>103</v>
      </c>
      <c r="C71" s="211"/>
      <c r="D71" s="211"/>
      <c r="E71" s="212">
        <v>0</v>
      </c>
      <c r="F71" s="212">
        <v>0</v>
      </c>
      <c r="G71" s="213">
        <v>0</v>
      </c>
      <c r="H71" s="213">
        <v>0</v>
      </c>
      <c r="I71" s="214">
        <v>0</v>
      </c>
      <c r="J71" s="215">
        <v>298.71755579087869</v>
      </c>
      <c r="K71" s="213">
        <v>0</v>
      </c>
      <c r="L71" s="213">
        <v>0</v>
      </c>
      <c r="M71" s="268">
        <v>0</v>
      </c>
      <c r="N71" s="216">
        <v>0</v>
      </c>
      <c r="O71" s="216">
        <v>0</v>
      </c>
      <c r="P71" s="216">
        <v>0</v>
      </c>
      <c r="Q71" s="216">
        <v>0</v>
      </c>
      <c r="R71" s="216">
        <v>0</v>
      </c>
      <c r="S71" s="216">
        <v>0</v>
      </c>
      <c r="T71" s="216">
        <v>0</v>
      </c>
      <c r="U71" s="216">
        <v>0</v>
      </c>
      <c r="V71" s="216">
        <v>0</v>
      </c>
      <c r="W71" s="272">
        <v>0</v>
      </c>
      <c r="X71" s="212">
        <v>0</v>
      </c>
      <c r="Y71" s="212">
        <v>0</v>
      </c>
      <c r="Z71" s="212">
        <v>0</v>
      </c>
      <c r="AA71" s="212"/>
      <c r="AB71" s="276"/>
      <c r="AC71" s="213">
        <v>323.35299999999995</v>
      </c>
      <c r="AD71" s="217">
        <v>0</v>
      </c>
      <c r="AE71" s="218">
        <v>0</v>
      </c>
      <c r="AF71" s="213">
        <v>5580706.9694840591</v>
      </c>
      <c r="AG71" s="213">
        <v>1.94418029</v>
      </c>
      <c r="AH71" s="213"/>
      <c r="AI71" s="213"/>
      <c r="AJ71" s="213"/>
      <c r="AK71" s="280"/>
      <c r="AL71" s="219"/>
      <c r="AM71" s="213"/>
      <c r="AN71" s="211"/>
      <c r="AO71" s="211"/>
      <c r="AP71" s="211"/>
      <c r="AQ71" s="211"/>
      <c r="AR71" s="219"/>
      <c r="AS71" s="219"/>
      <c r="AT71" s="219"/>
      <c r="AU71" s="284"/>
    </row>
  </sheetData>
  <sortState xmlns:xlrd2="http://schemas.microsoft.com/office/spreadsheetml/2017/richdata2" ref="B10:AV70">
    <sortCondition ref="AV8"/>
    <sortCondition ref="B10"/>
  </sortState>
  <mergeCells count="5">
    <mergeCell ref="B1:AU1"/>
    <mergeCell ref="N6:S6"/>
    <mergeCell ref="W6:AB6"/>
    <mergeCell ref="P7:S7"/>
    <mergeCell ref="Y7:AB7"/>
  </mergeCells>
  <printOptions horizontalCentered="1"/>
  <pageMargins left="0.7" right="0.7" top="0.75" bottom="0.75" header="0.3" footer="0.3"/>
  <pageSetup paperSize="9" scale="29" fitToHeight="2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0"/>
    <pageSetUpPr fitToPage="1"/>
  </sheetPr>
  <dimension ref="A1:AU8"/>
  <sheetViews>
    <sheetView workbookViewId="0">
      <pane ySplit="8" topLeftCell="A9" activePane="bottomLeft" state="frozen"/>
      <selection activeCell="J267" sqref="J266:J267"/>
      <selection pane="bottomLeft" activeCell="M16" sqref="M16"/>
    </sheetView>
  </sheetViews>
  <sheetFormatPr defaultColWidth="9.140625" defaultRowHeight="15" x14ac:dyDescent="0.25"/>
  <cols>
    <col min="1" max="1" width="2.28515625" style="39" customWidth="1"/>
    <col min="2" max="2" width="11.5703125" style="39" bestFit="1" customWidth="1"/>
    <col min="3" max="3" width="15.5703125" style="39" bestFit="1" customWidth="1"/>
    <col min="4" max="4" width="20.28515625" style="39" bestFit="1" customWidth="1"/>
    <col min="5" max="6" width="6.85546875" style="15" bestFit="1" customWidth="1"/>
    <col min="7" max="7" width="8.140625" style="37" bestFit="1" customWidth="1"/>
    <col min="8" max="8" width="6.42578125" style="37" bestFit="1" customWidth="1"/>
    <col min="9" max="9" width="10.7109375" style="9" bestFit="1" customWidth="1"/>
    <col min="10" max="10" width="7.140625" style="25" bestFit="1" customWidth="1"/>
    <col min="11" max="11" width="11.140625" style="37" bestFit="1" customWidth="1"/>
    <col min="12" max="12" width="12.140625" style="37" bestFit="1" customWidth="1"/>
    <col min="13" max="13" width="8.140625" style="38" bestFit="1" customWidth="1"/>
    <col min="14" max="14" width="6.28515625" style="38" bestFit="1" customWidth="1"/>
    <col min="15" max="15" width="10" style="38" bestFit="1" customWidth="1"/>
    <col min="16" max="16" width="8.42578125" style="38" bestFit="1" customWidth="1"/>
    <col min="17" max="18" width="9.28515625" style="38" bestFit="1" customWidth="1"/>
    <col min="19" max="19" width="10.28515625" style="38" bestFit="1" customWidth="1"/>
    <col min="20" max="20" width="6.5703125" style="38" bestFit="1" customWidth="1"/>
    <col min="21" max="22" width="6.140625" style="38" bestFit="1" customWidth="1"/>
    <col min="23" max="23" width="6.85546875" style="15" bestFit="1" customWidth="1"/>
    <col min="24" max="24" width="10" style="15" bestFit="1" customWidth="1"/>
    <col min="25" max="25" width="8.42578125" style="15" bestFit="1" customWidth="1"/>
    <col min="26" max="27" width="9.28515625" style="15" bestFit="1" customWidth="1"/>
    <col min="28" max="28" width="10.28515625" style="15" bestFit="1" customWidth="1"/>
    <col min="29" max="29" width="9.85546875" style="37" bestFit="1" customWidth="1"/>
    <col min="30" max="30" width="8.140625" style="11" bestFit="1" customWidth="1"/>
    <col min="31" max="31" width="10.140625" style="30" bestFit="1" customWidth="1"/>
    <col min="32" max="32" width="10.42578125" style="37" bestFit="1" customWidth="1"/>
    <col min="33" max="33" width="9.85546875" style="37" bestFit="1" customWidth="1"/>
    <col min="34" max="34" width="10.28515625" style="37" bestFit="1" customWidth="1"/>
    <col min="35" max="36" width="10.42578125" style="37" bestFit="1" customWidth="1"/>
    <col min="37" max="37" width="9" style="9" bestFit="1" customWidth="1"/>
    <col min="38" max="38" width="6.7109375" style="41" bestFit="1" customWidth="1"/>
    <col min="39" max="39" width="8.140625" style="37" bestFit="1" customWidth="1"/>
    <col min="40" max="40" width="24.42578125" style="39" bestFit="1" customWidth="1"/>
    <col min="41" max="41" width="8.42578125" style="39" bestFit="1" customWidth="1"/>
    <col min="42" max="43" width="24.42578125" style="39" bestFit="1" customWidth="1"/>
    <col min="44" max="44" width="6.7109375" style="41" bestFit="1" customWidth="1"/>
    <col min="45" max="46" width="7.42578125" style="41" bestFit="1" customWidth="1"/>
    <col min="47" max="47" width="9.7109375" style="41" bestFit="1" customWidth="1"/>
    <col min="48" max="16384" width="9.140625" style="39"/>
  </cols>
  <sheetData>
    <row r="1" spans="1:47" ht="33.75" x14ac:dyDescent="0.25">
      <c r="A1" s="6"/>
      <c r="B1" s="249" t="s">
        <v>38</v>
      </c>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c r="AD1" s="250"/>
      <c r="AE1" s="250"/>
      <c r="AF1" s="250"/>
      <c r="AG1" s="250"/>
      <c r="AH1" s="250"/>
      <c r="AI1" s="250"/>
      <c r="AJ1" s="250"/>
      <c r="AK1" s="250"/>
      <c r="AL1" s="250"/>
      <c r="AM1" s="250"/>
      <c r="AN1" s="250"/>
      <c r="AO1" s="250"/>
      <c r="AP1" s="250"/>
      <c r="AQ1" s="250"/>
      <c r="AR1" s="250"/>
      <c r="AS1" s="250"/>
      <c r="AT1" s="250"/>
      <c r="AU1" s="250"/>
    </row>
    <row r="2" spans="1:47" x14ac:dyDescent="0.25">
      <c r="A2" s="6"/>
      <c r="B2" s="6"/>
      <c r="C2" s="6"/>
      <c r="D2" s="6"/>
      <c r="E2" s="14"/>
      <c r="F2" s="14"/>
      <c r="G2" s="33"/>
      <c r="H2" s="33"/>
      <c r="I2" s="3"/>
      <c r="J2" s="34"/>
      <c r="K2" s="34"/>
      <c r="L2" s="34"/>
      <c r="M2" s="35"/>
      <c r="N2" s="35"/>
      <c r="O2" s="35"/>
      <c r="P2" s="35"/>
      <c r="Q2" s="35"/>
      <c r="R2" s="35"/>
      <c r="S2" s="35"/>
      <c r="T2" s="35"/>
      <c r="U2" s="35"/>
      <c r="V2" s="35"/>
      <c r="W2" s="14"/>
      <c r="X2" s="14"/>
      <c r="Y2" s="14"/>
      <c r="Z2" s="14"/>
      <c r="AA2" s="14"/>
      <c r="AB2" s="14"/>
      <c r="AC2" s="33"/>
      <c r="AD2" s="10"/>
      <c r="AE2" s="29"/>
      <c r="AF2" s="33"/>
      <c r="AG2" s="33"/>
      <c r="AH2" s="33"/>
      <c r="AI2" s="33"/>
      <c r="AJ2" s="33"/>
      <c r="AK2" s="3"/>
      <c r="AL2" s="40"/>
      <c r="AM2" s="33"/>
      <c r="AN2" s="33"/>
      <c r="AO2" s="33"/>
      <c r="AP2" s="33"/>
      <c r="AQ2" s="33"/>
      <c r="AR2" s="40"/>
      <c r="AS2" s="40"/>
      <c r="AT2" s="40"/>
      <c r="AU2" s="40"/>
    </row>
    <row r="3" spans="1:47" x14ac:dyDescent="0.25">
      <c r="A3" s="6"/>
      <c r="B3" s="6"/>
      <c r="C3" s="6"/>
      <c r="D3" s="6"/>
      <c r="E3" s="14"/>
      <c r="F3" s="14"/>
      <c r="G3" s="33"/>
      <c r="H3" s="33"/>
      <c r="I3" s="3"/>
      <c r="J3" s="34"/>
      <c r="K3" s="34"/>
      <c r="L3" s="34"/>
      <c r="M3" s="35"/>
      <c r="N3" s="35"/>
      <c r="O3" s="35"/>
      <c r="P3" s="35"/>
      <c r="Q3" s="35"/>
      <c r="R3" s="35"/>
      <c r="S3" s="35"/>
      <c r="T3" s="35"/>
      <c r="U3" s="35"/>
      <c r="V3" s="35"/>
      <c r="W3" s="14"/>
      <c r="X3" s="14"/>
      <c r="Y3" s="14"/>
      <c r="Z3" s="14"/>
      <c r="AA3" s="14"/>
      <c r="AB3" s="14"/>
      <c r="AC3" s="33"/>
      <c r="AD3" s="10"/>
      <c r="AE3" s="29"/>
      <c r="AF3" s="33"/>
      <c r="AG3" s="33"/>
      <c r="AH3" s="33"/>
      <c r="AI3" s="33"/>
      <c r="AJ3" s="33"/>
      <c r="AK3" s="3"/>
      <c r="AL3" s="40"/>
      <c r="AM3" s="33"/>
      <c r="AN3" s="33"/>
      <c r="AO3" s="33"/>
      <c r="AP3" s="33"/>
      <c r="AQ3" s="33"/>
      <c r="AR3" s="40"/>
      <c r="AS3" s="40"/>
      <c r="AT3" s="40"/>
      <c r="AU3" s="40"/>
    </row>
    <row r="4" spans="1:47" x14ac:dyDescent="0.25">
      <c r="A4" s="6"/>
      <c r="B4" s="6"/>
      <c r="C4" s="6"/>
      <c r="D4" s="6"/>
      <c r="E4" s="14"/>
      <c r="F4" s="14"/>
      <c r="G4" s="33"/>
      <c r="H4" s="33"/>
      <c r="I4" s="3"/>
      <c r="J4" s="34"/>
      <c r="K4" s="34"/>
      <c r="L4" s="34"/>
      <c r="M4" s="35"/>
      <c r="N4" s="35"/>
      <c r="O4" s="35"/>
      <c r="P4" s="35"/>
      <c r="Q4" s="35"/>
      <c r="R4" s="35"/>
      <c r="S4" s="35"/>
      <c r="T4" s="35"/>
      <c r="U4" s="35"/>
      <c r="V4" s="35"/>
      <c r="W4" s="14"/>
      <c r="X4" s="14"/>
      <c r="Y4" s="14"/>
      <c r="Z4" s="14"/>
      <c r="AA4" s="14"/>
      <c r="AB4" s="14"/>
      <c r="AC4" s="33"/>
      <c r="AD4" s="10"/>
      <c r="AE4" s="29"/>
      <c r="AF4" s="33"/>
      <c r="AG4" s="33"/>
      <c r="AH4" s="33"/>
      <c r="AI4" s="33"/>
      <c r="AJ4" s="33"/>
      <c r="AK4" s="3"/>
      <c r="AL4" s="40"/>
      <c r="AM4" s="33"/>
      <c r="AN4" s="33"/>
      <c r="AP4" s="36"/>
      <c r="AQ4" s="36"/>
      <c r="AR4" s="40"/>
      <c r="AT4" s="42" t="s">
        <v>37</v>
      </c>
      <c r="AU4" s="3">
        <v>45362.350115740737</v>
      </c>
    </row>
    <row r="5" spans="1:47" ht="15.75" thickBot="1" x14ac:dyDescent="0.3">
      <c r="A5" s="6"/>
      <c r="B5" s="6"/>
      <c r="C5" s="6"/>
      <c r="D5" s="6"/>
      <c r="E5" s="14"/>
      <c r="F5" s="14"/>
      <c r="G5" s="33"/>
      <c r="H5" s="33"/>
      <c r="I5" s="3"/>
      <c r="J5" s="34"/>
      <c r="K5" s="34"/>
      <c r="L5" s="34"/>
      <c r="M5" s="35"/>
      <c r="N5" s="35"/>
      <c r="O5" s="35"/>
      <c r="P5" s="35"/>
      <c r="Q5" s="35"/>
      <c r="R5" s="35"/>
      <c r="S5" s="35"/>
      <c r="T5" s="35"/>
      <c r="U5" s="35"/>
      <c r="V5" s="35"/>
      <c r="W5" s="14"/>
      <c r="X5" s="14"/>
      <c r="Y5" s="14"/>
      <c r="Z5" s="14"/>
      <c r="AA5" s="14"/>
      <c r="AB5" s="14"/>
      <c r="AC5" s="33"/>
      <c r="AD5" s="10"/>
      <c r="AE5" s="29"/>
      <c r="AF5" s="33"/>
      <c r="AG5" s="33"/>
      <c r="AH5" s="33"/>
      <c r="AI5" s="33"/>
      <c r="AJ5" s="33"/>
      <c r="AK5" s="3"/>
      <c r="AL5" s="40"/>
      <c r="AM5" s="33"/>
      <c r="AN5" s="33"/>
      <c r="AO5" s="33"/>
      <c r="AP5" s="33"/>
      <c r="AQ5" s="33"/>
      <c r="AR5" s="40"/>
      <c r="AS5" s="40"/>
      <c r="AT5" s="40"/>
      <c r="AU5" s="40"/>
    </row>
    <row r="6" spans="1:47" ht="15.75" thickBot="1" x14ac:dyDescent="0.3">
      <c r="A6" s="6"/>
      <c r="B6" s="67"/>
      <c r="C6" s="68"/>
      <c r="D6" s="68"/>
      <c r="E6" s="68"/>
      <c r="F6" s="68"/>
      <c r="G6" s="68"/>
      <c r="H6" s="68"/>
      <c r="I6" s="68"/>
      <c r="J6" s="69"/>
      <c r="K6" s="69" t="s">
        <v>43</v>
      </c>
      <c r="L6" s="69" t="s">
        <v>44</v>
      </c>
      <c r="M6" s="70"/>
      <c r="N6" s="245" t="s">
        <v>27</v>
      </c>
      <c r="O6" s="246"/>
      <c r="P6" s="246"/>
      <c r="Q6" s="246"/>
      <c r="R6" s="246"/>
      <c r="S6" s="247"/>
      <c r="T6" s="112"/>
      <c r="U6" s="112"/>
      <c r="V6" s="112"/>
      <c r="W6" s="254" t="s">
        <v>28</v>
      </c>
      <c r="X6" s="252"/>
      <c r="Y6" s="252"/>
      <c r="Z6" s="252"/>
      <c r="AA6" s="252"/>
      <c r="AB6" s="253"/>
      <c r="AC6" s="67"/>
      <c r="AD6" s="68"/>
      <c r="AE6" s="71" t="s">
        <v>17</v>
      </c>
      <c r="AF6" s="68" t="s">
        <v>29</v>
      </c>
      <c r="AG6" s="72" t="s">
        <v>29</v>
      </c>
      <c r="AH6" s="68" t="s">
        <v>29</v>
      </c>
      <c r="AI6" s="68" t="s">
        <v>29</v>
      </c>
      <c r="AJ6" s="68" t="s">
        <v>29</v>
      </c>
      <c r="AK6" s="73"/>
      <c r="AL6" s="74"/>
      <c r="AM6" s="72"/>
      <c r="AN6" s="68"/>
      <c r="AO6" s="68"/>
      <c r="AP6" s="68"/>
      <c r="AQ6" s="68"/>
      <c r="AR6" s="74"/>
      <c r="AS6" s="74"/>
      <c r="AT6" s="74"/>
      <c r="AU6" s="75"/>
    </row>
    <row r="7" spans="1:47" x14ac:dyDescent="0.25">
      <c r="A7" s="6"/>
      <c r="B7" s="76"/>
      <c r="C7" s="77"/>
      <c r="D7" s="77"/>
      <c r="E7" s="78"/>
      <c r="F7" s="78"/>
      <c r="G7" s="79"/>
      <c r="H7" s="79"/>
      <c r="I7" s="80"/>
      <c r="J7" s="81" t="s">
        <v>30</v>
      </c>
      <c r="K7" s="82" t="s">
        <v>30</v>
      </c>
      <c r="L7" s="82" t="s">
        <v>30</v>
      </c>
      <c r="M7" s="83" t="s">
        <v>24</v>
      </c>
      <c r="N7" s="84" t="s">
        <v>7</v>
      </c>
      <c r="O7" s="85" t="s">
        <v>13</v>
      </c>
      <c r="P7" s="255" t="s">
        <v>14</v>
      </c>
      <c r="Q7" s="256"/>
      <c r="R7" s="256"/>
      <c r="S7" s="257"/>
      <c r="T7" s="111"/>
      <c r="U7" s="111"/>
      <c r="V7" s="111"/>
      <c r="W7" s="86" t="s">
        <v>7</v>
      </c>
      <c r="X7" s="87" t="s">
        <v>13</v>
      </c>
      <c r="Y7" s="258" t="s">
        <v>14</v>
      </c>
      <c r="Z7" s="256"/>
      <c r="AA7" s="256"/>
      <c r="AB7" s="257"/>
      <c r="AC7" s="88" t="s">
        <v>15</v>
      </c>
      <c r="AD7" s="89" t="s">
        <v>17</v>
      </c>
      <c r="AE7" s="90" t="s">
        <v>18</v>
      </c>
      <c r="AF7" s="79" t="s">
        <v>17</v>
      </c>
      <c r="AG7" s="79" t="s">
        <v>24</v>
      </c>
      <c r="AH7" s="79" t="s">
        <v>19</v>
      </c>
      <c r="AI7" s="79" t="s">
        <v>20</v>
      </c>
      <c r="AJ7" s="79" t="s">
        <v>22</v>
      </c>
      <c r="AK7" s="91" t="s">
        <v>57</v>
      </c>
      <c r="AL7" s="92"/>
      <c r="AM7" s="79"/>
      <c r="AN7" s="79"/>
      <c r="AO7" s="79"/>
      <c r="AP7" s="79"/>
      <c r="AQ7" s="79"/>
      <c r="AR7" s="92"/>
      <c r="AS7" s="92" t="s">
        <v>49</v>
      </c>
      <c r="AT7" s="92" t="s">
        <v>51</v>
      </c>
      <c r="AU7" s="93" t="s">
        <v>52</v>
      </c>
    </row>
    <row r="8" spans="1:47" ht="15.75" thickBot="1" x14ac:dyDescent="0.3">
      <c r="A8" s="6"/>
      <c r="B8" s="94" t="s">
        <v>0</v>
      </c>
      <c r="C8" s="95" t="s">
        <v>1</v>
      </c>
      <c r="D8" s="95" t="s">
        <v>2</v>
      </c>
      <c r="E8" s="96" t="s">
        <v>3</v>
      </c>
      <c r="F8" s="96" t="s">
        <v>4</v>
      </c>
      <c r="G8" s="97" t="s">
        <v>5</v>
      </c>
      <c r="H8" s="97" t="s">
        <v>33</v>
      </c>
      <c r="I8" s="98" t="s">
        <v>6</v>
      </c>
      <c r="J8" s="99" t="s">
        <v>31</v>
      </c>
      <c r="K8" s="99" t="s">
        <v>45</v>
      </c>
      <c r="L8" s="99" t="s">
        <v>45</v>
      </c>
      <c r="M8" s="100" t="s">
        <v>25</v>
      </c>
      <c r="N8" s="101" t="s">
        <v>8</v>
      </c>
      <c r="O8" s="102" t="s">
        <v>9</v>
      </c>
      <c r="P8" s="102" t="s">
        <v>9</v>
      </c>
      <c r="Q8" s="102" t="s">
        <v>10</v>
      </c>
      <c r="R8" s="102" t="s">
        <v>11</v>
      </c>
      <c r="S8" s="100" t="s">
        <v>12</v>
      </c>
      <c r="T8" s="102" t="s">
        <v>195</v>
      </c>
      <c r="U8" s="102" t="s">
        <v>109</v>
      </c>
      <c r="V8" s="102" t="s">
        <v>110</v>
      </c>
      <c r="W8" s="103" t="s">
        <v>8</v>
      </c>
      <c r="X8" s="96" t="s">
        <v>9</v>
      </c>
      <c r="Y8" s="96" t="s">
        <v>9</v>
      </c>
      <c r="Z8" s="96" t="s">
        <v>10</v>
      </c>
      <c r="AA8" s="96" t="s">
        <v>11</v>
      </c>
      <c r="AB8" s="104" t="s">
        <v>12</v>
      </c>
      <c r="AC8" s="105" t="s">
        <v>16</v>
      </c>
      <c r="AD8" s="106" t="s">
        <v>18</v>
      </c>
      <c r="AE8" s="107" t="s">
        <v>36</v>
      </c>
      <c r="AF8" s="97" t="s">
        <v>16</v>
      </c>
      <c r="AG8" s="97" t="s">
        <v>26</v>
      </c>
      <c r="AH8" s="97" t="s">
        <v>53</v>
      </c>
      <c r="AI8" s="97" t="s">
        <v>21</v>
      </c>
      <c r="AJ8" s="97" t="s">
        <v>54</v>
      </c>
      <c r="AK8" s="108" t="s">
        <v>36</v>
      </c>
      <c r="AL8" s="109" t="s">
        <v>39</v>
      </c>
      <c r="AM8" s="97" t="s">
        <v>40</v>
      </c>
      <c r="AN8" s="97" t="s">
        <v>41</v>
      </c>
      <c r="AO8" s="97" t="s">
        <v>46</v>
      </c>
      <c r="AP8" s="97" t="s">
        <v>47</v>
      </c>
      <c r="AQ8" s="97" t="s">
        <v>48</v>
      </c>
      <c r="AR8" s="109" t="s">
        <v>42</v>
      </c>
      <c r="AS8" s="109" t="s">
        <v>50</v>
      </c>
      <c r="AT8" s="109" t="s">
        <v>50</v>
      </c>
      <c r="AU8" s="110" t="s">
        <v>50</v>
      </c>
    </row>
  </sheetData>
  <sortState xmlns:xlrd2="http://schemas.microsoft.com/office/spreadsheetml/2017/richdata2" ref="B8:AV9">
    <sortCondition ref="AV8"/>
    <sortCondition ref="B9"/>
  </sortState>
  <mergeCells count="5">
    <mergeCell ref="B1:AU1"/>
    <mergeCell ref="N6:S6"/>
    <mergeCell ref="W6:AB6"/>
    <mergeCell ref="P7:S7"/>
    <mergeCell ref="Y7:AB7"/>
  </mergeCells>
  <printOptions horizontalCentered="1"/>
  <pageMargins left="0.7" right="0.7" top="0.75" bottom="0.75" header="0.3" footer="0.3"/>
  <pageSetup paperSize="9" scale="28" fitToHeight="20"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0"/>
    <pageSetUpPr fitToPage="1"/>
  </sheetPr>
  <dimension ref="A1:AU8"/>
  <sheetViews>
    <sheetView workbookViewId="0">
      <pane ySplit="8" topLeftCell="A9" activePane="bottomLeft" state="frozen"/>
      <selection activeCell="J267" sqref="J266:J267"/>
      <selection pane="bottomLeft" activeCell="L19" sqref="L19"/>
    </sheetView>
  </sheetViews>
  <sheetFormatPr defaultColWidth="9.140625" defaultRowHeight="15" x14ac:dyDescent="0.25"/>
  <cols>
    <col min="1" max="1" width="2.28515625" style="39" customWidth="1"/>
    <col min="2" max="2" width="10.5703125" style="39" bestFit="1" customWidth="1"/>
    <col min="3" max="3" width="9.7109375" style="39" bestFit="1" customWidth="1"/>
    <col min="4" max="4" width="12" style="39" bestFit="1" customWidth="1"/>
    <col min="5" max="6" width="6.85546875" style="15" bestFit="1" customWidth="1"/>
    <col min="7" max="7" width="8.140625" style="37" bestFit="1" customWidth="1"/>
    <col min="8" max="8" width="7.140625" style="37" bestFit="1" customWidth="1"/>
    <col min="9" max="9" width="11.5703125" style="9" bestFit="1" customWidth="1"/>
    <col min="10" max="10" width="6.28515625" style="25" bestFit="1" customWidth="1"/>
    <col min="11" max="11" width="11.140625" style="37" bestFit="1" customWidth="1"/>
    <col min="12" max="12" width="12.140625" style="37" bestFit="1" customWidth="1"/>
    <col min="13" max="13" width="8.140625" style="38" bestFit="1" customWidth="1"/>
    <col min="14" max="14" width="7.140625" style="38" bestFit="1" customWidth="1"/>
    <col min="15" max="15" width="10" style="38" bestFit="1" customWidth="1"/>
    <col min="16" max="16" width="8.42578125" style="38" bestFit="1" customWidth="1"/>
    <col min="17" max="18" width="9.28515625" style="38" bestFit="1" customWidth="1"/>
    <col min="19" max="19" width="10.28515625" style="38" bestFit="1" customWidth="1"/>
    <col min="20" max="22" width="6.140625" style="38" bestFit="1" customWidth="1"/>
    <col min="23" max="23" width="6.85546875" style="15" bestFit="1" customWidth="1"/>
    <col min="24" max="24" width="10" style="15" bestFit="1" customWidth="1"/>
    <col min="25" max="25" width="8.42578125" style="15" bestFit="1" customWidth="1"/>
    <col min="26" max="27" width="9.28515625" style="15" bestFit="1" customWidth="1"/>
    <col min="28" max="28" width="10.28515625" style="15" bestFit="1" customWidth="1"/>
    <col min="29" max="29" width="9.85546875" style="37" bestFit="1" customWidth="1"/>
    <col min="30" max="30" width="8.140625" style="11" bestFit="1" customWidth="1"/>
    <col min="31" max="31" width="10.140625" style="30" bestFit="1" customWidth="1"/>
    <col min="32" max="32" width="8.85546875" style="37" bestFit="1" customWidth="1"/>
    <col min="33" max="33" width="8.28515625" style="37" bestFit="1" customWidth="1"/>
    <col min="34" max="34" width="10.28515625" style="37" bestFit="1" customWidth="1"/>
    <col min="35" max="35" width="8.85546875" style="37" bestFit="1" customWidth="1"/>
    <col min="36" max="36" width="10.140625" style="37" bestFit="1" customWidth="1"/>
    <col min="37" max="37" width="9" style="9" bestFit="1" customWidth="1"/>
    <col min="38" max="38" width="6.7109375" style="41" bestFit="1" customWidth="1"/>
    <col min="39" max="39" width="8.140625" style="37" bestFit="1" customWidth="1"/>
    <col min="40" max="40" width="9.42578125" style="39" bestFit="1" customWidth="1"/>
    <col min="41" max="41" width="7.42578125" style="39" bestFit="1" customWidth="1"/>
    <col min="42" max="42" width="7.140625" style="39" bestFit="1" customWidth="1"/>
    <col min="43" max="43" width="6.5703125" style="39" bestFit="1" customWidth="1"/>
    <col min="44" max="44" width="6.7109375" style="41" bestFit="1" customWidth="1"/>
    <col min="45" max="46" width="7.42578125" style="41" bestFit="1" customWidth="1"/>
    <col min="47" max="47" width="9.7109375" style="41" bestFit="1" customWidth="1"/>
    <col min="48" max="16384" width="9.140625" style="39"/>
  </cols>
  <sheetData>
    <row r="1" spans="1:47" ht="33.75" x14ac:dyDescent="0.25">
      <c r="A1" s="6"/>
      <c r="B1" s="249" t="s">
        <v>38</v>
      </c>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c r="AD1" s="250"/>
      <c r="AE1" s="250"/>
      <c r="AF1" s="250"/>
      <c r="AG1" s="250"/>
      <c r="AH1" s="250"/>
      <c r="AI1" s="250"/>
      <c r="AJ1" s="250"/>
      <c r="AK1" s="250"/>
      <c r="AL1" s="250"/>
      <c r="AM1" s="250"/>
      <c r="AN1" s="250"/>
      <c r="AO1" s="250"/>
      <c r="AP1" s="250"/>
      <c r="AQ1" s="250"/>
      <c r="AR1" s="250"/>
      <c r="AS1" s="250"/>
      <c r="AT1" s="250"/>
      <c r="AU1" s="250"/>
    </row>
    <row r="2" spans="1:47" x14ac:dyDescent="0.25">
      <c r="A2" s="6"/>
      <c r="B2" s="6"/>
      <c r="C2" s="6"/>
      <c r="D2" s="6"/>
      <c r="E2" s="14"/>
      <c r="F2" s="14"/>
      <c r="G2" s="33"/>
      <c r="H2" s="33"/>
      <c r="I2" s="3"/>
      <c r="J2" s="34"/>
      <c r="K2" s="34"/>
      <c r="L2" s="34"/>
      <c r="M2" s="35"/>
      <c r="N2" s="35"/>
      <c r="O2" s="35"/>
      <c r="P2" s="35"/>
      <c r="Q2" s="35"/>
      <c r="R2" s="35"/>
      <c r="S2" s="35"/>
      <c r="T2" s="35"/>
      <c r="U2" s="35"/>
      <c r="V2" s="35"/>
      <c r="W2" s="14"/>
      <c r="X2" s="14"/>
      <c r="Y2" s="14"/>
      <c r="Z2" s="14"/>
      <c r="AA2" s="14"/>
      <c r="AB2" s="14"/>
      <c r="AC2" s="33"/>
      <c r="AD2" s="10"/>
      <c r="AE2" s="29"/>
      <c r="AF2" s="33"/>
      <c r="AG2" s="33"/>
      <c r="AH2" s="33"/>
      <c r="AI2" s="33"/>
      <c r="AJ2" s="33"/>
      <c r="AK2" s="3"/>
      <c r="AL2" s="40"/>
      <c r="AM2" s="33"/>
      <c r="AN2" s="33"/>
      <c r="AO2" s="33"/>
      <c r="AP2" s="33"/>
      <c r="AQ2" s="33"/>
      <c r="AR2" s="40"/>
      <c r="AS2" s="40"/>
      <c r="AT2" s="40"/>
      <c r="AU2" s="40"/>
    </row>
    <row r="3" spans="1:47" x14ac:dyDescent="0.25">
      <c r="A3" s="6"/>
      <c r="B3" s="6"/>
      <c r="C3" s="6"/>
      <c r="D3" s="6"/>
      <c r="E3" s="14"/>
      <c r="F3" s="14"/>
      <c r="G3" s="33"/>
      <c r="H3" s="33"/>
      <c r="I3" s="3"/>
      <c r="J3" s="34"/>
      <c r="K3" s="34"/>
      <c r="L3" s="34"/>
      <c r="M3" s="35"/>
      <c r="N3" s="35"/>
      <c r="O3" s="35"/>
      <c r="P3" s="35"/>
      <c r="Q3" s="35"/>
      <c r="R3" s="35"/>
      <c r="S3" s="35"/>
      <c r="T3" s="35"/>
      <c r="U3" s="35"/>
      <c r="V3" s="35"/>
      <c r="W3" s="14"/>
      <c r="X3" s="14"/>
      <c r="Y3" s="14"/>
      <c r="Z3" s="14"/>
      <c r="AA3" s="14"/>
      <c r="AB3" s="14"/>
      <c r="AC3" s="33"/>
      <c r="AD3" s="10"/>
      <c r="AE3" s="29"/>
      <c r="AF3" s="33"/>
      <c r="AG3" s="33"/>
      <c r="AH3" s="33"/>
      <c r="AI3" s="33"/>
      <c r="AJ3" s="33"/>
      <c r="AK3" s="3"/>
      <c r="AL3" s="40"/>
      <c r="AM3" s="33"/>
      <c r="AN3" s="33"/>
      <c r="AO3" s="33"/>
      <c r="AP3" s="33"/>
      <c r="AQ3" s="33"/>
      <c r="AR3" s="40"/>
      <c r="AS3" s="40"/>
      <c r="AT3" s="40"/>
      <c r="AU3" s="40"/>
    </row>
    <row r="4" spans="1:47" x14ac:dyDescent="0.25">
      <c r="A4" s="6"/>
      <c r="B4" s="6"/>
      <c r="C4" s="6"/>
      <c r="D4" s="6"/>
      <c r="E4" s="14"/>
      <c r="F4" s="14"/>
      <c r="G4" s="33"/>
      <c r="H4" s="33"/>
      <c r="I4" s="3"/>
      <c r="J4" s="34"/>
      <c r="K4" s="34"/>
      <c r="L4" s="34"/>
      <c r="M4" s="35"/>
      <c r="N4" s="35"/>
      <c r="O4" s="35"/>
      <c r="P4" s="35"/>
      <c r="Q4" s="35"/>
      <c r="R4" s="35"/>
      <c r="S4" s="35"/>
      <c r="T4" s="35"/>
      <c r="U4" s="35"/>
      <c r="V4" s="35"/>
      <c r="W4" s="14"/>
      <c r="X4" s="14"/>
      <c r="Y4" s="14"/>
      <c r="Z4" s="14"/>
      <c r="AA4" s="14"/>
      <c r="AB4" s="14"/>
      <c r="AC4" s="33"/>
      <c r="AD4" s="10"/>
      <c r="AE4" s="29"/>
      <c r="AF4" s="33"/>
      <c r="AG4" s="33"/>
      <c r="AH4" s="33"/>
      <c r="AI4" s="33"/>
      <c r="AJ4" s="33"/>
      <c r="AK4" s="3"/>
      <c r="AL4" s="40"/>
      <c r="AM4" s="33"/>
      <c r="AN4" s="33"/>
      <c r="AP4" s="36"/>
      <c r="AQ4" s="36"/>
      <c r="AR4" s="40"/>
      <c r="AT4" s="42" t="s">
        <v>37</v>
      </c>
      <c r="AU4" s="3">
        <v>45362.350115740737</v>
      </c>
    </row>
    <row r="5" spans="1:47" ht="15.75" thickBot="1" x14ac:dyDescent="0.3">
      <c r="A5" s="6"/>
      <c r="B5" s="6"/>
      <c r="C5" s="6"/>
      <c r="D5" s="6"/>
      <c r="E5" s="14"/>
      <c r="F5" s="14"/>
      <c r="G5" s="33"/>
      <c r="H5" s="33"/>
      <c r="I5" s="3"/>
      <c r="J5" s="34"/>
      <c r="K5" s="34"/>
      <c r="L5" s="34"/>
      <c r="M5" s="35"/>
      <c r="N5" s="35"/>
      <c r="O5" s="35"/>
      <c r="P5" s="35"/>
      <c r="Q5" s="35"/>
      <c r="R5" s="35"/>
      <c r="S5" s="35"/>
      <c r="T5" s="35"/>
      <c r="U5" s="35"/>
      <c r="V5" s="35"/>
      <c r="W5" s="14"/>
      <c r="X5" s="14"/>
      <c r="Y5" s="14"/>
      <c r="Z5" s="14"/>
      <c r="AA5" s="14"/>
      <c r="AB5" s="14"/>
      <c r="AC5" s="33"/>
      <c r="AD5" s="10"/>
      <c r="AE5" s="29"/>
      <c r="AF5" s="33"/>
      <c r="AG5" s="33"/>
      <c r="AH5" s="33"/>
      <c r="AI5" s="33"/>
      <c r="AJ5" s="33"/>
      <c r="AK5" s="3"/>
      <c r="AL5" s="40"/>
      <c r="AM5" s="33"/>
      <c r="AN5" s="33"/>
      <c r="AO5" s="33"/>
      <c r="AP5" s="33"/>
      <c r="AQ5" s="33"/>
      <c r="AR5" s="40"/>
      <c r="AS5" s="40"/>
      <c r="AT5" s="40"/>
      <c r="AU5" s="40"/>
    </row>
    <row r="6" spans="1:47" ht="15.75" thickBot="1" x14ac:dyDescent="0.3">
      <c r="A6" s="6"/>
      <c r="B6" s="67"/>
      <c r="C6" s="68"/>
      <c r="D6" s="68"/>
      <c r="E6" s="68"/>
      <c r="F6" s="68"/>
      <c r="G6" s="68"/>
      <c r="H6" s="68"/>
      <c r="I6" s="68"/>
      <c r="J6" s="69"/>
      <c r="K6" s="69" t="s">
        <v>43</v>
      </c>
      <c r="L6" s="69" t="s">
        <v>44</v>
      </c>
      <c r="M6" s="70"/>
      <c r="N6" s="251" t="s">
        <v>27</v>
      </c>
      <c r="O6" s="252"/>
      <c r="P6" s="252"/>
      <c r="Q6" s="252"/>
      <c r="R6" s="252"/>
      <c r="S6" s="253"/>
      <c r="T6" s="112"/>
      <c r="U6" s="112"/>
      <c r="V6" s="112"/>
      <c r="W6" s="254" t="s">
        <v>28</v>
      </c>
      <c r="X6" s="252"/>
      <c r="Y6" s="252"/>
      <c r="Z6" s="252"/>
      <c r="AA6" s="252"/>
      <c r="AB6" s="253"/>
      <c r="AC6" s="67"/>
      <c r="AD6" s="68"/>
      <c r="AE6" s="71" t="s">
        <v>17</v>
      </c>
      <c r="AF6" s="68" t="s">
        <v>29</v>
      </c>
      <c r="AG6" s="72" t="s">
        <v>29</v>
      </c>
      <c r="AH6" s="68" t="s">
        <v>29</v>
      </c>
      <c r="AI6" s="68" t="s">
        <v>29</v>
      </c>
      <c r="AJ6" s="68" t="s">
        <v>29</v>
      </c>
      <c r="AK6" s="73"/>
      <c r="AL6" s="74"/>
      <c r="AM6" s="72"/>
      <c r="AN6" s="68"/>
      <c r="AO6" s="68"/>
      <c r="AP6" s="68"/>
      <c r="AQ6" s="68"/>
      <c r="AR6" s="74"/>
      <c r="AS6" s="74"/>
      <c r="AT6" s="74"/>
      <c r="AU6" s="75"/>
    </row>
    <row r="7" spans="1:47" x14ac:dyDescent="0.25">
      <c r="A7" s="6"/>
      <c r="B7" s="76"/>
      <c r="C7" s="77"/>
      <c r="D7" s="77"/>
      <c r="E7" s="78"/>
      <c r="F7" s="78"/>
      <c r="G7" s="79"/>
      <c r="H7" s="79"/>
      <c r="I7" s="80"/>
      <c r="J7" s="81" t="s">
        <v>30</v>
      </c>
      <c r="K7" s="82" t="s">
        <v>30</v>
      </c>
      <c r="L7" s="82" t="s">
        <v>30</v>
      </c>
      <c r="M7" s="83" t="s">
        <v>24</v>
      </c>
      <c r="N7" s="84" t="s">
        <v>7</v>
      </c>
      <c r="O7" s="85" t="s">
        <v>13</v>
      </c>
      <c r="P7" s="255" t="s">
        <v>14</v>
      </c>
      <c r="Q7" s="256"/>
      <c r="R7" s="256"/>
      <c r="S7" s="257"/>
      <c r="T7" s="111"/>
      <c r="U7" s="111"/>
      <c r="V7" s="111"/>
      <c r="W7" s="86" t="s">
        <v>7</v>
      </c>
      <c r="X7" s="87" t="s">
        <v>13</v>
      </c>
      <c r="Y7" s="258" t="s">
        <v>14</v>
      </c>
      <c r="Z7" s="256"/>
      <c r="AA7" s="256"/>
      <c r="AB7" s="257"/>
      <c r="AC7" s="88" t="s">
        <v>15</v>
      </c>
      <c r="AD7" s="89" t="s">
        <v>17</v>
      </c>
      <c r="AE7" s="90" t="s">
        <v>18</v>
      </c>
      <c r="AF7" s="79" t="s">
        <v>17</v>
      </c>
      <c r="AG7" s="79" t="s">
        <v>24</v>
      </c>
      <c r="AH7" s="79" t="s">
        <v>19</v>
      </c>
      <c r="AI7" s="79" t="s">
        <v>20</v>
      </c>
      <c r="AJ7" s="79" t="s">
        <v>22</v>
      </c>
      <c r="AK7" s="91" t="s">
        <v>57</v>
      </c>
      <c r="AL7" s="92"/>
      <c r="AM7" s="79"/>
      <c r="AN7" s="79"/>
      <c r="AO7" s="79"/>
      <c r="AP7" s="79"/>
      <c r="AQ7" s="79"/>
      <c r="AR7" s="92"/>
      <c r="AS7" s="92" t="s">
        <v>49</v>
      </c>
      <c r="AT7" s="92" t="s">
        <v>51</v>
      </c>
      <c r="AU7" s="93" t="s">
        <v>52</v>
      </c>
    </row>
    <row r="8" spans="1:47" ht="15.75" thickBot="1" x14ac:dyDescent="0.3">
      <c r="A8" s="6"/>
      <c r="B8" s="94" t="s">
        <v>0</v>
      </c>
      <c r="C8" s="95" t="s">
        <v>1</v>
      </c>
      <c r="D8" s="95" t="s">
        <v>2</v>
      </c>
      <c r="E8" s="96" t="s">
        <v>3</v>
      </c>
      <c r="F8" s="96" t="s">
        <v>4</v>
      </c>
      <c r="G8" s="97" t="s">
        <v>5</v>
      </c>
      <c r="H8" s="97" t="s">
        <v>33</v>
      </c>
      <c r="I8" s="98" t="s">
        <v>6</v>
      </c>
      <c r="J8" s="99" t="s">
        <v>31</v>
      </c>
      <c r="K8" s="99" t="s">
        <v>45</v>
      </c>
      <c r="L8" s="99" t="s">
        <v>45</v>
      </c>
      <c r="M8" s="100" t="s">
        <v>25</v>
      </c>
      <c r="N8" s="101" t="s">
        <v>8</v>
      </c>
      <c r="O8" s="102" t="s">
        <v>9</v>
      </c>
      <c r="P8" s="102" t="s">
        <v>9</v>
      </c>
      <c r="Q8" s="102" t="s">
        <v>10</v>
      </c>
      <c r="R8" s="102" t="s">
        <v>11</v>
      </c>
      <c r="S8" s="100" t="s">
        <v>12</v>
      </c>
      <c r="T8" s="102" t="s">
        <v>195</v>
      </c>
      <c r="U8" s="102" t="s">
        <v>109</v>
      </c>
      <c r="V8" s="102" t="s">
        <v>110</v>
      </c>
      <c r="W8" s="103" t="s">
        <v>8</v>
      </c>
      <c r="X8" s="96" t="s">
        <v>9</v>
      </c>
      <c r="Y8" s="96" t="s">
        <v>9</v>
      </c>
      <c r="Z8" s="96" t="s">
        <v>10</v>
      </c>
      <c r="AA8" s="96" t="s">
        <v>11</v>
      </c>
      <c r="AB8" s="104" t="s">
        <v>12</v>
      </c>
      <c r="AC8" s="105" t="s">
        <v>16</v>
      </c>
      <c r="AD8" s="106" t="s">
        <v>18</v>
      </c>
      <c r="AE8" s="107" t="s">
        <v>36</v>
      </c>
      <c r="AF8" s="97" t="s">
        <v>16</v>
      </c>
      <c r="AG8" s="97" t="s">
        <v>26</v>
      </c>
      <c r="AH8" s="97" t="s">
        <v>53</v>
      </c>
      <c r="AI8" s="97" t="s">
        <v>21</v>
      </c>
      <c r="AJ8" s="97" t="s">
        <v>54</v>
      </c>
      <c r="AK8" s="108" t="s">
        <v>36</v>
      </c>
      <c r="AL8" s="109" t="s">
        <v>39</v>
      </c>
      <c r="AM8" s="97" t="s">
        <v>40</v>
      </c>
      <c r="AN8" s="97" t="s">
        <v>41</v>
      </c>
      <c r="AO8" s="97" t="s">
        <v>46</v>
      </c>
      <c r="AP8" s="97" t="s">
        <v>47</v>
      </c>
      <c r="AQ8" s="97" t="s">
        <v>48</v>
      </c>
      <c r="AR8" s="109" t="s">
        <v>42</v>
      </c>
      <c r="AS8" s="109" t="s">
        <v>50</v>
      </c>
      <c r="AT8" s="109" t="s">
        <v>50</v>
      </c>
      <c r="AU8" s="110" t="s">
        <v>50</v>
      </c>
    </row>
  </sheetData>
  <sortState xmlns:xlrd2="http://schemas.microsoft.com/office/spreadsheetml/2017/richdata2" ref="B8:AV9">
    <sortCondition ref="AV8"/>
    <sortCondition ref="B9"/>
  </sortState>
  <mergeCells count="5">
    <mergeCell ref="B1:AU1"/>
    <mergeCell ref="N6:S6"/>
    <mergeCell ref="W6:AB6"/>
    <mergeCell ref="P7:S7"/>
    <mergeCell ref="Y7:AB7"/>
  </mergeCells>
  <printOptions horizontalCentered="1"/>
  <pageMargins left="0.7" right="0.7" top="0.75" bottom="0.75" header="0.3" footer="0.3"/>
  <pageSetup paperSize="9" scale="33" fitToHeight="2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3"/>
    <pageSetUpPr fitToPage="1"/>
  </sheetPr>
  <dimension ref="A1:A35"/>
  <sheetViews>
    <sheetView workbookViewId="0">
      <selection activeCell="AK116" sqref="AK116"/>
    </sheetView>
  </sheetViews>
  <sheetFormatPr defaultColWidth="9.140625" defaultRowHeight="18.75" x14ac:dyDescent="0.3"/>
  <cols>
    <col min="1" max="1" width="135.28515625" style="26" customWidth="1"/>
    <col min="2" max="15" width="9.140625" style="26"/>
    <col min="16" max="16" width="10.42578125" style="26" customWidth="1"/>
    <col min="17" max="16384" width="9.140625" style="26"/>
  </cols>
  <sheetData>
    <row r="1" spans="1:1" ht="60" customHeight="1" x14ac:dyDescent="0.3">
      <c r="A1" s="28" t="s">
        <v>35</v>
      </c>
    </row>
    <row r="2" spans="1:1" ht="409.6" customHeight="1" x14ac:dyDescent="0.3">
      <c r="A2" s="27" t="s">
        <v>34</v>
      </c>
    </row>
    <row r="35" ht="13.7" customHeight="1" x14ac:dyDescent="0.3"/>
  </sheetData>
  <printOptions horizontalCentered="1" verticalCentered="1"/>
  <pageMargins left="0.7" right="0.7" top="0.75" bottom="0.75" header="0.3" footer="0.3"/>
  <pageSetup scale="90" orientation="landscape" r:id="rId1"/>
  <headerFooter scaleWithDoc="0">
    <oddFooter>&amp;C&amp;P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Control Panel</vt:lpstr>
      <vt:lpstr>Report</vt:lpstr>
      <vt:lpstr>FH PT</vt:lpstr>
      <vt:lpstr>GN PT</vt:lpstr>
      <vt:lpstr>Assumptions</vt:lpstr>
      <vt:lpstr>FN PT</vt:lpstr>
      <vt:lpstr>AGY CMO</vt:lpstr>
      <vt:lpstr>NA RMBS</vt:lpstr>
      <vt:lpstr>Disclaimer</vt:lpstr>
      <vt:lpstr>'AGY CMO'!Print_Area</vt:lpstr>
      <vt:lpstr>Disclaimer!Print_Area</vt:lpstr>
      <vt:lpstr>'FH PT'!Print_Area</vt:lpstr>
      <vt:lpstr>'FN PT'!Print_Area</vt:lpstr>
      <vt:lpstr>'GN PT'!Print_Area</vt:lpstr>
      <vt:lpstr>'NA RMBS'!Print_Area</vt:lpstr>
      <vt:lpstr>Report!Print_Area</vt:lpstr>
      <vt:lpstr>'AGY CMO'!Print_Titles</vt:lpstr>
      <vt:lpstr>'FH PT'!Print_Titles</vt:lpstr>
      <vt:lpstr>'FN PT'!Print_Titles</vt:lpstr>
      <vt:lpstr>'GN PT'!Print_Titles</vt:lpstr>
      <vt:lpstr>'NA RMBS'!Print_Titles</vt:lpstr>
      <vt:lpstr>Report!Print_Titles</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Franck</dc:creator>
  <cp:lastModifiedBy>Brent Gallagher</cp:lastModifiedBy>
  <cp:lastPrinted>2017-10-11T13:44:17Z</cp:lastPrinted>
  <dcterms:created xsi:type="dcterms:W3CDTF">2013-03-25T14:01:16Z</dcterms:created>
  <dcterms:modified xsi:type="dcterms:W3CDTF">2024-03-11T14:33:12Z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{C56EE35C-0367-47CC-8E44-7221CC9BFECA}</vt:lpwstr>
  </property>
</Properties>
</file>